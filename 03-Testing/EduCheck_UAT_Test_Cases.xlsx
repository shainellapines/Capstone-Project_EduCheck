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98bf0dccc2814d1/Documents/GitHub/Capstone-Project_EduCheck/03-Testing/"/>
    </mc:Choice>
  </mc:AlternateContent>
  <xr:revisionPtr revIDLastSave="0" documentId="11_AA551D3F95301D246B83569C660AF5AB7743D79A" xr6:coauthVersionLast="47" xr6:coauthVersionMax="47" xr10:uidLastSave="{00000000-0000-0000-0000-000000000000}"/>
  <bookViews>
    <workbookView xWindow="11328" yWindow="0" windowWidth="11712" windowHeight="12240" xr2:uid="{00000000-000D-0000-FFFF-FFFF00000000}"/>
  </bookViews>
  <sheets>
    <sheet name="Instructions" sheetId="1" r:id="rId1"/>
    <sheet name="Test Cases" sheetId="2" r:id="rId2"/>
    <sheet name="Summary" sheetId="3" r:id="rId3"/>
    <sheet name="Defect Log" sheetId="4" r:id="rId4"/>
  </sheets>
  <definedNames>
    <definedName name="_xlnm._FilterDatabase" localSheetId="1" hidden="1">'Test Cases'!$A$1:$Q$68</definedName>
    <definedName name="_xlnm.Print_Titles" localSheetId="1">'Test Cases'!$1:$1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3" l="1"/>
  <c r="D48" i="3"/>
  <c r="C48" i="3"/>
  <c r="G48" i="3" s="1"/>
  <c r="B48" i="3"/>
  <c r="F48" i="3" s="1"/>
  <c r="E47" i="3"/>
  <c r="D47" i="3"/>
  <c r="C47" i="3"/>
  <c r="G47" i="3" s="1"/>
  <c r="B47" i="3"/>
  <c r="F47" i="3" s="1"/>
  <c r="E46" i="3"/>
  <c r="D46" i="3"/>
  <c r="C46" i="3"/>
  <c r="G46" i="3" s="1"/>
  <c r="B46" i="3"/>
  <c r="F46" i="3" s="1"/>
  <c r="E45" i="3"/>
  <c r="D45" i="3"/>
  <c r="C45" i="3"/>
  <c r="G45" i="3" s="1"/>
  <c r="B45" i="3"/>
  <c r="F45" i="3" s="1"/>
  <c r="E44" i="3"/>
  <c r="D44" i="3"/>
  <c r="C44" i="3"/>
  <c r="G44" i="3" s="1"/>
  <c r="B44" i="3"/>
  <c r="F44" i="3" s="1"/>
  <c r="E43" i="3"/>
  <c r="D43" i="3"/>
  <c r="C43" i="3"/>
  <c r="G43" i="3" s="1"/>
  <c r="B43" i="3"/>
  <c r="F43" i="3" s="1"/>
  <c r="E38" i="3"/>
  <c r="D38" i="3"/>
  <c r="C38" i="3"/>
  <c r="G38" i="3" s="1"/>
  <c r="B38" i="3"/>
  <c r="F38" i="3" s="1"/>
  <c r="E37" i="3"/>
  <c r="D37" i="3"/>
  <c r="C37" i="3"/>
  <c r="G37" i="3" s="1"/>
  <c r="B37" i="3"/>
  <c r="F37" i="3" s="1"/>
  <c r="E36" i="3"/>
  <c r="D36" i="3"/>
  <c r="C36" i="3"/>
  <c r="G36" i="3" s="1"/>
  <c r="B36" i="3"/>
  <c r="F36" i="3" s="1"/>
  <c r="E35" i="3"/>
  <c r="D35" i="3"/>
  <c r="C35" i="3"/>
  <c r="G35" i="3" s="1"/>
  <c r="B35" i="3"/>
  <c r="F35" i="3" s="1"/>
  <c r="E34" i="3"/>
  <c r="D34" i="3"/>
  <c r="C34" i="3"/>
  <c r="G34" i="3" s="1"/>
  <c r="B34" i="3"/>
  <c r="F34" i="3" s="1"/>
  <c r="E33" i="3"/>
  <c r="D33" i="3"/>
  <c r="C33" i="3"/>
  <c r="G33" i="3" s="1"/>
  <c r="B33" i="3"/>
  <c r="F33" i="3" s="1"/>
  <c r="E32" i="3"/>
  <c r="D32" i="3"/>
  <c r="C32" i="3"/>
  <c r="G32" i="3" s="1"/>
  <c r="B32" i="3"/>
  <c r="F32" i="3" s="1"/>
  <c r="E31" i="3"/>
  <c r="D31" i="3"/>
  <c r="C31" i="3"/>
  <c r="G31" i="3" s="1"/>
  <c r="B31" i="3"/>
  <c r="F31" i="3" s="1"/>
  <c r="E30" i="3"/>
  <c r="D30" i="3"/>
  <c r="C30" i="3"/>
  <c r="G30" i="3" s="1"/>
  <c r="B30" i="3"/>
  <c r="F30" i="3" s="1"/>
  <c r="E29" i="3"/>
  <c r="D29" i="3"/>
  <c r="C29" i="3"/>
  <c r="G29" i="3" s="1"/>
  <c r="B29" i="3"/>
  <c r="F29" i="3" s="1"/>
  <c r="E28" i="3"/>
  <c r="D28" i="3"/>
  <c r="C28" i="3"/>
  <c r="G28" i="3" s="1"/>
  <c r="B28" i="3"/>
  <c r="F28" i="3" s="1"/>
  <c r="E27" i="3"/>
  <c r="D27" i="3"/>
  <c r="C27" i="3"/>
  <c r="G27" i="3" s="1"/>
  <c r="B27" i="3"/>
  <c r="F27" i="3" s="1"/>
  <c r="E26" i="3"/>
  <c r="D26" i="3"/>
  <c r="C26" i="3"/>
  <c r="G26" i="3" s="1"/>
  <c r="B26" i="3"/>
  <c r="F26" i="3" s="1"/>
  <c r="E25" i="3"/>
  <c r="D25" i="3"/>
  <c r="C25" i="3"/>
  <c r="G25" i="3" s="1"/>
  <c r="B25" i="3"/>
  <c r="F25" i="3" s="1"/>
  <c r="E24" i="3"/>
  <c r="D24" i="3"/>
  <c r="C24" i="3"/>
  <c r="G24" i="3" s="1"/>
  <c r="B24" i="3"/>
  <c r="F24" i="3" s="1"/>
  <c r="E23" i="3"/>
  <c r="D23" i="3"/>
  <c r="C23" i="3"/>
  <c r="G23" i="3" s="1"/>
  <c r="B23" i="3"/>
  <c r="F23" i="3" s="1"/>
  <c r="E22" i="3"/>
  <c r="D22" i="3"/>
  <c r="C22" i="3"/>
  <c r="G22" i="3" s="1"/>
  <c r="B22" i="3"/>
  <c r="F22" i="3" s="1"/>
  <c r="E21" i="3"/>
  <c r="D21" i="3"/>
  <c r="C21" i="3"/>
  <c r="G21" i="3" s="1"/>
  <c r="B21" i="3"/>
  <c r="F21" i="3" s="1"/>
  <c r="E20" i="3"/>
  <c r="D20" i="3"/>
  <c r="C20" i="3"/>
  <c r="G20" i="3" s="1"/>
  <c r="B20" i="3"/>
  <c r="F20" i="3" s="1"/>
  <c r="E19" i="3"/>
  <c r="D19" i="3"/>
  <c r="C19" i="3"/>
  <c r="G19" i="3" s="1"/>
  <c r="B19" i="3"/>
  <c r="F19" i="3" s="1"/>
  <c r="E18" i="3"/>
  <c r="D18" i="3"/>
  <c r="C18" i="3"/>
  <c r="G18" i="3" s="1"/>
  <c r="B18" i="3"/>
  <c r="F18" i="3" s="1"/>
  <c r="E17" i="3"/>
  <c r="D17" i="3"/>
  <c r="C17" i="3"/>
  <c r="G17" i="3" s="1"/>
  <c r="B17" i="3"/>
  <c r="F17" i="3" s="1"/>
  <c r="B8" i="3"/>
  <c r="B7" i="3"/>
  <c r="B6" i="3"/>
  <c r="B10" i="3" s="1"/>
  <c r="B5" i="3"/>
  <c r="B9" i="3" s="1"/>
  <c r="B11" i="3" l="1"/>
  <c r="B12" i="3"/>
</calcChain>
</file>

<file path=xl/sharedStrings.xml><?xml version="1.0" encoding="utf-8"?>
<sst xmlns="http://schemas.openxmlformats.org/spreadsheetml/2006/main" count="956" uniqueCount="576">
  <si>
    <t>EduCheck - User Acceptance Test Cases</t>
  </si>
  <si>
    <t>Formal testing and UAT, ISO/IEC 25010. Read 03-Testing/EduCheck_Known_Limitations.md first: items listed there are not defects.</t>
  </si>
  <si>
    <t>Test session</t>
  </si>
  <si>
    <t>Tester name(s)</t>
  </si>
  <si>
    <t>Date(s) tested</t>
  </si>
  <si>
    <t>Server address (web)</t>
  </si>
  <si>
    <t>Web browser(s) and version</t>
  </si>
  <si>
    <t>Android phone model / version</t>
  </si>
  <si>
    <t>Build / commit tested</t>
  </si>
  <si>
    <t>How to fill in</t>
  </si>
  <si>
    <t>1.</t>
  </si>
  <si>
    <t>Yellow cells are the only cells to fill in. All other cells are the test design; do not change them.</t>
  </si>
  <si>
    <t>2.</t>
  </si>
  <si>
    <t>Run each case in the Test Cases sheet in order. Follow the Steps exactly and compare with Expected Result.</t>
  </si>
  <si>
    <t>3.</t>
  </si>
  <si>
    <t>Actual Result: write what really happened, in a few words (or the time taken for performance cases).</t>
  </si>
  <si>
    <t>4.</t>
  </si>
  <si>
    <t>Status: choose Pass, Fail, Blocked (could not run because of another problem) or Not Run.</t>
  </si>
  <si>
    <t>5.</t>
  </si>
  <si>
    <t>For every Fail, add a row in the Defect Log and put its Defect ID on the test case.</t>
  </si>
  <si>
    <t>6.</t>
  </si>
  <si>
    <t>The Summary sheet counts results automatically.</t>
  </si>
  <si>
    <t>Example of a filled-in test case</t>
  </si>
  <si>
    <t>Field</t>
  </si>
  <si>
    <t>Example value</t>
  </si>
  <si>
    <t>TC ID</t>
  </si>
  <si>
    <t>TC-002</t>
  </si>
  <si>
    <t>Actual Result</t>
  </si>
  <si>
    <t>Login failed; message "Invalid username or password." shown.</t>
  </si>
  <si>
    <t>Status</t>
  </si>
  <si>
    <t>Pass</t>
  </si>
  <si>
    <t>Tester</t>
  </si>
  <si>
    <t>J. Dela Cruz</t>
  </si>
  <si>
    <t>Date</t>
  </si>
  <si>
    <t>2026-10-15</t>
  </si>
  <si>
    <t>Defect ID</t>
  </si>
  <si>
    <t>(blank - only for Fail)</t>
  </si>
  <si>
    <t>Remarks</t>
  </si>
  <si>
    <t>Chrome 141</t>
  </si>
  <si>
    <t>Test accounts</t>
  </si>
  <si>
    <t>Username</t>
  </si>
  <si>
    <t>Role</t>
  </si>
  <si>
    <t>Password (fill in; do not share outside the team)</t>
  </si>
  <si>
    <t>Notes</t>
  </si>
  <si>
    <t>admin.educheck</t>
  </si>
  <si>
    <t>Admin</t>
  </si>
  <si>
    <t>Reviews and approves records; manages users.</t>
  </si>
  <si>
    <t>adviser.grade6a</t>
  </si>
  <si>
    <t>Adviser</t>
  </si>
  <si>
    <t>Adviser of Rizal (Grade 6, Self-Contained).</t>
  </si>
  <si>
    <t>subject.grade6a</t>
  </si>
  <si>
    <t>Subject Teacher</t>
  </si>
  <si>
    <t>Uploads e-class records.</t>
  </si>
  <si>
    <t>principal.educheck</t>
  </si>
  <si>
    <t>Principal</t>
  </si>
  <si>
    <t>View-only.</t>
  </si>
  <si>
    <t>Test data</t>
  </si>
  <si>
    <t>Sections</t>
  </si>
  <si>
    <t>Rizal (Grade 6, Self-Contained), Mabini (Grade 3, Departmentalized). School year 2025-2026.</t>
  </si>
  <si>
    <t>SF10 demo learner</t>
  </si>
  <si>
    <t>LRN 100000000001 (Adrian Aguilar). Sample Grade 4 and 5 history; readiness PARTIAL.</t>
  </si>
  <si>
    <t>Sample e-class record</t>
  </si>
  <si>
    <t>backend/tests/fixtures/ecr-sample.xlsx (valid workbook, about 2 MB).</t>
  </si>
  <si>
    <t>Before starting</t>
  </si>
  <si>
    <t>Back up the database so testing can be repeated from the same state.</t>
  </si>
  <si>
    <t>Module</t>
  </si>
  <si>
    <t>Platform</t>
  </si>
  <si>
    <t>ISO 25010</t>
  </si>
  <si>
    <t>SPMP / Ref</t>
  </si>
  <si>
    <t>Test Case</t>
  </si>
  <si>
    <t>Preconditions</t>
  </si>
  <si>
    <t>Steps</t>
  </si>
  <si>
    <t>Test Data</t>
  </si>
  <si>
    <t>Expected Result</t>
  </si>
  <si>
    <t>TC-001</t>
  </si>
  <si>
    <t>Authentication</t>
  </si>
  <si>
    <t>All</t>
  </si>
  <si>
    <t>Web</t>
  </si>
  <si>
    <t>Security</t>
  </si>
  <si>
    <t>EPIC-01, US-001</t>
  </si>
  <si>
    <t>Log in with valid credentials</t>
  </si>
  <si>
    <t>Active account exists.</t>
  </si>
  <si>
    <t>1. Open the login page.
2. Enter a valid username and password.
3. Click Sign in.</t>
  </si>
  <si>
    <t>Any test account</t>
  </si>
  <si>
    <t>The user lands on the Dashboard for their role. The sidebar shows only that role's menu items.</t>
  </si>
  <si>
    <t>Log in with a wrong password</t>
  </si>
  <si>
    <t>1. Enter a valid username and a wrong password.
2. Click Sign in.</t>
  </si>
  <si>
    <t>Valid username, wrong password</t>
  </si>
  <si>
    <t>Login fails with "Invalid username or password." The message does not say which field was wrong.</t>
  </si>
  <si>
    <t>TC-003</t>
  </si>
  <si>
    <t>Usability</t>
  </si>
  <si>
    <t>EPIC-01</t>
  </si>
  <si>
    <t>Log in with empty fields</t>
  </si>
  <si>
    <t>None.</t>
  </si>
  <si>
    <t>1. Leave username and/or password empty.
2. Click Sign in.</t>
  </si>
  <si>
    <t>Blank fields</t>
  </si>
  <si>
    <t>Login is not attempted. The user is asked to fill in both fields.</t>
  </si>
  <si>
    <t>TC-004</t>
  </si>
  <si>
    <t>Inactive account cannot log in</t>
  </si>
  <si>
    <t>Admin has set a test account to Inactive in User Management.</t>
  </si>
  <si>
    <t>1. Log in with the inactive account's correct password.</t>
  </si>
  <si>
    <t>Inactive test account</t>
  </si>
  <si>
    <t>Login fails with "This account is inactive."</t>
  </si>
  <si>
    <t>TC-005</t>
  </si>
  <si>
    <t>EPIC-01 / ISO 25010</t>
  </si>
  <si>
    <t>Repeated failed logins are locked out</t>
  </si>
  <si>
    <t>1. Enter a wrong password 11 times in a row within 15 minutes.</t>
  </si>
  <si>
    <t>After 10 failures the page shows "Too many login attempts. Please try again in a few minutes." (see Known Limitations D-07).</t>
  </si>
  <si>
    <t>TC-006</t>
  </si>
  <si>
    <t>§6.2</t>
  </si>
  <si>
    <t>Log out ends the session</t>
  </si>
  <si>
    <t>Logged in.</t>
  </si>
  <si>
    <t>1. Click Log out.
2. Press the browser Back button.
3. Try to open /dashboard directly.</t>
  </si>
  <si>
    <t>-</t>
  </si>
  <si>
    <t>The user is returned to the login page and cannot reach any protected page without logging in again.</t>
  </si>
  <si>
    <t>TC-007</t>
  </si>
  <si>
    <t>§6.2, US-011</t>
  </si>
  <si>
    <t>A role cannot open another role's page by URL</t>
  </si>
  <si>
    <t>Logged in as Subject Teacher.</t>
  </si>
  <si>
    <t>1. Type /users in the address bar.
2. Type /audit-log.
3. Type /consolidated-records.</t>
  </si>
  <si>
    <t>Each attempt redirects to the user's own Dashboard. No Admin or Adviser data is shown.</t>
  </si>
  <si>
    <t>TC-008</t>
  </si>
  <si>
    <t>Account</t>
  </si>
  <si>
    <t>Change own password</t>
  </si>
  <si>
    <t>1. Open Settings.
2. Enter the current password and a new password with at least 8 characters, a letter and a number.
3. Save.
4. Log out and log in with the new password.</t>
  </si>
  <si>
    <t>New password e.g. Educheck2026</t>
  </si>
  <si>
    <t>Password is changed. The old password no longer works and the new one does.</t>
  </si>
  <si>
    <t>TC-009</t>
  </si>
  <si>
    <t>Functional suitability</t>
  </si>
  <si>
    <t>Settings shows own profile and assignments</t>
  </si>
  <si>
    <t>Teacher profile and assignments exist.</t>
  </si>
  <si>
    <t>1. Open Settings.
2. Check Account Information and My Assignments.
3. Open the Dashboard.</t>
  </si>
  <si>
    <t>Full name, employee no. and contact number are shown read-only, with a note to ask the Administrator for changes. My Assignments lists only this teacher's sections and subjects with the school year. The Dashboard header shows the full name.</t>
  </si>
  <si>
    <t>TC-010</t>
  </si>
  <si>
    <t>L-05</t>
  </si>
  <si>
    <t>Account without a teacher profile</t>
  </si>
  <si>
    <t>Logged in as Principal or Admin.</t>
  </si>
  <si>
    <t>1. Open Settings.</t>
  </si>
  <si>
    <t>Username, email, role and status are shown. No name rows and no My Assignments card appear. Nothing is broken or blank.</t>
  </si>
  <si>
    <t>TC-011</t>
  </si>
  <si>
    <t>Weak new password is rejected</t>
  </si>
  <si>
    <t>1. Open Settings.
2. Try a new password with fewer than 8 characters or no number.</t>
  </si>
  <si>
    <t>e.g. abcdefg</t>
  </si>
  <si>
    <t>The change is refused with a message explaining the password rule.</t>
  </si>
  <si>
    <t>TC-012</t>
  </si>
  <si>
    <t>User Management</t>
  </si>
  <si>
    <t>Create a user account</t>
  </si>
  <si>
    <t>Logged in as Admin.</t>
  </si>
  <si>
    <t>1. Open User Management.
2. Click Add User and fill in username, email, password and role.
3. Save.</t>
  </si>
  <si>
    <t>New test user</t>
  </si>
  <si>
    <t>The user appears in the list with the chosen role and Active status, and can log in.</t>
  </si>
  <si>
    <t>TC-013</t>
  </si>
  <si>
    <t>Edit a user and deactivate it</t>
  </si>
  <si>
    <t>A test user exists.</t>
  </si>
  <si>
    <t>1. Edit the user and change the role or email.
2. Set Status to Inactive and save.</t>
  </si>
  <si>
    <t>Test user</t>
  </si>
  <si>
    <t>Changes are saved and shown in the list. The inactive user can no longer log in (see TC for inactive login).</t>
  </si>
  <si>
    <t>TC-014</t>
  </si>
  <si>
    <t>L-02</t>
  </si>
  <si>
    <t>Admin resets a user's password</t>
  </si>
  <si>
    <t>1. Edit the user and set a new password.
2. Log in as that user with it.</t>
  </si>
  <si>
    <t>The user can log in with the new password (this is the password-recovery path, see Known Limitations L-02).</t>
  </si>
  <si>
    <t>TC-015</t>
  </si>
  <si>
    <t>Search users</t>
  </si>
  <si>
    <t>Several users exist.</t>
  </si>
  <si>
    <t>1. Type part of a username in the search box.</t>
  </si>
  <si>
    <t>e.g. grade6</t>
  </si>
  <si>
    <t>Only matching users are listed.</t>
  </si>
  <si>
    <t>TC-016</t>
  </si>
  <si>
    <t>Teacher Management</t>
  </si>
  <si>
    <t>Add and edit a teacher profile</t>
  </si>
  <si>
    <t>1. Open Teacher Management.
2. Add a teacher linked to a user account.
3. Edit the teacher's details.</t>
  </si>
  <si>
    <t>Test teacher</t>
  </si>
  <si>
    <t>The teacher is saved and the changes appear in the list.</t>
  </si>
  <si>
    <t>TC-017</t>
  </si>
  <si>
    <t>Section &amp; Assignments</t>
  </si>
  <si>
    <t>§6.2, US-009</t>
  </si>
  <si>
    <t>Assign a Subject Teacher to a subject and section</t>
  </si>
  <si>
    <t>A section, a Subject Teacher and the subject exist.</t>
  </si>
  <si>
    <t>1. Open Section &amp; Teacher Assignments.
2. Assign the teacher to a subject for a section of the same grade level.</t>
  </si>
  <si>
    <t>e.g. Grade 6 English to Rizal</t>
  </si>
  <si>
    <t>The assignment is saved. The teacher now sees that subject and section on the upload page.</t>
  </si>
  <si>
    <t>TC-018</t>
  </si>
  <si>
    <t>Grade-level mismatch is rejected</t>
  </si>
  <si>
    <t>1. Try to assign a Grade 3 subject to a Grade 6 section.</t>
  </si>
  <si>
    <t>Grade 3 subject, Rizal (Grade 6)</t>
  </si>
  <si>
    <t>The assignment is refused with a message that the grade levels do not match.</t>
  </si>
  <si>
    <t>TC-019</t>
  </si>
  <si>
    <t>Subject Teacher account cannot be Class Adviser</t>
  </si>
  <si>
    <t>A section without a Class Adviser.</t>
  </si>
  <si>
    <t>1. Choose a teacher with a Subject Teacher account.
2. Leave Subject blank (Class Adviser) and save.</t>
  </si>
  <si>
    <t>The assignment is refused with a message that only an Adviser account can be Class Adviser. The section's Adviser slot stays free.</t>
  </si>
  <si>
    <t>TC-020</t>
  </si>
  <si>
    <t>Set section staffing mode</t>
  </si>
  <si>
    <t>A section exists.</t>
  </si>
  <si>
    <t>1. Set a section to Self-Contained, then to Departmentalized.</t>
  </si>
  <si>
    <t>Mabini or Rizal</t>
  </si>
  <si>
    <t>Self-Contained: the Adviser sees the upload page. Departmentalized: the Adviser's upload menu is hidden.</t>
  </si>
  <si>
    <t>TC-021</t>
  </si>
  <si>
    <t>Audit Log</t>
  </si>
  <si>
    <t>EPIC-07</t>
  </si>
  <si>
    <t>Actions are recorded in the audit log</t>
  </si>
  <si>
    <t>Logged in as Admin. Some uploads, approvals or edits were done.</t>
  </si>
  <si>
    <t>1. Open Audit Log.
2. Filter or search for a recent action.</t>
  </si>
  <si>
    <t>Each action shows who did it, what was done and when.</t>
  </si>
  <si>
    <t>TC-022</t>
  </si>
  <si>
    <t>Upload</t>
  </si>
  <si>
    <t>EPIC-02, US-002</t>
  </si>
  <si>
    <t>Upload a valid e-class record</t>
  </si>
  <si>
    <t>Teacher is assigned to the subject and section.</t>
  </si>
  <si>
    <t>1. Open Upload e-Class Record.
2. Select the subject, section and school year.
3. Choose the Excel file and upload.</t>
  </si>
  <si>
    <t>Valid e-class record (.xlsx)</t>
  </si>
  <si>
    <t>Upload succeeds. The record shows as Validated with 0 errors and appears in the teacher's upload list.</t>
  </si>
  <si>
    <t>TC-023</t>
  </si>
  <si>
    <t>Only assigned subjects and sections are offered</t>
  </si>
  <si>
    <t>Teacher has at least one assignment.</t>
  </si>
  <si>
    <t>1. Open the upload page and look at the subject and section choices.</t>
  </si>
  <si>
    <t>Only the teacher's own assigned subject/section pairs are listed.</t>
  </si>
  <si>
    <t>TC-024</t>
  </si>
  <si>
    <t>EPIC-02</t>
  </si>
  <si>
    <t>Non-Excel file is rejected</t>
  </si>
  <si>
    <t>1. Try to upload a .pdf or .txt file.</t>
  </si>
  <si>
    <t>Any non-Excel file</t>
  </si>
  <si>
    <t>The upload is refused with a message that only Excel files are accepted.</t>
  </si>
  <si>
    <t>TC-025</t>
  </si>
  <si>
    <t>D-06</t>
  </si>
  <si>
    <t>File over 10 MB is rejected</t>
  </si>
  <si>
    <t>1. Try to upload an .xlsx file larger than 10 MB.</t>
  </si>
  <si>
    <t>Large file (&gt;10 MB)</t>
  </si>
  <si>
    <t>The upload is refused with "The file is larger than 10 MB..."</t>
  </si>
  <si>
    <t>TC-026</t>
  </si>
  <si>
    <t>EPIC-02/03</t>
  </si>
  <si>
    <t>Wrong-section roster is rejected</t>
  </si>
  <si>
    <t>The section already has a roster from an earlier upload.</t>
  </si>
  <si>
    <t>1. Upload a file whose learners belong to a different section.</t>
  </si>
  <si>
    <t>File from another section</t>
  </si>
  <si>
    <t>The upload is refused with a message that the learners do not match the section's roster.</t>
  </si>
  <si>
    <t>TC-027</t>
  </si>
  <si>
    <t>Validation</t>
  </si>
  <si>
    <t>EPIC-04, US-004</t>
  </si>
  <si>
    <t>Validation errors are listed per learner</t>
  </si>
  <si>
    <t>A file with grade errors (e.g. a final grade that does not match the terms).</t>
  </si>
  <si>
    <t>1. Upload the file.
2. Open its Validation Results.</t>
  </si>
  <si>
    <t>File with errors</t>
  </si>
  <si>
    <t>Status is Needs Attention. Each issue lists the learner, term, rule and a readable message, with errors and warnings told apart.</t>
  </si>
  <si>
    <t>TC-028</t>
  </si>
  <si>
    <t>EPIC-04, D-02</t>
  </si>
  <si>
    <t>Correct by re-upload</t>
  </si>
  <si>
    <t>A record is in Needs Attention.</t>
  </si>
  <si>
    <t>1. Fix the errors in Excel.
2. Upload the corrected file for the same subject and section.</t>
  </si>
  <si>
    <t>Corrected file</t>
  </si>
  <si>
    <t>The new upload is Validated and replaces the earlier grades for that subject.</t>
  </si>
  <si>
    <t>TC-029</t>
  </si>
  <si>
    <t>D-01</t>
  </si>
  <si>
    <t>Validation rules are read-only</t>
  </si>
  <si>
    <t>1. Open Settings and find the validation rules card.</t>
  </si>
  <si>
    <t>The DepEd rules are listed for reference. There is no way to edit or switch them off.</t>
  </si>
  <si>
    <t>TC-030</t>
  </si>
  <si>
    <t>US-011</t>
  </si>
  <si>
    <t>Self-Contained Adviser can upload</t>
  </si>
  <si>
    <t>Adviser of a Self-Contained section.</t>
  </si>
  <si>
    <t>1. Open Upload Files.
2. Upload a record for a subject in the advisory section.</t>
  </si>
  <si>
    <t>adviser.grade6a, Rizal</t>
  </si>
  <si>
    <t>Upload succeeds as for a Subject Teacher.</t>
  </si>
  <si>
    <t>TC-031</t>
  </si>
  <si>
    <t>Consolidation</t>
  </si>
  <si>
    <t>EPIC-03, US-008</t>
  </si>
  <si>
    <t>View own section's consolidated records</t>
  </si>
  <si>
    <t>Uploads exist for the section.</t>
  </si>
  <si>
    <t>1. Open Consolidated Records.</t>
  </si>
  <si>
    <t>Only learners of the Adviser's own section are listed, each with a subject count such as 8/8.</t>
  </si>
  <si>
    <t>TC-032</t>
  </si>
  <si>
    <t>§6.2, US-008</t>
  </si>
  <si>
    <t>Adviser cannot see another section</t>
  </si>
  <si>
    <t>A second section exists.</t>
  </si>
  <si>
    <t>1. Look through Consolidated Records, Section Progress and Analytics for another section's learners.</t>
  </si>
  <si>
    <t>No learners or grades from other sections are shown anywhere.</t>
  </si>
  <si>
    <t>TC-033</t>
  </si>
  <si>
    <t>EPIC-06, US-006</t>
  </si>
  <si>
    <t>Return a subject to its teacher</t>
  </si>
  <si>
    <t>A learner record has a subject with a problem.</t>
  </si>
  <si>
    <t>1. Open the learner's record.
2. Return the subject to the teacher with a reason.</t>
  </si>
  <si>
    <t>Reason text</t>
  </si>
  <si>
    <t>Subject status becomes Needs Revision. The Subject Teacher gets a notification with the reason.</t>
  </si>
  <si>
    <t>TC-034</t>
  </si>
  <si>
    <t>EPIC-06</t>
  </si>
  <si>
    <t>Returning without a reason is refused</t>
  </si>
  <si>
    <t>A learner record is open.</t>
  </si>
  <si>
    <t>1. Try to return a subject with an empty reason.</t>
  </si>
  <si>
    <t>Empty reason</t>
  </si>
  <si>
    <t>The return is refused and the user is asked for a reason.</t>
  </si>
  <si>
    <t>TC-035</t>
  </si>
  <si>
    <t>Submission</t>
  </si>
  <si>
    <t>Submit a complete record for approval</t>
  </si>
  <si>
    <t>Learner has a grade for every expected subject and none is Needs Revision.</t>
  </si>
  <si>
    <t>1. Open the learner's record.
2. Click Submit for approval and confirm.</t>
  </si>
  <si>
    <t>A complete learner</t>
  </si>
  <si>
    <t>Status becomes Pending Approval. The Admin is notified.</t>
  </si>
  <si>
    <t>TC-036</t>
  </si>
  <si>
    <t>Incomplete record cannot be submitted</t>
  </si>
  <si>
    <t>Learner is missing at least one subject.</t>
  </si>
  <si>
    <t>1. Try to submit the learner's record.</t>
  </si>
  <si>
    <t>An incomplete learner</t>
  </si>
  <si>
    <t>Submission is refused: every expected subject must have a recorded grade first.</t>
  </si>
  <si>
    <t>TC-037</t>
  </si>
  <si>
    <t>Submit all eligible records at once</t>
  </si>
  <si>
    <t>Several learners are complete.</t>
  </si>
  <si>
    <t>1. Click Submit all eligible and confirm.</t>
  </si>
  <si>
    <t>Only the complete learners move to Pending Approval. Incomplete learners are skipped and counted.</t>
  </si>
  <si>
    <t>TC-038</t>
  </si>
  <si>
    <t>Section Progress</t>
  </si>
  <si>
    <t>EPIC-03</t>
  </si>
  <si>
    <t>Section progress shows per-subject status</t>
  </si>
  <si>
    <t>Uploads exist.</t>
  </si>
  <si>
    <t>1. Open Section Progress.</t>
  </si>
  <si>
    <t>Each subject shows its upload/validation status and how complete the section is.</t>
  </si>
  <si>
    <t>TC-039</t>
  </si>
  <si>
    <t>Submission Review</t>
  </si>
  <si>
    <t>EPIC-06, US-007</t>
  </si>
  <si>
    <t>Approve a submitted record</t>
  </si>
  <si>
    <t>A record is Pending Approval.</t>
  </si>
  <si>
    <t>1. Open Submission Review.
2. Open the learner and click Approve.</t>
  </si>
  <si>
    <t>Pending learner</t>
  </si>
  <si>
    <t>Status becomes Approved. The Adviser and subject teachers are notified. The record now appears in the repository.</t>
  </si>
  <si>
    <t>TC-040</t>
  </si>
  <si>
    <t>Reject a submitted record with a reason</t>
  </si>
  <si>
    <t>1. Open the learner and click Reject.
2. Enter a reason and confirm.</t>
  </si>
  <si>
    <t>Status becomes Rejected. The Adviser and subject teachers are notified with the reason.</t>
  </si>
  <si>
    <t>TC-041</t>
  </si>
  <si>
    <t>D-04</t>
  </si>
  <si>
    <t>Approved record is locked against re-upload</t>
  </si>
  <si>
    <t>A learner's record is Approved.</t>
  </si>
  <si>
    <t>1. As the Subject Teacher, re-upload that subject for the section.</t>
  </si>
  <si>
    <t>Same section file</t>
  </si>
  <si>
    <t>The upload is refused because the record is approved.</t>
  </si>
  <si>
    <t>TC-042</t>
  </si>
  <si>
    <t>D-04, EPIC-06</t>
  </si>
  <si>
    <t>Request an amendment on an approved record</t>
  </si>
  <si>
    <t>1. As the section's Adviser, request a revision on the approved record with a reason.
2. Re-upload the subject as the Subject Teacher.</t>
  </si>
  <si>
    <t>Status becomes Amendment Requested and the re-upload is then accepted.</t>
  </si>
  <si>
    <t>TC-043</t>
  </si>
  <si>
    <t>Principal can view school-wide data</t>
  </si>
  <si>
    <t>Logged in as Principal.</t>
  </si>
  <si>
    <t>1. Open Dashboard, Submission Review, Section Progress, Analytics, Digital Repository and SF10.</t>
  </si>
  <si>
    <t>All sections are visible on every page.</t>
  </si>
  <si>
    <t>TC-044</t>
  </si>
  <si>
    <t>D-03</t>
  </si>
  <si>
    <t>Principal cannot change anything</t>
  </si>
  <si>
    <t>1. Look for Approve, Reject, Upload, Edit or Download SF10 buttons on every page.</t>
  </si>
  <si>
    <t>No action buttons are shown. Everything is read-only.</t>
  </si>
  <si>
    <t>TC-045</t>
  </si>
  <si>
    <t>Repository</t>
  </si>
  <si>
    <t>EPIC-05, US-013</t>
  </si>
  <si>
    <t>Search the repository</t>
  </si>
  <si>
    <t>Approved records exist.</t>
  </si>
  <si>
    <t>1. Open Digital Repository.
2. Search by LRN, then by name, then by grade level and school year.</t>
  </si>
  <si>
    <t>LRN 100000000001</t>
  </si>
  <si>
    <t>Matching learners are listed for every type of search. An empty search asks for a search term.</t>
  </si>
  <si>
    <t>TC-046</t>
  </si>
  <si>
    <t>SF10</t>
  </si>
  <si>
    <t>EPIC-05, US-005</t>
  </si>
  <si>
    <t>Download an SF10</t>
  </si>
  <si>
    <t>Learner 100000000001 has approved and historical records.</t>
  </si>
  <si>
    <t>1. Open SF10 Permanent Records for the learner.
2. Check the readiness report.
3. Click Download and open the file in Excel.</t>
  </si>
  <si>
    <t>Readiness is PARTIAL. The file opens in Excel with Grade 4 on the Front and Grade 5 on the Back, and prints on the official form layout.</t>
  </si>
  <si>
    <t>TC-047</t>
  </si>
  <si>
    <t>D-05</t>
  </si>
  <si>
    <t>SF10 with no printable year shows a clear message</t>
  </si>
  <si>
    <t>Learner has only a 3-term year.</t>
  </si>
  <si>
    <t>1. Try to download the SF10 of any other Rizal learner.</t>
  </si>
  <si>
    <t>e.g. LRN 100000000004</t>
  </si>
  <si>
    <t>Download is refused with a message that there is nothing to put on the SF10 yet, and the readiness report explains why.</t>
  </si>
  <si>
    <t>TC-048</t>
  </si>
  <si>
    <t>US-014</t>
  </si>
  <si>
    <t>Enter historical (pre-EduCheck) grades</t>
  </si>
  <si>
    <t>Adviser of the learner's section.</t>
  </si>
  <si>
    <t>1. Open the learner's SF10 page.
2. Add a past school year with 4 quarter grades per subject and save.</t>
  </si>
  <si>
    <t>e.g. Grade 3, 2022-2023</t>
  </si>
  <si>
    <t>The year is saved and appears in the readiness report and in the downloaded SF10. The action is in the audit log.</t>
  </si>
  <si>
    <t>TC-049</t>
  </si>
  <si>
    <t>Invalid historical grades are refused</t>
  </si>
  <si>
    <t>SF10 page open.</t>
  </si>
  <si>
    <t>1. Enter a grade below 60 or above 100, or a school year like 2022-2024.</t>
  </si>
  <si>
    <t>e.g. 105</t>
  </si>
  <si>
    <t>Saving is refused with a message naming the problem.</t>
  </si>
  <si>
    <t>TC-050</t>
  </si>
  <si>
    <t>Analytics</t>
  </si>
  <si>
    <t>EPIC-08, US-012</t>
  </si>
  <si>
    <t>View academic analytics</t>
  </si>
  <si>
    <t>Grades exist for the school year.</t>
  </si>
  <si>
    <t>1. Open Academic Analytics and change the school year.</t>
  </si>
  <si>
    <t>Charts show grade distribution and subject performance, and they update when the school year changes.</t>
  </si>
  <si>
    <t>TC-051</t>
  </si>
  <si>
    <t>Notifications</t>
  </si>
  <si>
    <t>Notifications appear and can be marked read</t>
  </si>
  <si>
    <t>An action caused a notification (e.g. a returned subject).</t>
  </si>
  <si>
    <t>1. Open Notifications.
2. Mark one as read, then Mark all read.</t>
  </si>
  <si>
    <t>New notifications are shown and the unread count drops to 0.</t>
  </si>
  <si>
    <t>TC-052</t>
  </si>
  <si>
    <t>Mobile</t>
  </si>
  <si>
    <t>Compatibility</t>
  </si>
  <si>
    <t>Mobile app</t>
  </si>
  <si>
    <t>Install and log in on an Android phone</t>
  </si>
  <si>
    <t>APK installed. Phone on the same network as the server.</t>
  </si>
  <si>
    <t>1. Open the app.
2. Set the server address to the PC's network address.
3. Log in.</t>
  </si>
  <si>
    <t>The app connects and shows the role's home screen.</t>
  </si>
  <si>
    <t>TC-053</t>
  </si>
  <si>
    <t>View my uploads and validation results</t>
  </si>
  <si>
    <t>Teacher has uploads.</t>
  </si>
  <si>
    <t>1. Open My Uploads.
2. Open an upload.</t>
  </si>
  <si>
    <t>Uploads match the web list. Validation issues are shown for the selected upload.</t>
  </si>
  <si>
    <t>TC-054</t>
  </si>
  <si>
    <t>Submit a record for approval on mobile</t>
  </si>
  <si>
    <t>A complete learner exists.</t>
  </si>
  <si>
    <t>1. Open Records and a complete learner.
2. Tap Submit for approval and confirm.</t>
  </si>
  <si>
    <t>Status becomes Pending Approval and matches the web app.</t>
  </si>
  <si>
    <t>TC-055</t>
  </si>
  <si>
    <t>Return a subject to its teacher on mobile</t>
  </si>
  <si>
    <t>1. Tap Return on a subject, enter a reason, confirm.</t>
  </si>
  <si>
    <t>Subject becomes Needs Revision and the teacher is notified.</t>
  </si>
  <si>
    <t>TC-056</t>
  </si>
  <si>
    <t>Approve and return records on mobile</t>
  </si>
  <si>
    <t>Records are Pending Approval.</t>
  </si>
  <si>
    <t>1. Open Approvals.
2. Approve one record.
3. Return another with a reason.</t>
  </si>
  <si>
    <t>Statuses change to Approved and Rejected, and the web app shows the same.</t>
  </si>
  <si>
    <t>TC-057</t>
  </si>
  <si>
    <t>Principal is read-only on mobile</t>
  </si>
  <si>
    <t>1. Open Submissions and a learner record.</t>
  </si>
  <si>
    <t>No Approve, Return or Submit buttons are shown.</t>
  </si>
  <si>
    <t>TC-058</t>
  </si>
  <si>
    <t>Reliability</t>
  </si>
  <si>
    <t>Offline: cached data is shown</t>
  </si>
  <si>
    <t>Records were viewed while online.</t>
  </si>
  <si>
    <t>1. Turn on airplane mode.
2. Reopen a screen viewed before (e.g. Repository).</t>
  </si>
  <si>
    <t>Cached data is shown with an offline banner and the time it was saved. The app does not crash.</t>
  </si>
  <si>
    <t>TC-059</t>
  </si>
  <si>
    <t>L-01</t>
  </si>
  <si>
    <t>New notification arrives while the app is open</t>
  </si>
  <si>
    <t>App open on the phone.</t>
  </si>
  <si>
    <t>1. On the web, do an action that notifies this user.
2. Wait up to 30 seconds.</t>
  </si>
  <si>
    <t>A notification appears in the app within about 30 seconds.</t>
  </si>
  <si>
    <t>TC-060</t>
  </si>
  <si>
    <t>Log out clears the session</t>
  </si>
  <si>
    <t>1. Open Account and tap Log out.
2. Log in as a different role.</t>
  </si>
  <si>
    <t>Two test accounts</t>
  </si>
  <si>
    <t>The second user sees only their own data. Nothing cached from the first user is shown.</t>
  </si>
  <si>
    <t>TC-061</t>
  </si>
  <si>
    <t>Performance</t>
  </si>
  <si>
    <t>Performance efficiency</t>
  </si>
  <si>
    <t>Upload and validation time</t>
  </si>
  <si>
    <t>Network and server as in the real setting.</t>
  </si>
  <si>
    <t>1. Upload a full e-class record (about 2 MB).
2. Time from clicking Upload to seeing the result.</t>
  </si>
  <si>
    <t>Valid e-class record</t>
  </si>
  <si>
    <t>Upload completes without a timeout. Record the seconds taken in Actual Result.</t>
  </si>
  <si>
    <t>TC-062</t>
  </si>
  <si>
    <t>Page load time</t>
  </si>
  <si>
    <t>1. Open Dashboard, Consolidated Records, Analytics and Repository.
2. Time each page until its data appears.</t>
  </si>
  <si>
    <t>Each page shows its data without timeouts. Record the seconds for each page.</t>
  </si>
  <si>
    <t>TC-063</t>
  </si>
  <si>
    <t>Works on Chrome, Edge and Firefox</t>
  </si>
  <si>
    <t>Latest versions of each browser.</t>
  </si>
  <si>
    <t>1. Repeat login, upload, consolidated records and SF10 download in each browser.</t>
  </si>
  <si>
    <t>Same behaviour and layout in every browser. Note browser versions in Remarks.</t>
  </si>
  <si>
    <t>TC-064</t>
  </si>
  <si>
    <t>Layout at laptop and tablet widths</t>
  </si>
  <si>
    <t>Any browser.</t>
  </si>
  <si>
    <t>1. View the main pages at a laptop width and at a tablet width.</t>
  </si>
  <si>
    <t>Content stays readable, nothing overlaps, and all buttons can be reached.</t>
  </si>
  <si>
    <t>TC-065</t>
  </si>
  <si>
    <t>First-time task completion</t>
  </si>
  <si>
    <t>Tester has not used EduCheck before.</t>
  </si>
  <si>
    <t>1. Without help, ask the tester to upload a record (teacher) or submit a learner (adviser).</t>
  </si>
  <si>
    <t>The tester completes the task without help. Note where they hesitated in Remarks.</t>
  </si>
  <si>
    <t>TC-066</t>
  </si>
  <si>
    <t>Light and dark theme are readable</t>
  </si>
  <si>
    <t>Any page.</t>
  </si>
  <si>
    <t>1. Switch the theme in Settings.
2. Look through the main pages.</t>
  </si>
  <si>
    <t>Text, status badges and charts are readable in both themes.</t>
  </si>
  <si>
    <t>TC-067</t>
  </si>
  <si>
    <t>Session expires</t>
  </si>
  <si>
    <t>1. Leave the session idle for more than 8 hours (or clear the token), then click a menu item.</t>
  </si>
  <si>
    <t>The user is asked to log in again.</t>
  </si>
  <si>
    <t>Test Summary</t>
  </si>
  <si>
    <t>Counts update from the Status column of the Test Cases sheet.</t>
  </si>
  <si>
    <t>Overall</t>
  </si>
  <si>
    <t>Total test cases</t>
  </si>
  <si>
    <t>Fail</t>
  </si>
  <si>
    <t>Blocked</t>
  </si>
  <si>
    <t>Not Run (or blank)</t>
  </si>
  <si>
    <t>Executed (Pass + Fail)</t>
  </si>
  <si>
    <t>Pass rate of executed</t>
  </si>
  <si>
    <t>Progress (executed or blocked)</t>
  </si>
  <si>
    <t>Results by module</t>
  </si>
  <si>
    <t>Total</t>
  </si>
  <si>
    <t>Not Run</t>
  </si>
  <si>
    <t>Pass rate</t>
  </si>
  <si>
    <t>Results by ISO 25010 characteristic</t>
  </si>
  <si>
    <t>Iso 25010 characteristic</t>
  </si>
  <si>
    <t>Severity</t>
  </si>
  <si>
    <t>Summary</t>
  </si>
  <si>
    <t>Steps to Reproduce</t>
  </si>
  <si>
    <t>Expected</t>
  </si>
  <si>
    <t>Actual</t>
  </si>
  <si>
    <t>Found By</t>
  </si>
  <si>
    <t>Date Found</t>
  </si>
  <si>
    <t>Fixed In (commit)</t>
  </si>
  <si>
    <t>Retest Result</t>
  </si>
  <si>
    <t>DEF-001</t>
  </si>
  <si>
    <t>DEF-002</t>
  </si>
  <si>
    <t>DEF-003</t>
  </si>
  <si>
    <t>DEF-004</t>
  </si>
  <si>
    <t>DEF-005</t>
  </si>
  <si>
    <t>DEF-006</t>
  </si>
  <si>
    <t>DEF-007</t>
  </si>
  <si>
    <t>DEF-008</t>
  </si>
  <si>
    <t>DEF-009</t>
  </si>
  <si>
    <t>DEF-010</t>
  </si>
  <si>
    <t>DEF-011</t>
  </si>
  <si>
    <t>DEF-012</t>
  </si>
  <si>
    <t>DEF-013</t>
  </si>
  <si>
    <t>DEF-014</t>
  </si>
  <si>
    <t>DEF-015</t>
  </si>
  <si>
    <t>DEF-016</t>
  </si>
  <si>
    <t>DEF-017</t>
  </si>
  <si>
    <t>DEF-018</t>
  </si>
  <si>
    <t>DEF-019</t>
  </si>
  <si>
    <t>DEF-020</t>
  </si>
  <si>
    <t>DEF-021</t>
  </si>
  <si>
    <t>DEF-022</t>
  </si>
  <si>
    <t>DEF-023</t>
  </si>
  <si>
    <t>DEF-024</t>
  </si>
  <si>
    <t>DEF-025</t>
  </si>
  <si>
    <t>DEF-026</t>
  </si>
  <si>
    <t>DEF-027</t>
  </si>
  <si>
    <t>DEF-028</t>
  </si>
  <si>
    <t>DEF-029</t>
  </si>
  <si>
    <t>DEF-030</t>
  </si>
  <si>
    <t>DEF-031</t>
  </si>
  <si>
    <t>DEF-032</t>
  </si>
  <si>
    <t>DEF-033</t>
  </si>
  <si>
    <t>DEF-034</t>
  </si>
  <si>
    <t>DEF-035</t>
  </si>
  <si>
    <t>DEF-036</t>
  </si>
  <si>
    <t>DEF-037</t>
  </si>
  <si>
    <t>DEF-038</t>
  </si>
  <si>
    <t>DEF-039</t>
  </si>
  <si>
    <t>DEF-040</t>
  </si>
  <si>
    <t>DEF-041</t>
  </si>
  <si>
    <t>DEF-042</t>
  </si>
  <si>
    <t>DEF-043</t>
  </si>
  <si>
    <t>DEF-044</t>
  </si>
  <si>
    <t>DEF-045</t>
  </si>
  <si>
    <t>DEF-046</t>
  </si>
  <si>
    <t>DEF-047</t>
  </si>
  <si>
    <t>DEF-048</t>
  </si>
  <si>
    <t>DEF-049</t>
  </si>
  <si>
    <t>DEF-050</t>
  </si>
  <si>
    <t>DEF-051</t>
  </si>
  <si>
    <t>DEF-052</t>
  </si>
  <si>
    <t>DEF-053</t>
  </si>
  <si>
    <t>DEF-054</t>
  </si>
  <si>
    <t>DEF-055</t>
  </si>
  <si>
    <t>DEF-056</t>
  </si>
  <si>
    <t>DEF-057</t>
  </si>
  <si>
    <t>DEF-058</t>
  </si>
  <si>
    <t>DEF-059</t>
  </si>
  <si>
    <t>DEF-060</t>
  </si>
  <si>
    <t>Severity guide</t>
  </si>
  <si>
    <t>Critical</t>
  </si>
  <si>
    <t>Wrong grades saved or shown, data lost, or a user sees/changes data they should not.</t>
  </si>
  <si>
    <t>High</t>
  </si>
  <si>
    <t>A main task (upload, submit, approve, SF10) cannot be completed.</t>
  </si>
  <si>
    <t>Medium</t>
  </si>
  <si>
    <t>A task works but with a wrong message, wrong count or a workaround.</t>
  </si>
  <si>
    <t>Low</t>
  </si>
  <si>
    <t>Cosmetic: layout, wording, alignment.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</si>
</sst>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6"/>
      <color rgb="FF1F3A5F"/>
      <name val="Arial"/>
    </font>
    <font>
      <i/>
      <sz val="10"/>
      <color rgb="FF595959"/>
      <name val="Arial"/>
    </font>
    <font>
      <b/>
      <sz val="11"/>
      <color rgb="FF1F3A5F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b/>
      <sz val="10"/>
      <color rgb="FF1F3A5F"/>
      <name val="Arial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1F3A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0" fillId="3" borderId="1" xfId="0" applyFill="1" applyBorder="1"/>
    <xf numFmtId="0" fontId="4" fillId="0" borderId="0" xfId="0" applyFont="1" applyAlignment="1">
      <alignment horizontal="right" vertical="top"/>
    </xf>
    <xf numFmtId="0" fontId="6" fillId="4" borderId="1" xfId="0" applyFont="1" applyFill="1" applyBorder="1"/>
    <xf numFmtId="0" fontId="4" fillId="0" borderId="1" xfId="0" applyFont="1" applyBorder="1"/>
    <xf numFmtId="0" fontId="7" fillId="0" borderId="1" xfId="0" applyFont="1" applyBorder="1"/>
    <xf numFmtId="0" fontId="6" fillId="4" borderId="1" xfId="0" applyFont="1" applyFill="1" applyBorder="1" applyAlignment="1">
      <alignment horizontal="center" vertical="top" wrapText="1"/>
    </xf>
    <xf numFmtId="0" fontId="5" fillId="0" borderId="1" xfId="0" applyFont="1" applyBorder="1"/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164" fontId="5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5" fillId="0" borderId="1" xfId="0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vertical="top" wrapText="1"/>
    </xf>
    <xf numFmtId="0" fontId="8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5" fillId="0" borderId="0" xfId="0" applyFont="1"/>
  </cellXfs>
  <cellStyles count="1">
    <cellStyle name="Normal" xfId="0" builtinId="0"/>
  </cellStyles>
  <dxfs count="4">
    <dxf>
      <fill>
        <patternFill patternType="solid">
          <fgColor rgb="FFE7E6E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showGridLines="0" tabSelected="1" workbookViewId="0"/>
  </sheetViews>
  <sheetFormatPr defaultRowHeight="14.4" x14ac:dyDescent="0.3"/>
  <cols>
    <col min="1" max="1" width="26" customWidth="1"/>
    <col min="2" max="2" width="40" customWidth="1"/>
    <col min="3" max="3" width="30" customWidth="1"/>
    <col min="4" max="4" width="44" customWidth="1"/>
  </cols>
  <sheetData>
    <row r="1" spans="1:4" ht="21" x14ac:dyDescent="0.4">
      <c r="A1" s="1" t="s">
        <v>0</v>
      </c>
    </row>
    <row r="2" spans="1:4" x14ac:dyDescent="0.3">
      <c r="A2" s="2" t="s">
        <v>1</v>
      </c>
    </row>
    <row r="4" spans="1:4" x14ac:dyDescent="0.3">
      <c r="A4" s="3" t="s">
        <v>2</v>
      </c>
      <c r="B4" s="4"/>
      <c r="C4" s="4"/>
      <c r="D4" s="4"/>
    </row>
    <row r="5" spans="1:4" x14ac:dyDescent="0.3">
      <c r="A5" s="5" t="s">
        <v>3</v>
      </c>
      <c r="B5" s="6"/>
    </row>
    <row r="6" spans="1:4" x14ac:dyDescent="0.3">
      <c r="A6" s="5" t="s">
        <v>4</v>
      </c>
      <c r="B6" s="6"/>
    </row>
    <row r="7" spans="1:4" x14ac:dyDescent="0.3">
      <c r="A7" s="5" t="s">
        <v>5</v>
      </c>
      <c r="B7" s="6"/>
    </row>
    <row r="8" spans="1:4" x14ac:dyDescent="0.3">
      <c r="A8" s="5" t="s">
        <v>6</v>
      </c>
      <c r="B8" s="6"/>
    </row>
    <row r="9" spans="1:4" x14ac:dyDescent="0.3">
      <c r="A9" s="5" t="s">
        <v>7</v>
      </c>
      <c r="B9" s="6"/>
    </row>
    <row r="10" spans="1:4" x14ac:dyDescent="0.3">
      <c r="A10" s="5" t="s">
        <v>8</v>
      </c>
      <c r="B10" s="6"/>
    </row>
    <row r="12" spans="1:4" x14ac:dyDescent="0.3">
      <c r="A12" s="3" t="s">
        <v>9</v>
      </c>
      <c r="B12" s="4"/>
      <c r="C12" s="4"/>
      <c r="D12" s="4"/>
    </row>
    <row r="13" spans="1:4" ht="28.05" customHeight="1" x14ac:dyDescent="0.3">
      <c r="A13" s="7" t="s">
        <v>10</v>
      </c>
      <c r="B13" s="24" t="s">
        <v>11</v>
      </c>
      <c r="C13" s="25"/>
      <c r="D13" s="25"/>
    </row>
    <row r="14" spans="1:4" ht="28.05" customHeight="1" x14ac:dyDescent="0.3">
      <c r="A14" s="7" t="s">
        <v>12</v>
      </c>
      <c r="B14" s="24" t="s">
        <v>13</v>
      </c>
      <c r="C14" s="25"/>
      <c r="D14" s="25"/>
    </row>
    <row r="15" spans="1:4" ht="28.05" customHeight="1" x14ac:dyDescent="0.3">
      <c r="A15" s="7" t="s">
        <v>14</v>
      </c>
      <c r="B15" s="24" t="s">
        <v>15</v>
      </c>
      <c r="C15" s="25"/>
      <c r="D15" s="25"/>
    </row>
    <row r="16" spans="1:4" ht="28.05" customHeight="1" x14ac:dyDescent="0.3">
      <c r="A16" s="7" t="s">
        <v>16</v>
      </c>
      <c r="B16" s="24" t="s">
        <v>17</v>
      </c>
      <c r="C16" s="25"/>
      <c r="D16" s="25"/>
    </row>
    <row r="17" spans="1:4" ht="28.05" customHeight="1" x14ac:dyDescent="0.3">
      <c r="A17" s="7" t="s">
        <v>18</v>
      </c>
      <c r="B17" s="24" t="s">
        <v>19</v>
      </c>
      <c r="C17" s="25"/>
      <c r="D17" s="25"/>
    </row>
    <row r="18" spans="1:4" ht="28.05" customHeight="1" x14ac:dyDescent="0.3">
      <c r="A18" s="7" t="s">
        <v>20</v>
      </c>
      <c r="B18" s="24" t="s">
        <v>21</v>
      </c>
      <c r="C18" s="25"/>
      <c r="D18" s="25"/>
    </row>
    <row r="20" spans="1:4" x14ac:dyDescent="0.3">
      <c r="A20" s="3" t="s">
        <v>22</v>
      </c>
      <c r="B20" s="4"/>
      <c r="C20" s="4"/>
      <c r="D20" s="4"/>
    </row>
    <row r="21" spans="1:4" x14ac:dyDescent="0.3">
      <c r="A21" s="8" t="s">
        <v>23</v>
      </c>
      <c r="B21" s="8" t="s">
        <v>24</v>
      </c>
    </row>
    <row r="22" spans="1:4" x14ac:dyDescent="0.3">
      <c r="A22" s="9" t="s">
        <v>25</v>
      </c>
      <c r="B22" s="10" t="s">
        <v>26</v>
      </c>
    </row>
    <row r="23" spans="1:4" x14ac:dyDescent="0.3">
      <c r="A23" s="9" t="s">
        <v>27</v>
      </c>
      <c r="B23" s="10" t="s">
        <v>28</v>
      </c>
    </row>
    <row r="24" spans="1:4" x14ac:dyDescent="0.3">
      <c r="A24" s="9" t="s">
        <v>29</v>
      </c>
      <c r="B24" s="10" t="s">
        <v>30</v>
      </c>
    </row>
    <row r="25" spans="1:4" x14ac:dyDescent="0.3">
      <c r="A25" s="9" t="s">
        <v>31</v>
      </c>
      <c r="B25" s="10" t="s">
        <v>32</v>
      </c>
    </row>
    <row r="26" spans="1:4" x14ac:dyDescent="0.3">
      <c r="A26" s="9" t="s">
        <v>33</v>
      </c>
      <c r="B26" s="10" t="s">
        <v>34</v>
      </c>
    </row>
    <row r="27" spans="1:4" x14ac:dyDescent="0.3">
      <c r="A27" s="9" t="s">
        <v>35</v>
      </c>
      <c r="B27" s="10" t="s">
        <v>36</v>
      </c>
    </row>
    <row r="28" spans="1:4" x14ac:dyDescent="0.3">
      <c r="A28" s="9" t="s">
        <v>37</v>
      </c>
      <c r="B28" s="10" t="s">
        <v>38</v>
      </c>
    </row>
    <row r="30" spans="1:4" x14ac:dyDescent="0.3">
      <c r="A30" s="3" t="s">
        <v>39</v>
      </c>
      <c r="B30" s="4"/>
      <c r="C30" s="4"/>
      <c r="D30" s="4"/>
    </row>
    <row r="31" spans="1:4" ht="26.4" x14ac:dyDescent="0.3">
      <c r="A31" s="11" t="s">
        <v>40</v>
      </c>
      <c r="B31" s="11" t="s">
        <v>41</v>
      </c>
      <c r="C31" s="11" t="s">
        <v>42</v>
      </c>
      <c r="D31" s="11" t="s">
        <v>43</v>
      </c>
    </row>
    <row r="32" spans="1:4" x14ac:dyDescent="0.3">
      <c r="A32" s="12" t="s">
        <v>44</v>
      </c>
      <c r="B32" s="12" t="s">
        <v>45</v>
      </c>
      <c r="C32" s="6"/>
      <c r="D32" s="13" t="s">
        <v>46</v>
      </c>
    </row>
    <row r="33" spans="1:4" x14ac:dyDescent="0.3">
      <c r="A33" s="12" t="s">
        <v>47</v>
      </c>
      <c r="B33" s="12" t="s">
        <v>48</v>
      </c>
      <c r="C33" s="6"/>
      <c r="D33" s="13" t="s">
        <v>49</v>
      </c>
    </row>
    <row r="34" spans="1:4" x14ac:dyDescent="0.3">
      <c r="A34" s="12" t="s">
        <v>50</v>
      </c>
      <c r="B34" s="12" t="s">
        <v>51</v>
      </c>
      <c r="C34" s="6"/>
      <c r="D34" s="13" t="s">
        <v>52</v>
      </c>
    </row>
    <row r="35" spans="1:4" x14ac:dyDescent="0.3">
      <c r="A35" s="12" t="s">
        <v>53</v>
      </c>
      <c r="B35" s="12" t="s">
        <v>54</v>
      </c>
      <c r="C35" s="6"/>
      <c r="D35" s="13" t="s">
        <v>55</v>
      </c>
    </row>
    <row r="37" spans="1:4" x14ac:dyDescent="0.3">
      <c r="A37" s="3" t="s">
        <v>56</v>
      </c>
      <c r="B37" s="4"/>
      <c r="C37" s="4"/>
      <c r="D37" s="4"/>
    </row>
    <row r="38" spans="1:4" ht="28.05" customHeight="1" x14ac:dyDescent="0.3">
      <c r="A38" s="5" t="s">
        <v>57</v>
      </c>
      <c r="B38" s="24" t="s">
        <v>58</v>
      </c>
      <c r="C38" s="25"/>
      <c r="D38" s="25"/>
    </row>
    <row r="39" spans="1:4" ht="28.05" customHeight="1" x14ac:dyDescent="0.3">
      <c r="A39" s="5" t="s">
        <v>59</v>
      </c>
      <c r="B39" s="24" t="s">
        <v>60</v>
      </c>
      <c r="C39" s="25"/>
      <c r="D39" s="25"/>
    </row>
    <row r="40" spans="1:4" ht="28.05" customHeight="1" x14ac:dyDescent="0.3">
      <c r="A40" s="5" t="s">
        <v>61</v>
      </c>
      <c r="B40" s="24" t="s">
        <v>62</v>
      </c>
      <c r="C40" s="25"/>
      <c r="D40" s="25"/>
    </row>
    <row r="41" spans="1:4" ht="28.05" customHeight="1" x14ac:dyDescent="0.3">
      <c r="A41" s="5" t="s">
        <v>63</v>
      </c>
      <c r="B41" s="24" t="s">
        <v>64</v>
      </c>
      <c r="C41" s="25"/>
      <c r="D41" s="25"/>
    </row>
  </sheetData>
  <mergeCells count="10">
    <mergeCell ref="B14:D14"/>
    <mergeCell ref="B41:D41"/>
    <mergeCell ref="B17:D17"/>
    <mergeCell ref="B18:D18"/>
    <mergeCell ref="B13:D13"/>
    <mergeCell ref="B40:D40"/>
    <mergeCell ref="B15:D15"/>
    <mergeCell ref="B39:D39"/>
    <mergeCell ref="B38:D38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68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6" customWidth="1"/>
    <col min="3" max="3" width="14" customWidth="1"/>
    <col min="4" max="4" width="9" customWidth="1"/>
    <col min="5" max="5" width="16" customWidth="1"/>
    <col min="6" max="6" width="14" customWidth="1"/>
    <col min="7" max="7" width="30" customWidth="1"/>
    <col min="8" max="8" width="28" customWidth="1"/>
    <col min="9" max="9" width="44" customWidth="1"/>
    <col min="10" max="10" width="20" customWidth="1"/>
    <col min="11" max="11" width="44" customWidth="1"/>
    <col min="12" max="12" width="34" customWidth="1"/>
    <col min="13" max="13" width="11" customWidth="1"/>
    <col min="14" max="14" width="14" customWidth="1"/>
    <col min="15" max="15" width="12" customWidth="1"/>
    <col min="16" max="16" width="11" customWidth="1"/>
    <col min="17" max="17" width="24" customWidth="1"/>
  </cols>
  <sheetData>
    <row r="1" spans="1:17" ht="30" customHeight="1" x14ac:dyDescent="0.3">
      <c r="A1" s="11" t="s">
        <v>25</v>
      </c>
      <c r="B1" s="11" t="s">
        <v>65</v>
      </c>
      <c r="C1" s="11" t="s">
        <v>41</v>
      </c>
      <c r="D1" s="11" t="s">
        <v>66</v>
      </c>
      <c r="E1" s="11" t="s">
        <v>67</v>
      </c>
      <c r="F1" s="11" t="s">
        <v>68</v>
      </c>
      <c r="G1" s="11" t="s">
        <v>69</v>
      </c>
      <c r="H1" s="11" t="s">
        <v>70</v>
      </c>
      <c r="I1" s="11" t="s">
        <v>71</v>
      </c>
      <c r="J1" s="11" t="s">
        <v>72</v>
      </c>
      <c r="K1" s="11" t="s">
        <v>73</v>
      </c>
      <c r="L1" s="11" t="s">
        <v>27</v>
      </c>
      <c r="M1" s="11" t="s">
        <v>29</v>
      </c>
      <c r="N1" s="11" t="s">
        <v>31</v>
      </c>
      <c r="O1" s="11" t="s">
        <v>33</v>
      </c>
      <c r="P1" s="11" t="s">
        <v>35</v>
      </c>
      <c r="Q1" s="11" t="s">
        <v>37</v>
      </c>
    </row>
    <row r="2" spans="1:17" ht="46.5" customHeight="1" x14ac:dyDescent="0.3">
      <c r="A2" s="14" t="s">
        <v>74</v>
      </c>
      <c r="B2" s="13" t="s">
        <v>75</v>
      </c>
      <c r="C2" s="15" t="s">
        <v>76</v>
      </c>
      <c r="D2" s="15" t="s">
        <v>77</v>
      </c>
      <c r="E2" s="13" t="s">
        <v>78</v>
      </c>
      <c r="F2" s="13" t="s">
        <v>79</v>
      </c>
      <c r="G2" s="13" t="s">
        <v>80</v>
      </c>
      <c r="H2" s="13" t="s">
        <v>81</v>
      </c>
      <c r="I2" s="13" t="s">
        <v>82</v>
      </c>
      <c r="J2" s="13" t="s">
        <v>83</v>
      </c>
      <c r="K2" s="13" t="s">
        <v>84</v>
      </c>
      <c r="L2" s="16"/>
      <c r="M2" s="17"/>
      <c r="N2" s="16"/>
      <c r="O2" s="18"/>
      <c r="P2" s="17"/>
      <c r="Q2" s="16"/>
    </row>
    <row r="3" spans="1:17" ht="46.5" customHeight="1" x14ac:dyDescent="0.3">
      <c r="A3" s="14" t="s">
        <v>26</v>
      </c>
      <c r="B3" s="13" t="s">
        <v>75</v>
      </c>
      <c r="C3" s="15" t="s">
        <v>76</v>
      </c>
      <c r="D3" s="15" t="s">
        <v>77</v>
      </c>
      <c r="E3" s="13" t="s">
        <v>78</v>
      </c>
      <c r="F3" s="13" t="s">
        <v>79</v>
      </c>
      <c r="G3" s="13" t="s">
        <v>85</v>
      </c>
      <c r="H3" s="13" t="s">
        <v>81</v>
      </c>
      <c r="I3" s="13" t="s">
        <v>86</v>
      </c>
      <c r="J3" s="13" t="s">
        <v>87</v>
      </c>
      <c r="K3" s="13" t="s">
        <v>88</v>
      </c>
      <c r="L3" s="16"/>
      <c r="M3" s="17"/>
      <c r="N3" s="16"/>
      <c r="O3" s="18"/>
      <c r="P3" s="17"/>
      <c r="Q3" s="16"/>
    </row>
    <row r="4" spans="1:17" ht="33" customHeight="1" x14ac:dyDescent="0.3">
      <c r="A4" s="14" t="s">
        <v>89</v>
      </c>
      <c r="B4" s="13" t="s">
        <v>75</v>
      </c>
      <c r="C4" s="15" t="s">
        <v>76</v>
      </c>
      <c r="D4" s="15" t="s">
        <v>77</v>
      </c>
      <c r="E4" s="13" t="s">
        <v>90</v>
      </c>
      <c r="F4" s="13" t="s">
        <v>91</v>
      </c>
      <c r="G4" s="13" t="s">
        <v>92</v>
      </c>
      <c r="H4" s="13" t="s">
        <v>93</v>
      </c>
      <c r="I4" s="13" t="s">
        <v>94</v>
      </c>
      <c r="J4" s="13" t="s">
        <v>95</v>
      </c>
      <c r="K4" s="13" t="s">
        <v>96</v>
      </c>
      <c r="L4" s="16"/>
      <c r="M4" s="17"/>
      <c r="N4" s="16"/>
      <c r="O4" s="18"/>
      <c r="P4" s="17"/>
      <c r="Q4" s="16"/>
    </row>
    <row r="5" spans="1:17" ht="46.5" customHeight="1" x14ac:dyDescent="0.3">
      <c r="A5" s="14" t="s">
        <v>97</v>
      </c>
      <c r="B5" s="13" t="s">
        <v>75</v>
      </c>
      <c r="C5" s="15" t="s">
        <v>45</v>
      </c>
      <c r="D5" s="15" t="s">
        <v>77</v>
      </c>
      <c r="E5" s="13" t="s">
        <v>78</v>
      </c>
      <c r="F5" s="13" t="s">
        <v>79</v>
      </c>
      <c r="G5" s="13" t="s">
        <v>98</v>
      </c>
      <c r="H5" s="13" t="s">
        <v>99</v>
      </c>
      <c r="I5" s="13" t="s">
        <v>100</v>
      </c>
      <c r="J5" s="13" t="s">
        <v>101</v>
      </c>
      <c r="K5" s="13" t="s">
        <v>102</v>
      </c>
      <c r="L5" s="16"/>
      <c r="M5" s="17"/>
      <c r="N5" s="16"/>
      <c r="O5" s="18"/>
      <c r="P5" s="17"/>
      <c r="Q5" s="16"/>
    </row>
    <row r="6" spans="1:17" ht="46.5" customHeight="1" x14ac:dyDescent="0.3">
      <c r="A6" s="14" t="s">
        <v>103</v>
      </c>
      <c r="B6" s="13" t="s">
        <v>75</v>
      </c>
      <c r="C6" s="15" t="s">
        <v>76</v>
      </c>
      <c r="D6" s="15" t="s">
        <v>77</v>
      </c>
      <c r="E6" s="13" t="s">
        <v>78</v>
      </c>
      <c r="F6" s="13" t="s">
        <v>104</v>
      </c>
      <c r="G6" s="13" t="s">
        <v>105</v>
      </c>
      <c r="H6" s="13" t="s">
        <v>93</v>
      </c>
      <c r="I6" s="13" t="s">
        <v>106</v>
      </c>
      <c r="J6" s="13" t="s">
        <v>87</v>
      </c>
      <c r="K6" s="13" t="s">
        <v>107</v>
      </c>
      <c r="L6" s="16"/>
      <c r="M6" s="17"/>
      <c r="N6" s="16"/>
      <c r="O6" s="18"/>
      <c r="P6" s="17"/>
      <c r="Q6" s="16"/>
    </row>
    <row r="7" spans="1:17" ht="46.5" customHeight="1" x14ac:dyDescent="0.3">
      <c r="A7" s="14" t="s">
        <v>108</v>
      </c>
      <c r="B7" s="13" t="s">
        <v>75</v>
      </c>
      <c r="C7" s="15" t="s">
        <v>76</v>
      </c>
      <c r="D7" s="15" t="s">
        <v>77</v>
      </c>
      <c r="E7" s="13" t="s">
        <v>78</v>
      </c>
      <c r="F7" s="13" t="s">
        <v>109</v>
      </c>
      <c r="G7" s="13" t="s">
        <v>110</v>
      </c>
      <c r="H7" s="13" t="s">
        <v>111</v>
      </c>
      <c r="I7" s="13" t="s">
        <v>112</v>
      </c>
      <c r="J7" s="13" t="s">
        <v>113</v>
      </c>
      <c r="K7" s="13" t="s">
        <v>114</v>
      </c>
      <c r="L7" s="16"/>
      <c r="M7" s="17"/>
      <c r="N7" s="16"/>
      <c r="O7" s="18"/>
      <c r="P7" s="17"/>
      <c r="Q7" s="16"/>
    </row>
    <row r="8" spans="1:17" ht="46.5" customHeight="1" x14ac:dyDescent="0.3">
      <c r="A8" s="14" t="s">
        <v>115</v>
      </c>
      <c r="B8" s="13" t="s">
        <v>75</v>
      </c>
      <c r="C8" s="15" t="s">
        <v>51</v>
      </c>
      <c r="D8" s="15" t="s">
        <v>77</v>
      </c>
      <c r="E8" s="13" t="s">
        <v>78</v>
      </c>
      <c r="F8" s="13" t="s">
        <v>116</v>
      </c>
      <c r="G8" s="13" t="s">
        <v>117</v>
      </c>
      <c r="H8" s="13" t="s">
        <v>118</v>
      </c>
      <c r="I8" s="13" t="s">
        <v>119</v>
      </c>
      <c r="J8" s="13" t="s">
        <v>50</v>
      </c>
      <c r="K8" s="13" t="s">
        <v>120</v>
      </c>
      <c r="L8" s="16"/>
      <c r="M8" s="17"/>
      <c r="N8" s="16"/>
      <c r="O8" s="18"/>
      <c r="P8" s="17"/>
      <c r="Q8" s="16"/>
    </row>
    <row r="9" spans="1:17" ht="60" customHeight="1" x14ac:dyDescent="0.3">
      <c r="A9" s="14" t="s">
        <v>121</v>
      </c>
      <c r="B9" s="13" t="s">
        <v>122</v>
      </c>
      <c r="C9" s="15" t="s">
        <v>76</v>
      </c>
      <c r="D9" s="15" t="s">
        <v>77</v>
      </c>
      <c r="E9" s="13" t="s">
        <v>78</v>
      </c>
      <c r="F9" s="13" t="s">
        <v>91</v>
      </c>
      <c r="G9" s="13" t="s">
        <v>123</v>
      </c>
      <c r="H9" s="13" t="s">
        <v>111</v>
      </c>
      <c r="I9" s="13" t="s">
        <v>124</v>
      </c>
      <c r="J9" s="13" t="s">
        <v>125</v>
      </c>
      <c r="K9" s="13" t="s">
        <v>126</v>
      </c>
      <c r="L9" s="16"/>
      <c r="M9" s="17"/>
      <c r="N9" s="16"/>
      <c r="O9" s="18"/>
      <c r="P9" s="17"/>
      <c r="Q9" s="16"/>
    </row>
    <row r="10" spans="1:17" ht="87" customHeight="1" x14ac:dyDescent="0.3">
      <c r="A10" s="14" t="s">
        <v>127</v>
      </c>
      <c r="B10" s="13" t="s">
        <v>122</v>
      </c>
      <c r="C10" s="15" t="s">
        <v>51</v>
      </c>
      <c r="D10" s="15" t="s">
        <v>77</v>
      </c>
      <c r="E10" s="13" t="s">
        <v>128</v>
      </c>
      <c r="F10" s="13" t="s">
        <v>91</v>
      </c>
      <c r="G10" s="13" t="s">
        <v>129</v>
      </c>
      <c r="H10" s="13" t="s">
        <v>130</v>
      </c>
      <c r="I10" s="13" t="s">
        <v>131</v>
      </c>
      <c r="J10" s="13" t="s">
        <v>50</v>
      </c>
      <c r="K10" s="13" t="s">
        <v>132</v>
      </c>
      <c r="L10" s="16"/>
      <c r="M10" s="17"/>
      <c r="N10" s="16"/>
      <c r="O10" s="18"/>
      <c r="P10" s="17"/>
      <c r="Q10" s="16"/>
    </row>
    <row r="11" spans="1:17" ht="46.5" customHeight="1" x14ac:dyDescent="0.3">
      <c r="A11" s="14" t="s">
        <v>133</v>
      </c>
      <c r="B11" s="13" t="s">
        <v>122</v>
      </c>
      <c r="C11" s="15" t="s">
        <v>54</v>
      </c>
      <c r="D11" s="15" t="s">
        <v>77</v>
      </c>
      <c r="E11" s="13" t="s">
        <v>128</v>
      </c>
      <c r="F11" s="13" t="s">
        <v>134</v>
      </c>
      <c r="G11" s="13" t="s">
        <v>135</v>
      </c>
      <c r="H11" s="13" t="s">
        <v>136</v>
      </c>
      <c r="I11" s="13" t="s">
        <v>137</v>
      </c>
      <c r="J11" s="13" t="s">
        <v>53</v>
      </c>
      <c r="K11" s="13" t="s">
        <v>138</v>
      </c>
      <c r="L11" s="16"/>
      <c r="M11" s="17"/>
      <c r="N11" s="16"/>
      <c r="O11" s="18"/>
      <c r="P11" s="17"/>
      <c r="Q11" s="16"/>
    </row>
    <row r="12" spans="1:17" ht="33" customHeight="1" x14ac:dyDescent="0.3">
      <c r="A12" s="14" t="s">
        <v>139</v>
      </c>
      <c r="B12" s="13" t="s">
        <v>122</v>
      </c>
      <c r="C12" s="15" t="s">
        <v>76</v>
      </c>
      <c r="D12" s="15" t="s">
        <v>77</v>
      </c>
      <c r="E12" s="13" t="s">
        <v>78</v>
      </c>
      <c r="F12" s="13" t="s">
        <v>91</v>
      </c>
      <c r="G12" s="13" t="s">
        <v>140</v>
      </c>
      <c r="H12" s="13" t="s">
        <v>111</v>
      </c>
      <c r="I12" s="13" t="s">
        <v>141</v>
      </c>
      <c r="J12" s="13" t="s">
        <v>142</v>
      </c>
      <c r="K12" s="13" t="s">
        <v>143</v>
      </c>
      <c r="L12" s="16"/>
      <c r="M12" s="17"/>
      <c r="N12" s="16"/>
      <c r="O12" s="18"/>
      <c r="P12" s="17"/>
      <c r="Q12" s="16"/>
    </row>
    <row r="13" spans="1:17" ht="46.5" customHeight="1" x14ac:dyDescent="0.3">
      <c r="A13" s="14" t="s">
        <v>144</v>
      </c>
      <c r="B13" s="13" t="s">
        <v>145</v>
      </c>
      <c r="C13" s="15" t="s">
        <v>45</v>
      </c>
      <c r="D13" s="15" t="s">
        <v>77</v>
      </c>
      <c r="E13" s="13" t="s">
        <v>128</v>
      </c>
      <c r="F13" s="13" t="s">
        <v>109</v>
      </c>
      <c r="G13" s="13" t="s">
        <v>146</v>
      </c>
      <c r="H13" s="13" t="s">
        <v>147</v>
      </c>
      <c r="I13" s="13" t="s">
        <v>148</v>
      </c>
      <c r="J13" s="13" t="s">
        <v>149</v>
      </c>
      <c r="K13" s="13" t="s">
        <v>150</v>
      </c>
      <c r="L13" s="16"/>
      <c r="M13" s="17"/>
      <c r="N13" s="16"/>
      <c r="O13" s="18"/>
      <c r="P13" s="17"/>
      <c r="Q13" s="16"/>
    </row>
    <row r="14" spans="1:17" ht="46.5" customHeight="1" x14ac:dyDescent="0.3">
      <c r="A14" s="14" t="s">
        <v>151</v>
      </c>
      <c r="B14" s="13" t="s">
        <v>145</v>
      </c>
      <c r="C14" s="15" t="s">
        <v>45</v>
      </c>
      <c r="D14" s="15" t="s">
        <v>77</v>
      </c>
      <c r="E14" s="13" t="s">
        <v>128</v>
      </c>
      <c r="F14" s="13" t="s">
        <v>109</v>
      </c>
      <c r="G14" s="13" t="s">
        <v>152</v>
      </c>
      <c r="H14" s="13" t="s">
        <v>153</v>
      </c>
      <c r="I14" s="13" t="s">
        <v>154</v>
      </c>
      <c r="J14" s="13" t="s">
        <v>155</v>
      </c>
      <c r="K14" s="13" t="s">
        <v>156</v>
      </c>
      <c r="L14" s="16"/>
      <c r="M14" s="17"/>
      <c r="N14" s="16"/>
      <c r="O14" s="18"/>
      <c r="P14" s="17"/>
      <c r="Q14" s="16"/>
    </row>
    <row r="15" spans="1:17" ht="46.5" customHeight="1" x14ac:dyDescent="0.3">
      <c r="A15" s="14" t="s">
        <v>157</v>
      </c>
      <c r="B15" s="13" t="s">
        <v>145</v>
      </c>
      <c r="C15" s="15" t="s">
        <v>45</v>
      </c>
      <c r="D15" s="15" t="s">
        <v>77</v>
      </c>
      <c r="E15" s="13" t="s">
        <v>128</v>
      </c>
      <c r="F15" s="13" t="s">
        <v>158</v>
      </c>
      <c r="G15" s="13" t="s">
        <v>159</v>
      </c>
      <c r="H15" s="13" t="s">
        <v>153</v>
      </c>
      <c r="I15" s="13" t="s">
        <v>160</v>
      </c>
      <c r="J15" s="13" t="s">
        <v>155</v>
      </c>
      <c r="K15" s="13" t="s">
        <v>161</v>
      </c>
      <c r="L15" s="16"/>
      <c r="M15" s="17"/>
      <c r="N15" s="16"/>
      <c r="O15" s="18"/>
      <c r="P15" s="17"/>
      <c r="Q15" s="16"/>
    </row>
    <row r="16" spans="1:17" ht="30" customHeight="1" x14ac:dyDescent="0.3">
      <c r="A16" s="14" t="s">
        <v>162</v>
      </c>
      <c r="B16" s="13" t="s">
        <v>145</v>
      </c>
      <c r="C16" s="15" t="s">
        <v>45</v>
      </c>
      <c r="D16" s="15" t="s">
        <v>77</v>
      </c>
      <c r="E16" s="13" t="s">
        <v>90</v>
      </c>
      <c r="F16" s="13" t="s">
        <v>109</v>
      </c>
      <c r="G16" s="13" t="s">
        <v>163</v>
      </c>
      <c r="H16" s="13" t="s">
        <v>164</v>
      </c>
      <c r="I16" s="13" t="s">
        <v>165</v>
      </c>
      <c r="J16" s="13" t="s">
        <v>166</v>
      </c>
      <c r="K16" s="13" t="s">
        <v>167</v>
      </c>
      <c r="L16" s="16"/>
      <c r="M16" s="17"/>
      <c r="N16" s="16"/>
      <c r="O16" s="18"/>
      <c r="P16" s="17"/>
      <c r="Q16" s="16"/>
    </row>
    <row r="17" spans="1:17" ht="46.5" customHeight="1" x14ac:dyDescent="0.3">
      <c r="A17" s="14" t="s">
        <v>168</v>
      </c>
      <c r="B17" s="13" t="s">
        <v>169</v>
      </c>
      <c r="C17" s="15" t="s">
        <v>45</v>
      </c>
      <c r="D17" s="15" t="s">
        <v>77</v>
      </c>
      <c r="E17" s="13" t="s">
        <v>128</v>
      </c>
      <c r="F17" s="13" t="s">
        <v>109</v>
      </c>
      <c r="G17" s="13" t="s">
        <v>170</v>
      </c>
      <c r="H17" s="13" t="s">
        <v>147</v>
      </c>
      <c r="I17" s="13" t="s">
        <v>171</v>
      </c>
      <c r="J17" s="13" t="s">
        <v>172</v>
      </c>
      <c r="K17" s="13" t="s">
        <v>173</v>
      </c>
      <c r="L17" s="16"/>
      <c r="M17" s="17"/>
      <c r="N17" s="16"/>
      <c r="O17" s="18"/>
      <c r="P17" s="17"/>
      <c r="Q17" s="16"/>
    </row>
    <row r="18" spans="1:17" ht="46.5" customHeight="1" x14ac:dyDescent="0.3">
      <c r="A18" s="14" t="s">
        <v>174</v>
      </c>
      <c r="B18" s="13" t="s">
        <v>175</v>
      </c>
      <c r="C18" s="15" t="s">
        <v>45</v>
      </c>
      <c r="D18" s="15" t="s">
        <v>77</v>
      </c>
      <c r="E18" s="13" t="s">
        <v>128</v>
      </c>
      <c r="F18" s="13" t="s">
        <v>176</v>
      </c>
      <c r="G18" s="13" t="s">
        <v>177</v>
      </c>
      <c r="H18" s="13" t="s">
        <v>178</v>
      </c>
      <c r="I18" s="13" t="s">
        <v>179</v>
      </c>
      <c r="J18" s="13" t="s">
        <v>180</v>
      </c>
      <c r="K18" s="13" t="s">
        <v>181</v>
      </c>
      <c r="L18" s="16"/>
      <c r="M18" s="17"/>
      <c r="N18" s="16"/>
      <c r="O18" s="18"/>
      <c r="P18" s="17"/>
      <c r="Q18" s="16"/>
    </row>
    <row r="19" spans="1:17" ht="33" customHeight="1" x14ac:dyDescent="0.3">
      <c r="A19" s="14" t="s">
        <v>182</v>
      </c>
      <c r="B19" s="13" t="s">
        <v>175</v>
      </c>
      <c r="C19" s="15" t="s">
        <v>45</v>
      </c>
      <c r="D19" s="15" t="s">
        <v>77</v>
      </c>
      <c r="E19" s="13" t="s">
        <v>128</v>
      </c>
      <c r="F19" s="13" t="s">
        <v>176</v>
      </c>
      <c r="G19" s="13" t="s">
        <v>183</v>
      </c>
      <c r="H19" s="13" t="s">
        <v>147</v>
      </c>
      <c r="I19" s="13" t="s">
        <v>184</v>
      </c>
      <c r="J19" s="13" t="s">
        <v>185</v>
      </c>
      <c r="K19" s="13" t="s">
        <v>186</v>
      </c>
      <c r="L19" s="16"/>
      <c r="M19" s="17"/>
      <c r="N19" s="16"/>
      <c r="O19" s="18"/>
      <c r="P19" s="17"/>
      <c r="Q19" s="16"/>
    </row>
    <row r="20" spans="1:17" ht="60" customHeight="1" x14ac:dyDescent="0.3">
      <c r="A20" s="14" t="s">
        <v>187</v>
      </c>
      <c r="B20" s="13" t="s">
        <v>175</v>
      </c>
      <c r="C20" s="15" t="s">
        <v>45</v>
      </c>
      <c r="D20" s="15" t="s">
        <v>77</v>
      </c>
      <c r="E20" s="13" t="s">
        <v>78</v>
      </c>
      <c r="F20" s="13" t="s">
        <v>109</v>
      </c>
      <c r="G20" s="13" t="s">
        <v>188</v>
      </c>
      <c r="H20" s="13" t="s">
        <v>189</v>
      </c>
      <c r="I20" s="13" t="s">
        <v>190</v>
      </c>
      <c r="J20" s="13" t="s">
        <v>50</v>
      </c>
      <c r="K20" s="13" t="s">
        <v>191</v>
      </c>
      <c r="L20" s="16"/>
      <c r="M20" s="17"/>
      <c r="N20" s="16"/>
      <c r="O20" s="18"/>
      <c r="P20" s="17"/>
      <c r="Q20" s="16"/>
    </row>
    <row r="21" spans="1:17" ht="46.5" customHeight="1" x14ac:dyDescent="0.3">
      <c r="A21" s="14" t="s">
        <v>192</v>
      </c>
      <c r="B21" s="13" t="s">
        <v>175</v>
      </c>
      <c r="C21" s="15" t="s">
        <v>45</v>
      </c>
      <c r="D21" s="15" t="s">
        <v>77</v>
      </c>
      <c r="E21" s="13" t="s">
        <v>128</v>
      </c>
      <c r="F21" s="13" t="s">
        <v>109</v>
      </c>
      <c r="G21" s="13" t="s">
        <v>193</v>
      </c>
      <c r="H21" s="13" t="s">
        <v>194</v>
      </c>
      <c r="I21" s="13" t="s">
        <v>195</v>
      </c>
      <c r="J21" s="13" t="s">
        <v>196</v>
      </c>
      <c r="K21" s="13" t="s">
        <v>197</v>
      </c>
      <c r="L21" s="16"/>
      <c r="M21" s="17"/>
      <c r="N21" s="16"/>
      <c r="O21" s="18"/>
      <c r="P21" s="17"/>
      <c r="Q21" s="16"/>
    </row>
    <row r="22" spans="1:17" ht="46.5" customHeight="1" x14ac:dyDescent="0.3">
      <c r="A22" s="14" t="s">
        <v>198</v>
      </c>
      <c r="B22" s="13" t="s">
        <v>199</v>
      </c>
      <c r="C22" s="15" t="s">
        <v>45</v>
      </c>
      <c r="D22" s="15" t="s">
        <v>77</v>
      </c>
      <c r="E22" s="13" t="s">
        <v>128</v>
      </c>
      <c r="F22" s="13" t="s">
        <v>200</v>
      </c>
      <c r="G22" s="13" t="s">
        <v>201</v>
      </c>
      <c r="H22" s="13" t="s">
        <v>202</v>
      </c>
      <c r="I22" s="13" t="s">
        <v>203</v>
      </c>
      <c r="J22" s="13" t="s">
        <v>113</v>
      </c>
      <c r="K22" s="13" t="s">
        <v>204</v>
      </c>
      <c r="L22" s="16"/>
      <c r="M22" s="17"/>
      <c r="N22" s="16"/>
      <c r="O22" s="18"/>
      <c r="P22" s="17"/>
      <c r="Q22" s="16"/>
    </row>
    <row r="23" spans="1:17" ht="46.5" customHeight="1" x14ac:dyDescent="0.3">
      <c r="A23" s="14" t="s">
        <v>205</v>
      </c>
      <c r="B23" s="13" t="s">
        <v>206</v>
      </c>
      <c r="C23" s="15" t="s">
        <v>51</v>
      </c>
      <c r="D23" s="15" t="s">
        <v>77</v>
      </c>
      <c r="E23" s="13" t="s">
        <v>128</v>
      </c>
      <c r="F23" s="13" t="s">
        <v>207</v>
      </c>
      <c r="G23" s="13" t="s">
        <v>208</v>
      </c>
      <c r="H23" s="13" t="s">
        <v>209</v>
      </c>
      <c r="I23" s="13" t="s">
        <v>210</v>
      </c>
      <c r="J23" s="13" t="s">
        <v>211</v>
      </c>
      <c r="K23" s="13" t="s">
        <v>212</v>
      </c>
      <c r="L23" s="16"/>
      <c r="M23" s="17"/>
      <c r="N23" s="16"/>
      <c r="O23" s="18"/>
      <c r="P23" s="17"/>
      <c r="Q23" s="16"/>
    </row>
    <row r="24" spans="1:17" ht="33" customHeight="1" x14ac:dyDescent="0.3">
      <c r="A24" s="14" t="s">
        <v>213</v>
      </c>
      <c r="B24" s="13" t="s">
        <v>206</v>
      </c>
      <c r="C24" s="15" t="s">
        <v>51</v>
      </c>
      <c r="D24" s="15" t="s">
        <v>77</v>
      </c>
      <c r="E24" s="13" t="s">
        <v>128</v>
      </c>
      <c r="F24" s="13" t="s">
        <v>207</v>
      </c>
      <c r="G24" s="13" t="s">
        <v>214</v>
      </c>
      <c r="H24" s="13" t="s">
        <v>215</v>
      </c>
      <c r="I24" s="13" t="s">
        <v>216</v>
      </c>
      <c r="J24" s="13" t="s">
        <v>113</v>
      </c>
      <c r="K24" s="13" t="s">
        <v>217</v>
      </c>
      <c r="L24" s="16"/>
      <c r="M24" s="17"/>
      <c r="N24" s="16"/>
      <c r="O24" s="18"/>
      <c r="P24" s="17"/>
      <c r="Q24" s="16"/>
    </row>
    <row r="25" spans="1:17" ht="33" customHeight="1" x14ac:dyDescent="0.3">
      <c r="A25" s="14" t="s">
        <v>218</v>
      </c>
      <c r="B25" s="13" t="s">
        <v>206</v>
      </c>
      <c r="C25" s="15" t="s">
        <v>51</v>
      </c>
      <c r="D25" s="15" t="s">
        <v>77</v>
      </c>
      <c r="E25" s="13" t="s">
        <v>78</v>
      </c>
      <c r="F25" s="13" t="s">
        <v>219</v>
      </c>
      <c r="G25" s="13" t="s">
        <v>220</v>
      </c>
      <c r="H25" s="13" t="s">
        <v>118</v>
      </c>
      <c r="I25" s="13" t="s">
        <v>221</v>
      </c>
      <c r="J25" s="13" t="s">
        <v>222</v>
      </c>
      <c r="K25" s="13" t="s">
        <v>223</v>
      </c>
      <c r="L25" s="16"/>
      <c r="M25" s="17"/>
      <c r="N25" s="16"/>
      <c r="O25" s="18"/>
      <c r="P25" s="17"/>
      <c r="Q25" s="16"/>
    </row>
    <row r="26" spans="1:17" ht="33" customHeight="1" x14ac:dyDescent="0.3">
      <c r="A26" s="14" t="s">
        <v>224</v>
      </c>
      <c r="B26" s="13" t="s">
        <v>206</v>
      </c>
      <c r="C26" s="15" t="s">
        <v>51</v>
      </c>
      <c r="D26" s="15" t="s">
        <v>77</v>
      </c>
      <c r="E26" s="13" t="s">
        <v>78</v>
      </c>
      <c r="F26" s="13" t="s">
        <v>225</v>
      </c>
      <c r="G26" s="13" t="s">
        <v>226</v>
      </c>
      <c r="H26" s="13" t="s">
        <v>118</v>
      </c>
      <c r="I26" s="13" t="s">
        <v>227</v>
      </c>
      <c r="J26" s="13" t="s">
        <v>228</v>
      </c>
      <c r="K26" s="13" t="s">
        <v>229</v>
      </c>
      <c r="L26" s="16"/>
      <c r="M26" s="17"/>
      <c r="N26" s="16"/>
      <c r="O26" s="18"/>
      <c r="P26" s="17"/>
      <c r="Q26" s="16"/>
    </row>
    <row r="27" spans="1:17" ht="46.5" customHeight="1" x14ac:dyDescent="0.3">
      <c r="A27" s="14" t="s">
        <v>230</v>
      </c>
      <c r="B27" s="13" t="s">
        <v>206</v>
      </c>
      <c r="C27" s="15" t="s">
        <v>51</v>
      </c>
      <c r="D27" s="15" t="s">
        <v>77</v>
      </c>
      <c r="E27" s="13" t="s">
        <v>128</v>
      </c>
      <c r="F27" s="13" t="s">
        <v>231</v>
      </c>
      <c r="G27" s="13" t="s">
        <v>232</v>
      </c>
      <c r="H27" s="13" t="s">
        <v>233</v>
      </c>
      <c r="I27" s="13" t="s">
        <v>234</v>
      </c>
      <c r="J27" s="13" t="s">
        <v>235</v>
      </c>
      <c r="K27" s="13" t="s">
        <v>236</v>
      </c>
      <c r="L27" s="16"/>
      <c r="M27" s="17"/>
      <c r="N27" s="16"/>
      <c r="O27" s="18"/>
      <c r="P27" s="17"/>
      <c r="Q27" s="16"/>
    </row>
    <row r="28" spans="1:17" ht="60" customHeight="1" x14ac:dyDescent="0.3">
      <c r="A28" s="14" t="s">
        <v>237</v>
      </c>
      <c r="B28" s="13" t="s">
        <v>238</v>
      </c>
      <c r="C28" s="15" t="s">
        <v>51</v>
      </c>
      <c r="D28" s="15" t="s">
        <v>77</v>
      </c>
      <c r="E28" s="13" t="s">
        <v>128</v>
      </c>
      <c r="F28" s="13" t="s">
        <v>239</v>
      </c>
      <c r="G28" s="13" t="s">
        <v>240</v>
      </c>
      <c r="H28" s="13" t="s">
        <v>241</v>
      </c>
      <c r="I28" s="13" t="s">
        <v>242</v>
      </c>
      <c r="J28" s="13" t="s">
        <v>243</v>
      </c>
      <c r="K28" s="13" t="s">
        <v>244</v>
      </c>
      <c r="L28" s="16"/>
      <c r="M28" s="17"/>
      <c r="N28" s="16"/>
      <c r="O28" s="18"/>
      <c r="P28" s="17"/>
      <c r="Q28" s="16"/>
    </row>
    <row r="29" spans="1:17" ht="33" customHeight="1" x14ac:dyDescent="0.3">
      <c r="A29" s="14" t="s">
        <v>245</v>
      </c>
      <c r="B29" s="13" t="s">
        <v>238</v>
      </c>
      <c r="C29" s="15" t="s">
        <v>51</v>
      </c>
      <c r="D29" s="15" t="s">
        <v>77</v>
      </c>
      <c r="E29" s="13" t="s">
        <v>128</v>
      </c>
      <c r="F29" s="13" t="s">
        <v>246</v>
      </c>
      <c r="G29" s="13" t="s">
        <v>247</v>
      </c>
      <c r="H29" s="13" t="s">
        <v>248</v>
      </c>
      <c r="I29" s="13" t="s">
        <v>249</v>
      </c>
      <c r="J29" s="13" t="s">
        <v>250</v>
      </c>
      <c r="K29" s="13" t="s">
        <v>251</v>
      </c>
      <c r="L29" s="16"/>
      <c r="M29" s="17"/>
      <c r="N29" s="16"/>
      <c r="O29" s="18"/>
      <c r="P29" s="17"/>
      <c r="Q29" s="16"/>
    </row>
    <row r="30" spans="1:17" ht="46.5" customHeight="1" x14ac:dyDescent="0.3">
      <c r="A30" s="14" t="s">
        <v>252</v>
      </c>
      <c r="B30" s="13" t="s">
        <v>238</v>
      </c>
      <c r="C30" s="15" t="s">
        <v>45</v>
      </c>
      <c r="D30" s="15" t="s">
        <v>77</v>
      </c>
      <c r="E30" s="13" t="s">
        <v>128</v>
      </c>
      <c r="F30" s="13" t="s">
        <v>253</v>
      </c>
      <c r="G30" s="13" t="s">
        <v>254</v>
      </c>
      <c r="H30" s="13" t="s">
        <v>147</v>
      </c>
      <c r="I30" s="13" t="s">
        <v>255</v>
      </c>
      <c r="J30" s="13" t="s">
        <v>113</v>
      </c>
      <c r="K30" s="13" t="s">
        <v>256</v>
      </c>
      <c r="L30" s="16"/>
      <c r="M30" s="17"/>
      <c r="N30" s="16"/>
      <c r="O30" s="18"/>
      <c r="P30" s="17"/>
      <c r="Q30" s="16"/>
    </row>
    <row r="31" spans="1:17" ht="33" customHeight="1" x14ac:dyDescent="0.3">
      <c r="A31" s="14" t="s">
        <v>257</v>
      </c>
      <c r="B31" s="13" t="s">
        <v>206</v>
      </c>
      <c r="C31" s="15" t="s">
        <v>48</v>
      </c>
      <c r="D31" s="15" t="s">
        <v>77</v>
      </c>
      <c r="E31" s="13" t="s">
        <v>128</v>
      </c>
      <c r="F31" s="13" t="s">
        <v>258</v>
      </c>
      <c r="G31" s="13" t="s">
        <v>259</v>
      </c>
      <c r="H31" s="13" t="s">
        <v>260</v>
      </c>
      <c r="I31" s="13" t="s">
        <v>261</v>
      </c>
      <c r="J31" s="13" t="s">
        <v>262</v>
      </c>
      <c r="K31" s="13" t="s">
        <v>263</v>
      </c>
      <c r="L31" s="16"/>
      <c r="M31" s="17"/>
      <c r="N31" s="16"/>
      <c r="O31" s="18"/>
      <c r="P31" s="17"/>
      <c r="Q31" s="16"/>
    </row>
    <row r="32" spans="1:17" ht="46.5" customHeight="1" x14ac:dyDescent="0.3">
      <c r="A32" s="14" t="s">
        <v>264</v>
      </c>
      <c r="B32" s="13" t="s">
        <v>265</v>
      </c>
      <c r="C32" s="15" t="s">
        <v>48</v>
      </c>
      <c r="D32" s="15" t="s">
        <v>77</v>
      </c>
      <c r="E32" s="13" t="s">
        <v>128</v>
      </c>
      <c r="F32" s="13" t="s">
        <v>266</v>
      </c>
      <c r="G32" s="13" t="s">
        <v>267</v>
      </c>
      <c r="H32" s="13" t="s">
        <v>268</v>
      </c>
      <c r="I32" s="13" t="s">
        <v>269</v>
      </c>
      <c r="J32" s="13" t="s">
        <v>47</v>
      </c>
      <c r="K32" s="13" t="s">
        <v>270</v>
      </c>
      <c r="L32" s="16"/>
      <c r="M32" s="17"/>
      <c r="N32" s="16"/>
      <c r="O32" s="18"/>
      <c r="P32" s="17"/>
      <c r="Q32" s="16"/>
    </row>
    <row r="33" spans="1:17" ht="33" customHeight="1" x14ac:dyDescent="0.3">
      <c r="A33" s="14" t="s">
        <v>271</v>
      </c>
      <c r="B33" s="13" t="s">
        <v>265</v>
      </c>
      <c r="C33" s="15" t="s">
        <v>48</v>
      </c>
      <c r="D33" s="15" t="s">
        <v>77</v>
      </c>
      <c r="E33" s="13" t="s">
        <v>78</v>
      </c>
      <c r="F33" s="13" t="s">
        <v>272</v>
      </c>
      <c r="G33" s="13" t="s">
        <v>273</v>
      </c>
      <c r="H33" s="13" t="s">
        <v>274</v>
      </c>
      <c r="I33" s="13" t="s">
        <v>275</v>
      </c>
      <c r="J33" s="13" t="s">
        <v>113</v>
      </c>
      <c r="K33" s="13" t="s">
        <v>276</v>
      </c>
      <c r="L33" s="16"/>
      <c r="M33" s="17"/>
      <c r="N33" s="16"/>
      <c r="O33" s="18"/>
      <c r="P33" s="17"/>
      <c r="Q33" s="16"/>
    </row>
    <row r="34" spans="1:17" ht="46.5" customHeight="1" x14ac:dyDescent="0.3">
      <c r="A34" s="14" t="s">
        <v>277</v>
      </c>
      <c r="B34" s="13" t="s">
        <v>265</v>
      </c>
      <c r="C34" s="15" t="s">
        <v>48</v>
      </c>
      <c r="D34" s="15" t="s">
        <v>77</v>
      </c>
      <c r="E34" s="13" t="s">
        <v>128</v>
      </c>
      <c r="F34" s="13" t="s">
        <v>278</v>
      </c>
      <c r="G34" s="13" t="s">
        <v>279</v>
      </c>
      <c r="H34" s="13" t="s">
        <v>280</v>
      </c>
      <c r="I34" s="13" t="s">
        <v>281</v>
      </c>
      <c r="J34" s="13" t="s">
        <v>282</v>
      </c>
      <c r="K34" s="13" t="s">
        <v>283</v>
      </c>
      <c r="L34" s="16"/>
      <c r="M34" s="17"/>
      <c r="N34" s="16"/>
      <c r="O34" s="18"/>
      <c r="P34" s="17"/>
      <c r="Q34" s="16"/>
    </row>
    <row r="35" spans="1:17" ht="33" customHeight="1" x14ac:dyDescent="0.3">
      <c r="A35" s="14" t="s">
        <v>284</v>
      </c>
      <c r="B35" s="13" t="s">
        <v>265</v>
      </c>
      <c r="C35" s="15" t="s">
        <v>48</v>
      </c>
      <c r="D35" s="15" t="s">
        <v>77</v>
      </c>
      <c r="E35" s="13" t="s">
        <v>128</v>
      </c>
      <c r="F35" s="13" t="s">
        <v>285</v>
      </c>
      <c r="G35" s="13" t="s">
        <v>286</v>
      </c>
      <c r="H35" s="13" t="s">
        <v>287</v>
      </c>
      <c r="I35" s="13" t="s">
        <v>288</v>
      </c>
      <c r="J35" s="13" t="s">
        <v>289</v>
      </c>
      <c r="K35" s="13" t="s">
        <v>290</v>
      </c>
      <c r="L35" s="16"/>
      <c r="M35" s="17"/>
      <c r="N35" s="16"/>
      <c r="O35" s="18"/>
      <c r="P35" s="17"/>
      <c r="Q35" s="16"/>
    </row>
    <row r="36" spans="1:17" ht="46.5" customHeight="1" x14ac:dyDescent="0.3">
      <c r="A36" s="14" t="s">
        <v>291</v>
      </c>
      <c r="B36" s="13" t="s">
        <v>292</v>
      </c>
      <c r="C36" s="15" t="s">
        <v>48</v>
      </c>
      <c r="D36" s="15" t="s">
        <v>77</v>
      </c>
      <c r="E36" s="13" t="s">
        <v>128</v>
      </c>
      <c r="F36" s="13" t="s">
        <v>278</v>
      </c>
      <c r="G36" s="13" t="s">
        <v>293</v>
      </c>
      <c r="H36" s="13" t="s">
        <v>294</v>
      </c>
      <c r="I36" s="13" t="s">
        <v>295</v>
      </c>
      <c r="J36" s="13" t="s">
        <v>296</v>
      </c>
      <c r="K36" s="13" t="s">
        <v>297</v>
      </c>
      <c r="L36" s="16"/>
      <c r="M36" s="17"/>
      <c r="N36" s="16"/>
      <c r="O36" s="18"/>
      <c r="P36" s="17"/>
      <c r="Q36" s="16"/>
    </row>
    <row r="37" spans="1:17" ht="33" customHeight="1" x14ac:dyDescent="0.3">
      <c r="A37" s="14" t="s">
        <v>298</v>
      </c>
      <c r="B37" s="13" t="s">
        <v>292</v>
      </c>
      <c r="C37" s="15" t="s">
        <v>48</v>
      </c>
      <c r="D37" s="15" t="s">
        <v>77</v>
      </c>
      <c r="E37" s="13" t="s">
        <v>128</v>
      </c>
      <c r="F37" s="13" t="s">
        <v>285</v>
      </c>
      <c r="G37" s="13" t="s">
        <v>299</v>
      </c>
      <c r="H37" s="13" t="s">
        <v>300</v>
      </c>
      <c r="I37" s="13" t="s">
        <v>301</v>
      </c>
      <c r="J37" s="13" t="s">
        <v>302</v>
      </c>
      <c r="K37" s="13" t="s">
        <v>303</v>
      </c>
      <c r="L37" s="16"/>
      <c r="M37" s="17"/>
      <c r="N37" s="16"/>
      <c r="O37" s="18"/>
      <c r="P37" s="17"/>
      <c r="Q37" s="16"/>
    </row>
    <row r="38" spans="1:17" ht="46.5" customHeight="1" x14ac:dyDescent="0.3">
      <c r="A38" s="14" t="s">
        <v>304</v>
      </c>
      <c r="B38" s="13" t="s">
        <v>292</v>
      </c>
      <c r="C38" s="15" t="s">
        <v>48</v>
      </c>
      <c r="D38" s="15" t="s">
        <v>77</v>
      </c>
      <c r="E38" s="13" t="s">
        <v>128</v>
      </c>
      <c r="F38" s="13" t="s">
        <v>285</v>
      </c>
      <c r="G38" s="13" t="s">
        <v>305</v>
      </c>
      <c r="H38" s="13" t="s">
        <v>306</v>
      </c>
      <c r="I38" s="13" t="s">
        <v>307</v>
      </c>
      <c r="J38" s="13" t="s">
        <v>113</v>
      </c>
      <c r="K38" s="13" t="s">
        <v>308</v>
      </c>
      <c r="L38" s="16"/>
      <c r="M38" s="17"/>
      <c r="N38" s="16"/>
      <c r="O38" s="18"/>
      <c r="P38" s="17"/>
      <c r="Q38" s="16"/>
    </row>
    <row r="39" spans="1:17" ht="33" customHeight="1" x14ac:dyDescent="0.3">
      <c r="A39" s="14" t="s">
        <v>309</v>
      </c>
      <c r="B39" s="13" t="s">
        <v>310</v>
      </c>
      <c r="C39" s="15" t="s">
        <v>48</v>
      </c>
      <c r="D39" s="15" t="s">
        <v>77</v>
      </c>
      <c r="E39" s="13" t="s">
        <v>128</v>
      </c>
      <c r="F39" s="13" t="s">
        <v>311</v>
      </c>
      <c r="G39" s="13" t="s">
        <v>312</v>
      </c>
      <c r="H39" s="13" t="s">
        <v>313</v>
      </c>
      <c r="I39" s="13" t="s">
        <v>314</v>
      </c>
      <c r="J39" s="13" t="s">
        <v>113</v>
      </c>
      <c r="K39" s="13" t="s">
        <v>315</v>
      </c>
      <c r="L39" s="16"/>
      <c r="M39" s="17"/>
      <c r="N39" s="16"/>
      <c r="O39" s="18"/>
      <c r="P39" s="17"/>
      <c r="Q39" s="16"/>
    </row>
    <row r="40" spans="1:17" ht="46.5" customHeight="1" x14ac:dyDescent="0.3">
      <c r="A40" s="14" t="s">
        <v>316</v>
      </c>
      <c r="B40" s="13" t="s">
        <v>317</v>
      </c>
      <c r="C40" s="15" t="s">
        <v>45</v>
      </c>
      <c r="D40" s="15" t="s">
        <v>77</v>
      </c>
      <c r="E40" s="13" t="s">
        <v>128</v>
      </c>
      <c r="F40" s="13" t="s">
        <v>318</v>
      </c>
      <c r="G40" s="13" t="s">
        <v>319</v>
      </c>
      <c r="H40" s="13" t="s">
        <v>320</v>
      </c>
      <c r="I40" s="13" t="s">
        <v>321</v>
      </c>
      <c r="J40" s="13" t="s">
        <v>322</v>
      </c>
      <c r="K40" s="13" t="s">
        <v>323</v>
      </c>
      <c r="L40" s="16"/>
      <c r="M40" s="17"/>
      <c r="N40" s="16"/>
      <c r="O40" s="18"/>
      <c r="P40" s="17"/>
      <c r="Q40" s="16"/>
    </row>
    <row r="41" spans="1:17" ht="46.5" customHeight="1" x14ac:dyDescent="0.3">
      <c r="A41" s="14" t="s">
        <v>324</v>
      </c>
      <c r="B41" s="13" t="s">
        <v>317</v>
      </c>
      <c r="C41" s="15" t="s">
        <v>45</v>
      </c>
      <c r="D41" s="15" t="s">
        <v>77</v>
      </c>
      <c r="E41" s="13" t="s">
        <v>128</v>
      </c>
      <c r="F41" s="13" t="s">
        <v>318</v>
      </c>
      <c r="G41" s="13" t="s">
        <v>325</v>
      </c>
      <c r="H41" s="13" t="s">
        <v>320</v>
      </c>
      <c r="I41" s="13" t="s">
        <v>326</v>
      </c>
      <c r="J41" s="13" t="s">
        <v>282</v>
      </c>
      <c r="K41" s="13" t="s">
        <v>327</v>
      </c>
      <c r="L41" s="16"/>
      <c r="M41" s="17"/>
      <c r="N41" s="16"/>
      <c r="O41" s="18"/>
      <c r="P41" s="17"/>
      <c r="Q41" s="16"/>
    </row>
    <row r="42" spans="1:17" ht="33" customHeight="1" x14ac:dyDescent="0.3">
      <c r="A42" s="14" t="s">
        <v>328</v>
      </c>
      <c r="B42" s="13" t="s">
        <v>317</v>
      </c>
      <c r="C42" s="15" t="s">
        <v>48</v>
      </c>
      <c r="D42" s="15" t="s">
        <v>77</v>
      </c>
      <c r="E42" s="13" t="s">
        <v>128</v>
      </c>
      <c r="F42" s="13" t="s">
        <v>329</v>
      </c>
      <c r="G42" s="13" t="s">
        <v>330</v>
      </c>
      <c r="H42" s="13" t="s">
        <v>331</v>
      </c>
      <c r="I42" s="13" t="s">
        <v>332</v>
      </c>
      <c r="J42" s="13" t="s">
        <v>333</v>
      </c>
      <c r="K42" s="13" t="s">
        <v>334</v>
      </c>
      <c r="L42" s="16"/>
      <c r="M42" s="17"/>
      <c r="N42" s="16"/>
      <c r="O42" s="18"/>
      <c r="P42" s="17"/>
      <c r="Q42" s="16"/>
    </row>
    <row r="43" spans="1:17" ht="33" customHeight="1" x14ac:dyDescent="0.3">
      <c r="A43" s="14" t="s">
        <v>335</v>
      </c>
      <c r="B43" s="13" t="s">
        <v>317</v>
      </c>
      <c r="C43" s="15" t="s">
        <v>48</v>
      </c>
      <c r="D43" s="15" t="s">
        <v>77</v>
      </c>
      <c r="E43" s="13" t="s">
        <v>128</v>
      </c>
      <c r="F43" s="13" t="s">
        <v>336</v>
      </c>
      <c r="G43" s="13" t="s">
        <v>337</v>
      </c>
      <c r="H43" s="13" t="s">
        <v>331</v>
      </c>
      <c r="I43" s="13" t="s">
        <v>338</v>
      </c>
      <c r="J43" s="13" t="s">
        <v>282</v>
      </c>
      <c r="K43" s="13" t="s">
        <v>339</v>
      </c>
      <c r="L43" s="16"/>
      <c r="M43" s="17"/>
      <c r="N43" s="16"/>
      <c r="O43" s="18"/>
      <c r="P43" s="17"/>
      <c r="Q43" s="16"/>
    </row>
    <row r="44" spans="1:17" ht="30" customHeight="1" x14ac:dyDescent="0.3">
      <c r="A44" s="14" t="s">
        <v>340</v>
      </c>
      <c r="B44" s="13" t="s">
        <v>54</v>
      </c>
      <c r="C44" s="15" t="s">
        <v>54</v>
      </c>
      <c r="D44" s="15" t="s">
        <v>77</v>
      </c>
      <c r="E44" s="13" t="s">
        <v>128</v>
      </c>
      <c r="F44" s="13" t="s">
        <v>109</v>
      </c>
      <c r="G44" s="13" t="s">
        <v>341</v>
      </c>
      <c r="H44" s="13" t="s">
        <v>342</v>
      </c>
      <c r="I44" s="13" t="s">
        <v>343</v>
      </c>
      <c r="J44" s="13" t="s">
        <v>53</v>
      </c>
      <c r="K44" s="13" t="s">
        <v>344</v>
      </c>
      <c r="L44" s="16"/>
      <c r="M44" s="17"/>
      <c r="N44" s="16"/>
      <c r="O44" s="18"/>
      <c r="P44" s="17"/>
      <c r="Q44" s="16"/>
    </row>
    <row r="45" spans="1:17" ht="33" customHeight="1" x14ac:dyDescent="0.3">
      <c r="A45" s="14" t="s">
        <v>345</v>
      </c>
      <c r="B45" s="13" t="s">
        <v>54</v>
      </c>
      <c r="C45" s="15" t="s">
        <v>54</v>
      </c>
      <c r="D45" s="15" t="s">
        <v>77</v>
      </c>
      <c r="E45" s="13" t="s">
        <v>78</v>
      </c>
      <c r="F45" s="13" t="s">
        <v>346</v>
      </c>
      <c r="G45" s="13" t="s">
        <v>347</v>
      </c>
      <c r="H45" s="13" t="s">
        <v>342</v>
      </c>
      <c r="I45" s="13" t="s">
        <v>348</v>
      </c>
      <c r="J45" s="13" t="s">
        <v>53</v>
      </c>
      <c r="K45" s="13" t="s">
        <v>349</v>
      </c>
      <c r="L45" s="16"/>
      <c r="M45" s="17"/>
      <c r="N45" s="16"/>
      <c r="O45" s="18"/>
      <c r="P45" s="17"/>
      <c r="Q45" s="16"/>
    </row>
    <row r="46" spans="1:17" ht="46.5" customHeight="1" x14ac:dyDescent="0.3">
      <c r="A46" s="14" t="s">
        <v>350</v>
      </c>
      <c r="B46" s="13" t="s">
        <v>351</v>
      </c>
      <c r="C46" s="15" t="s">
        <v>45</v>
      </c>
      <c r="D46" s="15" t="s">
        <v>77</v>
      </c>
      <c r="E46" s="13" t="s">
        <v>128</v>
      </c>
      <c r="F46" s="13" t="s">
        <v>352</v>
      </c>
      <c r="G46" s="13" t="s">
        <v>353</v>
      </c>
      <c r="H46" s="13" t="s">
        <v>354</v>
      </c>
      <c r="I46" s="13" t="s">
        <v>355</v>
      </c>
      <c r="J46" s="13" t="s">
        <v>356</v>
      </c>
      <c r="K46" s="13" t="s">
        <v>357</v>
      </c>
      <c r="L46" s="16"/>
      <c r="M46" s="17"/>
      <c r="N46" s="16"/>
      <c r="O46" s="18"/>
      <c r="P46" s="17"/>
      <c r="Q46" s="16"/>
    </row>
    <row r="47" spans="1:17" ht="60" customHeight="1" x14ac:dyDescent="0.3">
      <c r="A47" s="14" t="s">
        <v>358</v>
      </c>
      <c r="B47" s="13" t="s">
        <v>359</v>
      </c>
      <c r="C47" s="15" t="s">
        <v>45</v>
      </c>
      <c r="D47" s="15" t="s">
        <v>77</v>
      </c>
      <c r="E47" s="13" t="s">
        <v>128</v>
      </c>
      <c r="F47" s="13" t="s">
        <v>360</v>
      </c>
      <c r="G47" s="13" t="s">
        <v>361</v>
      </c>
      <c r="H47" s="13" t="s">
        <v>362</v>
      </c>
      <c r="I47" s="13" t="s">
        <v>363</v>
      </c>
      <c r="J47" s="13" t="s">
        <v>356</v>
      </c>
      <c r="K47" s="13" t="s">
        <v>364</v>
      </c>
      <c r="L47" s="16"/>
      <c r="M47" s="17"/>
      <c r="N47" s="16"/>
      <c r="O47" s="18"/>
      <c r="P47" s="17"/>
      <c r="Q47" s="16"/>
    </row>
    <row r="48" spans="1:17" ht="46.5" customHeight="1" x14ac:dyDescent="0.3">
      <c r="A48" s="14" t="s">
        <v>365</v>
      </c>
      <c r="B48" s="13" t="s">
        <v>359</v>
      </c>
      <c r="C48" s="15" t="s">
        <v>45</v>
      </c>
      <c r="D48" s="15" t="s">
        <v>77</v>
      </c>
      <c r="E48" s="13" t="s">
        <v>128</v>
      </c>
      <c r="F48" s="13" t="s">
        <v>366</v>
      </c>
      <c r="G48" s="13" t="s">
        <v>367</v>
      </c>
      <c r="H48" s="13" t="s">
        <v>368</v>
      </c>
      <c r="I48" s="13" t="s">
        <v>369</v>
      </c>
      <c r="J48" s="13" t="s">
        <v>370</v>
      </c>
      <c r="K48" s="13" t="s">
        <v>371</v>
      </c>
      <c r="L48" s="16"/>
      <c r="M48" s="17"/>
      <c r="N48" s="16"/>
      <c r="O48" s="18"/>
      <c r="P48" s="17"/>
      <c r="Q48" s="16"/>
    </row>
    <row r="49" spans="1:17" ht="46.5" customHeight="1" x14ac:dyDescent="0.3">
      <c r="A49" s="14" t="s">
        <v>372</v>
      </c>
      <c r="B49" s="13" t="s">
        <v>359</v>
      </c>
      <c r="C49" s="15" t="s">
        <v>48</v>
      </c>
      <c r="D49" s="15" t="s">
        <v>77</v>
      </c>
      <c r="E49" s="13" t="s">
        <v>128</v>
      </c>
      <c r="F49" s="13" t="s">
        <v>373</v>
      </c>
      <c r="G49" s="13" t="s">
        <v>374</v>
      </c>
      <c r="H49" s="13" t="s">
        <v>375</v>
      </c>
      <c r="I49" s="13" t="s">
        <v>376</v>
      </c>
      <c r="J49" s="13" t="s">
        <v>377</v>
      </c>
      <c r="K49" s="13" t="s">
        <v>378</v>
      </c>
      <c r="L49" s="16"/>
      <c r="M49" s="17"/>
      <c r="N49" s="16"/>
      <c r="O49" s="18"/>
      <c r="P49" s="17"/>
      <c r="Q49" s="16"/>
    </row>
    <row r="50" spans="1:17" ht="33" customHeight="1" x14ac:dyDescent="0.3">
      <c r="A50" s="14" t="s">
        <v>379</v>
      </c>
      <c r="B50" s="13" t="s">
        <v>359</v>
      </c>
      <c r="C50" s="15" t="s">
        <v>48</v>
      </c>
      <c r="D50" s="15" t="s">
        <v>77</v>
      </c>
      <c r="E50" s="13" t="s">
        <v>128</v>
      </c>
      <c r="F50" s="13" t="s">
        <v>373</v>
      </c>
      <c r="G50" s="13" t="s">
        <v>380</v>
      </c>
      <c r="H50" s="13" t="s">
        <v>381</v>
      </c>
      <c r="I50" s="13" t="s">
        <v>382</v>
      </c>
      <c r="J50" s="13" t="s">
        <v>383</v>
      </c>
      <c r="K50" s="13" t="s">
        <v>384</v>
      </c>
      <c r="L50" s="16"/>
      <c r="M50" s="17"/>
      <c r="N50" s="16"/>
      <c r="O50" s="18"/>
      <c r="P50" s="17"/>
      <c r="Q50" s="16"/>
    </row>
    <row r="51" spans="1:17" ht="46.5" customHeight="1" x14ac:dyDescent="0.3">
      <c r="A51" s="14" t="s">
        <v>385</v>
      </c>
      <c r="B51" s="13" t="s">
        <v>386</v>
      </c>
      <c r="C51" s="15" t="s">
        <v>45</v>
      </c>
      <c r="D51" s="15" t="s">
        <v>77</v>
      </c>
      <c r="E51" s="13" t="s">
        <v>128</v>
      </c>
      <c r="F51" s="13" t="s">
        <v>387</v>
      </c>
      <c r="G51" s="13" t="s">
        <v>388</v>
      </c>
      <c r="H51" s="13" t="s">
        <v>389</v>
      </c>
      <c r="I51" s="13" t="s">
        <v>390</v>
      </c>
      <c r="J51" s="13" t="s">
        <v>113</v>
      </c>
      <c r="K51" s="13" t="s">
        <v>391</v>
      </c>
      <c r="L51" s="16"/>
      <c r="M51" s="17"/>
      <c r="N51" s="16"/>
      <c r="O51" s="18"/>
      <c r="P51" s="17"/>
      <c r="Q51" s="16"/>
    </row>
    <row r="52" spans="1:17" ht="46.5" customHeight="1" x14ac:dyDescent="0.3">
      <c r="A52" s="14" t="s">
        <v>392</v>
      </c>
      <c r="B52" s="13" t="s">
        <v>393</v>
      </c>
      <c r="C52" s="15" t="s">
        <v>51</v>
      </c>
      <c r="D52" s="15" t="s">
        <v>77</v>
      </c>
      <c r="E52" s="13" t="s">
        <v>128</v>
      </c>
      <c r="F52" s="13" t="s">
        <v>285</v>
      </c>
      <c r="G52" s="13" t="s">
        <v>394</v>
      </c>
      <c r="H52" s="13" t="s">
        <v>395</v>
      </c>
      <c r="I52" s="13" t="s">
        <v>396</v>
      </c>
      <c r="J52" s="13" t="s">
        <v>113</v>
      </c>
      <c r="K52" s="13" t="s">
        <v>397</v>
      </c>
      <c r="L52" s="16"/>
      <c r="M52" s="17"/>
      <c r="N52" s="16"/>
      <c r="O52" s="18"/>
      <c r="P52" s="17"/>
      <c r="Q52" s="16"/>
    </row>
    <row r="53" spans="1:17" ht="46.5" customHeight="1" x14ac:dyDescent="0.3">
      <c r="A53" s="14" t="s">
        <v>398</v>
      </c>
      <c r="B53" s="13" t="s">
        <v>399</v>
      </c>
      <c r="C53" s="15" t="s">
        <v>76</v>
      </c>
      <c r="D53" s="15" t="s">
        <v>399</v>
      </c>
      <c r="E53" s="13" t="s">
        <v>400</v>
      </c>
      <c r="F53" s="13" t="s">
        <v>401</v>
      </c>
      <c r="G53" s="13" t="s">
        <v>402</v>
      </c>
      <c r="H53" s="13" t="s">
        <v>403</v>
      </c>
      <c r="I53" s="13" t="s">
        <v>404</v>
      </c>
      <c r="J53" s="13" t="s">
        <v>83</v>
      </c>
      <c r="K53" s="13" t="s">
        <v>405</v>
      </c>
      <c r="L53" s="16"/>
      <c r="M53" s="17"/>
      <c r="N53" s="16"/>
      <c r="O53" s="18"/>
      <c r="P53" s="17"/>
      <c r="Q53" s="16"/>
    </row>
    <row r="54" spans="1:17" ht="33" customHeight="1" x14ac:dyDescent="0.3">
      <c r="A54" s="14" t="s">
        <v>406</v>
      </c>
      <c r="B54" s="13" t="s">
        <v>399</v>
      </c>
      <c r="C54" s="15" t="s">
        <v>51</v>
      </c>
      <c r="D54" s="15" t="s">
        <v>399</v>
      </c>
      <c r="E54" s="13" t="s">
        <v>128</v>
      </c>
      <c r="F54" s="13" t="s">
        <v>401</v>
      </c>
      <c r="G54" s="13" t="s">
        <v>407</v>
      </c>
      <c r="H54" s="13" t="s">
        <v>408</v>
      </c>
      <c r="I54" s="13" t="s">
        <v>409</v>
      </c>
      <c r="J54" s="13" t="s">
        <v>50</v>
      </c>
      <c r="K54" s="13" t="s">
        <v>410</v>
      </c>
      <c r="L54" s="16"/>
      <c r="M54" s="17"/>
      <c r="N54" s="16"/>
      <c r="O54" s="18"/>
      <c r="P54" s="17"/>
      <c r="Q54" s="16"/>
    </row>
    <row r="55" spans="1:17" ht="33" customHeight="1" x14ac:dyDescent="0.3">
      <c r="A55" s="14" t="s">
        <v>411</v>
      </c>
      <c r="B55" s="13" t="s">
        <v>399</v>
      </c>
      <c r="C55" s="15" t="s">
        <v>48</v>
      </c>
      <c r="D55" s="15" t="s">
        <v>399</v>
      </c>
      <c r="E55" s="13" t="s">
        <v>128</v>
      </c>
      <c r="F55" s="13" t="s">
        <v>401</v>
      </c>
      <c r="G55" s="13" t="s">
        <v>412</v>
      </c>
      <c r="H55" s="13" t="s">
        <v>413</v>
      </c>
      <c r="I55" s="13" t="s">
        <v>414</v>
      </c>
      <c r="J55" s="13" t="s">
        <v>47</v>
      </c>
      <c r="K55" s="13" t="s">
        <v>415</v>
      </c>
      <c r="L55" s="16"/>
      <c r="M55" s="17"/>
      <c r="N55" s="16"/>
      <c r="O55" s="18"/>
      <c r="P55" s="17"/>
      <c r="Q55" s="16"/>
    </row>
    <row r="56" spans="1:17" ht="33" customHeight="1" x14ac:dyDescent="0.3">
      <c r="A56" s="14" t="s">
        <v>416</v>
      </c>
      <c r="B56" s="13" t="s">
        <v>399</v>
      </c>
      <c r="C56" s="15" t="s">
        <v>48</v>
      </c>
      <c r="D56" s="15" t="s">
        <v>399</v>
      </c>
      <c r="E56" s="13" t="s">
        <v>128</v>
      </c>
      <c r="F56" s="13" t="s">
        <v>401</v>
      </c>
      <c r="G56" s="13" t="s">
        <v>417</v>
      </c>
      <c r="H56" s="13" t="s">
        <v>287</v>
      </c>
      <c r="I56" s="13" t="s">
        <v>418</v>
      </c>
      <c r="J56" s="13" t="s">
        <v>282</v>
      </c>
      <c r="K56" s="13" t="s">
        <v>419</v>
      </c>
      <c r="L56" s="16"/>
      <c r="M56" s="17"/>
      <c r="N56" s="16"/>
      <c r="O56" s="18"/>
      <c r="P56" s="17"/>
      <c r="Q56" s="16"/>
    </row>
    <row r="57" spans="1:17" ht="46.5" customHeight="1" x14ac:dyDescent="0.3">
      <c r="A57" s="14" t="s">
        <v>420</v>
      </c>
      <c r="B57" s="13" t="s">
        <v>399</v>
      </c>
      <c r="C57" s="15" t="s">
        <v>45</v>
      </c>
      <c r="D57" s="15" t="s">
        <v>399</v>
      </c>
      <c r="E57" s="13" t="s">
        <v>128</v>
      </c>
      <c r="F57" s="13" t="s">
        <v>401</v>
      </c>
      <c r="G57" s="13" t="s">
        <v>421</v>
      </c>
      <c r="H57" s="13" t="s">
        <v>422</v>
      </c>
      <c r="I57" s="13" t="s">
        <v>423</v>
      </c>
      <c r="J57" s="13" t="s">
        <v>44</v>
      </c>
      <c r="K57" s="13" t="s">
        <v>424</v>
      </c>
      <c r="L57" s="16"/>
      <c r="M57" s="17"/>
      <c r="N57" s="16"/>
      <c r="O57" s="18"/>
      <c r="P57" s="17"/>
      <c r="Q57" s="16"/>
    </row>
    <row r="58" spans="1:17" ht="33" customHeight="1" x14ac:dyDescent="0.3">
      <c r="A58" s="14" t="s">
        <v>425</v>
      </c>
      <c r="B58" s="13" t="s">
        <v>399</v>
      </c>
      <c r="C58" s="15" t="s">
        <v>54</v>
      </c>
      <c r="D58" s="15" t="s">
        <v>399</v>
      </c>
      <c r="E58" s="13" t="s">
        <v>78</v>
      </c>
      <c r="F58" s="13" t="s">
        <v>346</v>
      </c>
      <c r="G58" s="13" t="s">
        <v>426</v>
      </c>
      <c r="H58" s="13" t="s">
        <v>342</v>
      </c>
      <c r="I58" s="13" t="s">
        <v>427</v>
      </c>
      <c r="J58" s="13" t="s">
        <v>53</v>
      </c>
      <c r="K58" s="13" t="s">
        <v>428</v>
      </c>
      <c r="L58" s="16"/>
      <c r="M58" s="17"/>
      <c r="N58" s="16"/>
      <c r="O58" s="18"/>
      <c r="P58" s="17"/>
      <c r="Q58" s="16"/>
    </row>
    <row r="59" spans="1:17" ht="46.5" customHeight="1" x14ac:dyDescent="0.3">
      <c r="A59" s="14" t="s">
        <v>429</v>
      </c>
      <c r="B59" s="13" t="s">
        <v>399</v>
      </c>
      <c r="C59" s="15" t="s">
        <v>76</v>
      </c>
      <c r="D59" s="15" t="s">
        <v>399</v>
      </c>
      <c r="E59" s="13" t="s">
        <v>430</v>
      </c>
      <c r="F59" s="13" t="s">
        <v>401</v>
      </c>
      <c r="G59" s="13" t="s">
        <v>431</v>
      </c>
      <c r="H59" s="13" t="s">
        <v>432</v>
      </c>
      <c r="I59" s="13" t="s">
        <v>433</v>
      </c>
      <c r="J59" s="13" t="s">
        <v>113</v>
      </c>
      <c r="K59" s="13" t="s">
        <v>434</v>
      </c>
      <c r="L59" s="16"/>
      <c r="M59" s="17"/>
      <c r="N59" s="16"/>
      <c r="O59" s="18"/>
      <c r="P59" s="17"/>
      <c r="Q59" s="16"/>
    </row>
    <row r="60" spans="1:17" ht="33" customHeight="1" x14ac:dyDescent="0.3">
      <c r="A60" s="14" t="s">
        <v>435</v>
      </c>
      <c r="B60" s="13" t="s">
        <v>399</v>
      </c>
      <c r="C60" s="15" t="s">
        <v>76</v>
      </c>
      <c r="D60" s="15" t="s">
        <v>399</v>
      </c>
      <c r="E60" s="13" t="s">
        <v>128</v>
      </c>
      <c r="F60" s="13" t="s">
        <v>436</v>
      </c>
      <c r="G60" s="13" t="s">
        <v>437</v>
      </c>
      <c r="H60" s="13" t="s">
        <v>438</v>
      </c>
      <c r="I60" s="13" t="s">
        <v>439</v>
      </c>
      <c r="J60" s="13" t="s">
        <v>113</v>
      </c>
      <c r="K60" s="13" t="s">
        <v>440</v>
      </c>
      <c r="L60" s="16"/>
      <c r="M60" s="17"/>
      <c r="N60" s="16"/>
      <c r="O60" s="18"/>
      <c r="P60" s="17"/>
      <c r="Q60" s="16"/>
    </row>
    <row r="61" spans="1:17" ht="46.5" customHeight="1" x14ac:dyDescent="0.3">
      <c r="A61" s="14" t="s">
        <v>441</v>
      </c>
      <c r="B61" s="13" t="s">
        <v>399</v>
      </c>
      <c r="C61" s="15" t="s">
        <v>76</v>
      </c>
      <c r="D61" s="15" t="s">
        <v>399</v>
      </c>
      <c r="E61" s="13" t="s">
        <v>78</v>
      </c>
      <c r="F61" s="13" t="s">
        <v>401</v>
      </c>
      <c r="G61" s="13" t="s">
        <v>442</v>
      </c>
      <c r="H61" s="13" t="s">
        <v>111</v>
      </c>
      <c r="I61" s="13" t="s">
        <v>443</v>
      </c>
      <c r="J61" s="13" t="s">
        <v>444</v>
      </c>
      <c r="K61" s="13" t="s">
        <v>445</v>
      </c>
      <c r="L61" s="16"/>
      <c r="M61" s="17"/>
      <c r="N61" s="16"/>
      <c r="O61" s="18"/>
      <c r="P61" s="17"/>
      <c r="Q61" s="16"/>
    </row>
    <row r="62" spans="1:17" ht="33" customHeight="1" x14ac:dyDescent="0.3">
      <c r="A62" s="14" t="s">
        <v>446</v>
      </c>
      <c r="B62" s="13" t="s">
        <v>447</v>
      </c>
      <c r="C62" s="15" t="s">
        <v>51</v>
      </c>
      <c r="D62" s="15" t="s">
        <v>77</v>
      </c>
      <c r="E62" s="13" t="s">
        <v>448</v>
      </c>
      <c r="F62" s="13" t="s">
        <v>67</v>
      </c>
      <c r="G62" s="13" t="s">
        <v>449</v>
      </c>
      <c r="H62" s="13" t="s">
        <v>450</v>
      </c>
      <c r="I62" s="13" t="s">
        <v>451</v>
      </c>
      <c r="J62" s="13" t="s">
        <v>452</v>
      </c>
      <c r="K62" s="13" t="s">
        <v>453</v>
      </c>
      <c r="L62" s="16"/>
      <c r="M62" s="17"/>
      <c r="N62" s="16"/>
      <c r="O62" s="18"/>
      <c r="P62" s="17"/>
      <c r="Q62" s="16"/>
    </row>
    <row r="63" spans="1:17" ht="33" customHeight="1" x14ac:dyDescent="0.3">
      <c r="A63" s="14" t="s">
        <v>454</v>
      </c>
      <c r="B63" s="13" t="s">
        <v>447</v>
      </c>
      <c r="C63" s="15" t="s">
        <v>45</v>
      </c>
      <c r="D63" s="15" t="s">
        <v>77</v>
      </c>
      <c r="E63" s="13" t="s">
        <v>448</v>
      </c>
      <c r="F63" s="13" t="s">
        <v>67</v>
      </c>
      <c r="G63" s="13" t="s">
        <v>455</v>
      </c>
      <c r="H63" s="13" t="s">
        <v>111</v>
      </c>
      <c r="I63" s="13" t="s">
        <v>456</v>
      </c>
      <c r="J63" s="13" t="s">
        <v>113</v>
      </c>
      <c r="K63" s="13" t="s">
        <v>457</v>
      </c>
      <c r="L63" s="16"/>
      <c r="M63" s="17"/>
      <c r="N63" s="16"/>
      <c r="O63" s="18"/>
      <c r="P63" s="17"/>
      <c r="Q63" s="16"/>
    </row>
    <row r="64" spans="1:17" ht="33" customHeight="1" x14ac:dyDescent="0.3">
      <c r="A64" s="14" t="s">
        <v>458</v>
      </c>
      <c r="B64" s="13" t="s">
        <v>400</v>
      </c>
      <c r="C64" s="15" t="s">
        <v>76</v>
      </c>
      <c r="D64" s="15" t="s">
        <v>77</v>
      </c>
      <c r="E64" s="13" t="s">
        <v>400</v>
      </c>
      <c r="F64" s="13" t="s">
        <v>67</v>
      </c>
      <c r="G64" s="13" t="s">
        <v>459</v>
      </c>
      <c r="H64" s="13" t="s">
        <v>460</v>
      </c>
      <c r="I64" s="13" t="s">
        <v>461</v>
      </c>
      <c r="J64" s="13" t="s">
        <v>113</v>
      </c>
      <c r="K64" s="13" t="s">
        <v>462</v>
      </c>
      <c r="L64" s="16"/>
      <c r="M64" s="17"/>
      <c r="N64" s="16"/>
      <c r="O64" s="18"/>
      <c r="P64" s="17"/>
      <c r="Q64" s="16"/>
    </row>
    <row r="65" spans="1:17" ht="33" customHeight="1" x14ac:dyDescent="0.3">
      <c r="A65" s="14" t="s">
        <v>463</v>
      </c>
      <c r="B65" s="13" t="s">
        <v>400</v>
      </c>
      <c r="C65" s="15" t="s">
        <v>76</v>
      </c>
      <c r="D65" s="15" t="s">
        <v>77</v>
      </c>
      <c r="E65" s="13" t="s">
        <v>400</v>
      </c>
      <c r="F65" s="13" t="s">
        <v>67</v>
      </c>
      <c r="G65" s="13" t="s">
        <v>464</v>
      </c>
      <c r="H65" s="13" t="s">
        <v>465</v>
      </c>
      <c r="I65" s="13" t="s">
        <v>466</v>
      </c>
      <c r="J65" s="13" t="s">
        <v>113</v>
      </c>
      <c r="K65" s="13" t="s">
        <v>467</v>
      </c>
      <c r="L65" s="16"/>
      <c r="M65" s="17"/>
      <c r="N65" s="16"/>
      <c r="O65" s="18"/>
      <c r="P65" s="17"/>
      <c r="Q65" s="16"/>
    </row>
    <row r="66" spans="1:17" ht="33" customHeight="1" x14ac:dyDescent="0.3">
      <c r="A66" s="14" t="s">
        <v>468</v>
      </c>
      <c r="B66" s="13" t="s">
        <v>90</v>
      </c>
      <c r="C66" s="15" t="s">
        <v>76</v>
      </c>
      <c r="D66" s="15" t="s">
        <v>77</v>
      </c>
      <c r="E66" s="13" t="s">
        <v>90</v>
      </c>
      <c r="F66" s="13" t="s">
        <v>67</v>
      </c>
      <c r="G66" s="13" t="s">
        <v>469</v>
      </c>
      <c r="H66" s="13" t="s">
        <v>470</v>
      </c>
      <c r="I66" s="13" t="s">
        <v>471</v>
      </c>
      <c r="J66" s="13" t="s">
        <v>113</v>
      </c>
      <c r="K66" s="13" t="s">
        <v>472</v>
      </c>
      <c r="L66" s="16"/>
      <c r="M66" s="17"/>
      <c r="N66" s="16"/>
      <c r="O66" s="18"/>
      <c r="P66" s="17"/>
      <c r="Q66" s="16"/>
    </row>
    <row r="67" spans="1:17" ht="33" customHeight="1" x14ac:dyDescent="0.3">
      <c r="A67" s="14" t="s">
        <v>473</v>
      </c>
      <c r="B67" s="13" t="s">
        <v>90</v>
      </c>
      <c r="C67" s="15" t="s">
        <v>76</v>
      </c>
      <c r="D67" s="15" t="s">
        <v>77</v>
      </c>
      <c r="E67" s="13" t="s">
        <v>90</v>
      </c>
      <c r="F67" s="13" t="s">
        <v>67</v>
      </c>
      <c r="G67" s="13" t="s">
        <v>474</v>
      </c>
      <c r="H67" s="13" t="s">
        <v>475</v>
      </c>
      <c r="I67" s="13" t="s">
        <v>476</v>
      </c>
      <c r="J67" s="13" t="s">
        <v>113</v>
      </c>
      <c r="K67" s="13" t="s">
        <v>477</v>
      </c>
      <c r="L67" s="16"/>
      <c r="M67" s="17"/>
      <c r="N67" s="16"/>
      <c r="O67" s="18"/>
      <c r="P67" s="17"/>
      <c r="Q67" s="16"/>
    </row>
    <row r="68" spans="1:17" ht="30" customHeight="1" x14ac:dyDescent="0.3">
      <c r="A68" s="14" t="s">
        <v>478</v>
      </c>
      <c r="B68" s="13" t="s">
        <v>78</v>
      </c>
      <c r="C68" s="15" t="s">
        <v>76</v>
      </c>
      <c r="D68" s="15" t="s">
        <v>77</v>
      </c>
      <c r="E68" s="13" t="s">
        <v>78</v>
      </c>
      <c r="F68" s="13" t="s">
        <v>67</v>
      </c>
      <c r="G68" s="13" t="s">
        <v>479</v>
      </c>
      <c r="H68" s="13" t="s">
        <v>111</v>
      </c>
      <c r="I68" s="13" t="s">
        <v>480</v>
      </c>
      <c r="J68" s="13" t="s">
        <v>113</v>
      </c>
      <c r="K68" s="13" t="s">
        <v>481</v>
      </c>
      <c r="L68" s="16"/>
      <c r="M68" s="17"/>
      <c r="N68" s="16"/>
      <c r="O68" s="18"/>
      <c r="P68" s="17"/>
      <c r="Q68" s="16"/>
    </row>
  </sheetData>
  <autoFilter ref="A1:Q68" xr:uid="{00000000-0009-0000-0000-000001000000}"/>
  <conditionalFormatting sqref="M2:M68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  <cfRule type="cellIs" dxfId="0" priority="4" operator="equal">
      <formula>"Not Run"</formula>
    </cfRule>
  </conditionalFormatting>
  <dataValidations count="2">
    <dataValidation type="list" allowBlank="1" errorTitle="Status" error="Choose Pass, Fail, Blocked or Not Run." sqref="M2:M68" xr:uid="{00000000-0002-0000-0100-000000000000}">
      <formula1>"Pass,Fail,Blocked,Not Run"</formula1>
    </dataValidation>
    <dataValidation type="date" operator="greaterThan" allowBlank="1" error="Enter a date (YYYY-MM-DD)." sqref="O2:O68" xr:uid="{00000000-0002-0000-0100-000001000000}">
      <formula1>DATE(2026,1,1)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8"/>
  <sheetViews>
    <sheetView showGridLines="0" workbookViewId="0"/>
  </sheetViews>
  <sheetFormatPr defaultRowHeight="14.4" x14ac:dyDescent="0.3"/>
  <cols>
    <col min="1" max="1" width="30" customWidth="1"/>
    <col min="2" max="7" width="11" customWidth="1"/>
  </cols>
  <sheetData>
    <row r="1" spans="1:7" ht="21" x14ac:dyDescent="0.4">
      <c r="A1" s="1" t="s">
        <v>482</v>
      </c>
    </row>
    <row r="2" spans="1:7" x14ac:dyDescent="0.3">
      <c r="A2" s="2" t="s">
        <v>483</v>
      </c>
    </row>
    <row r="4" spans="1:7" x14ac:dyDescent="0.3">
      <c r="A4" s="19" t="s">
        <v>484</v>
      </c>
    </row>
    <row r="5" spans="1:7" x14ac:dyDescent="0.3">
      <c r="A5" s="9" t="s">
        <v>485</v>
      </c>
      <c r="B5" s="20">
        <f>COUNTA('Test Cases'!$A$2:$A$68)</f>
        <v>67</v>
      </c>
    </row>
    <row r="6" spans="1:7" x14ac:dyDescent="0.3">
      <c r="A6" s="9" t="s">
        <v>30</v>
      </c>
      <c r="B6" s="20">
        <f>COUNTIF('Test Cases'!$M$2:$M$68,"Pass")</f>
        <v>0</v>
      </c>
    </row>
    <row r="7" spans="1:7" x14ac:dyDescent="0.3">
      <c r="A7" s="9" t="s">
        <v>486</v>
      </c>
      <c r="B7" s="20">
        <f>COUNTIF('Test Cases'!$M$2:$M$68,"Fail")</f>
        <v>0</v>
      </c>
    </row>
    <row r="8" spans="1:7" x14ac:dyDescent="0.3">
      <c r="A8" s="9" t="s">
        <v>487</v>
      </c>
      <c r="B8" s="20">
        <f>COUNTIF('Test Cases'!$M$2:$M$68,"Blocked")</f>
        <v>0</v>
      </c>
    </row>
    <row r="9" spans="1:7" x14ac:dyDescent="0.3">
      <c r="A9" s="9" t="s">
        <v>488</v>
      </c>
      <c r="B9" s="20">
        <f>B5-B6-B7-B8</f>
        <v>67</v>
      </c>
    </row>
    <row r="10" spans="1:7" x14ac:dyDescent="0.3">
      <c r="A10" s="9" t="s">
        <v>489</v>
      </c>
      <c r="B10" s="20">
        <f>B6+B7</f>
        <v>0</v>
      </c>
    </row>
    <row r="11" spans="1:7" x14ac:dyDescent="0.3">
      <c r="A11" s="9" t="s">
        <v>490</v>
      </c>
      <c r="B11" s="21" t="str">
        <f>IF(B10=0,"-",B6/B10)</f>
        <v>-</v>
      </c>
    </row>
    <row r="12" spans="1:7" x14ac:dyDescent="0.3">
      <c r="A12" s="9" t="s">
        <v>491</v>
      </c>
      <c r="B12" s="21">
        <f>IF(B5=0,"-",(B10+B8)/B5)</f>
        <v>0</v>
      </c>
    </row>
    <row r="15" spans="1:7" x14ac:dyDescent="0.3">
      <c r="A15" s="19" t="s">
        <v>492</v>
      </c>
    </row>
    <row r="16" spans="1:7" x14ac:dyDescent="0.3">
      <c r="A16" s="11" t="s">
        <v>65</v>
      </c>
      <c r="B16" s="11" t="s">
        <v>493</v>
      </c>
      <c r="C16" s="11" t="s">
        <v>30</v>
      </c>
      <c r="D16" s="11" t="s">
        <v>486</v>
      </c>
      <c r="E16" s="11" t="s">
        <v>487</v>
      </c>
      <c r="F16" s="11" t="s">
        <v>494</v>
      </c>
      <c r="G16" s="11" t="s">
        <v>495</v>
      </c>
    </row>
    <row r="17" spans="1:7" x14ac:dyDescent="0.3">
      <c r="A17" s="12" t="s">
        <v>75</v>
      </c>
      <c r="B17" s="20">
        <f>COUNTIF('Test Cases'!$B$2:$B$68,A17)</f>
        <v>7</v>
      </c>
      <c r="C17" s="20">
        <f>COUNTIFS('Test Cases'!$B$2:$B$68,A17,'Test Cases'!$M$2:$M$68,"Pass")</f>
        <v>0</v>
      </c>
      <c r="D17" s="20">
        <f>COUNTIFS('Test Cases'!$B$2:$B$68,A17,'Test Cases'!$M$2:$M$68,"Fail")</f>
        <v>0</v>
      </c>
      <c r="E17" s="20">
        <f>COUNTIFS('Test Cases'!$B$2:$B$68,A17,'Test Cases'!$M$2:$M$68,"Blocked")</f>
        <v>0</v>
      </c>
      <c r="F17" s="20">
        <f t="shared" ref="F17:F38" si="0">B17-C17-D17-E17</f>
        <v>7</v>
      </c>
      <c r="G17" s="21" t="str">
        <f t="shared" ref="G17:G38" si="1">IF(C17+D17=0,"-",C17/(C17+D17))</f>
        <v>-</v>
      </c>
    </row>
    <row r="18" spans="1:7" x14ac:dyDescent="0.3">
      <c r="A18" s="12" t="s">
        <v>122</v>
      </c>
      <c r="B18" s="20">
        <f>COUNTIF('Test Cases'!$B$2:$B$68,A18)</f>
        <v>4</v>
      </c>
      <c r="C18" s="20">
        <f>COUNTIFS('Test Cases'!$B$2:$B$68,A18,'Test Cases'!$M$2:$M$68,"Pass")</f>
        <v>0</v>
      </c>
      <c r="D18" s="20">
        <f>COUNTIFS('Test Cases'!$B$2:$B$68,A18,'Test Cases'!$M$2:$M$68,"Fail")</f>
        <v>0</v>
      </c>
      <c r="E18" s="20">
        <f>COUNTIFS('Test Cases'!$B$2:$B$68,A18,'Test Cases'!$M$2:$M$68,"Blocked")</f>
        <v>0</v>
      </c>
      <c r="F18" s="20">
        <f t="shared" si="0"/>
        <v>4</v>
      </c>
      <c r="G18" s="21" t="str">
        <f t="shared" si="1"/>
        <v>-</v>
      </c>
    </row>
    <row r="19" spans="1:7" x14ac:dyDescent="0.3">
      <c r="A19" s="12" t="s">
        <v>145</v>
      </c>
      <c r="B19" s="20">
        <f>COUNTIF('Test Cases'!$B$2:$B$68,A19)</f>
        <v>4</v>
      </c>
      <c r="C19" s="20">
        <f>COUNTIFS('Test Cases'!$B$2:$B$68,A19,'Test Cases'!$M$2:$M$68,"Pass")</f>
        <v>0</v>
      </c>
      <c r="D19" s="20">
        <f>COUNTIFS('Test Cases'!$B$2:$B$68,A19,'Test Cases'!$M$2:$M$68,"Fail")</f>
        <v>0</v>
      </c>
      <c r="E19" s="20">
        <f>COUNTIFS('Test Cases'!$B$2:$B$68,A19,'Test Cases'!$M$2:$M$68,"Blocked")</f>
        <v>0</v>
      </c>
      <c r="F19" s="20">
        <f t="shared" si="0"/>
        <v>4</v>
      </c>
      <c r="G19" s="21" t="str">
        <f t="shared" si="1"/>
        <v>-</v>
      </c>
    </row>
    <row r="20" spans="1:7" x14ac:dyDescent="0.3">
      <c r="A20" s="12" t="s">
        <v>169</v>
      </c>
      <c r="B20" s="20">
        <f>COUNTIF('Test Cases'!$B$2:$B$68,A20)</f>
        <v>1</v>
      </c>
      <c r="C20" s="20">
        <f>COUNTIFS('Test Cases'!$B$2:$B$68,A20,'Test Cases'!$M$2:$M$68,"Pass")</f>
        <v>0</v>
      </c>
      <c r="D20" s="20">
        <f>COUNTIFS('Test Cases'!$B$2:$B$68,A20,'Test Cases'!$M$2:$M$68,"Fail")</f>
        <v>0</v>
      </c>
      <c r="E20" s="20">
        <f>COUNTIFS('Test Cases'!$B$2:$B$68,A20,'Test Cases'!$M$2:$M$68,"Blocked")</f>
        <v>0</v>
      </c>
      <c r="F20" s="20">
        <f t="shared" si="0"/>
        <v>1</v>
      </c>
      <c r="G20" s="21" t="str">
        <f t="shared" si="1"/>
        <v>-</v>
      </c>
    </row>
    <row r="21" spans="1:7" x14ac:dyDescent="0.3">
      <c r="A21" s="12" t="s">
        <v>175</v>
      </c>
      <c r="B21" s="20">
        <f>COUNTIF('Test Cases'!$B$2:$B$68,A21)</f>
        <v>4</v>
      </c>
      <c r="C21" s="20">
        <f>COUNTIFS('Test Cases'!$B$2:$B$68,A21,'Test Cases'!$M$2:$M$68,"Pass")</f>
        <v>0</v>
      </c>
      <c r="D21" s="20">
        <f>COUNTIFS('Test Cases'!$B$2:$B$68,A21,'Test Cases'!$M$2:$M$68,"Fail")</f>
        <v>0</v>
      </c>
      <c r="E21" s="20">
        <f>COUNTIFS('Test Cases'!$B$2:$B$68,A21,'Test Cases'!$M$2:$M$68,"Blocked")</f>
        <v>0</v>
      </c>
      <c r="F21" s="20">
        <f t="shared" si="0"/>
        <v>4</v>
      </c>
      <c r="G21" s="21" t="str">
        <f t="shared" si="1"/>
        <v>-</v>
      </c>
    </row>
    <row r="22" spans="1:7" x14ac:dyDescent="0.3">
      <c r="A22" s="12" t="s">
        <v>199</v>
      </c>
      <c r="B22" s="20">
        <f>COUNTIF('Test Cases'!$B$2:$B$68,A22)</f>
        <v>1</v>
      </c>
      <c r="C22" s="20">
        <f>COUNTIFS('Test Cases'!$B$2:$B$68,A22,'Test Cases'!$M$2:$M$68,"Pass")</f>
        <v>0</v>
      </c>
      <c r="D22" s="20">
        <f>COUNTIFS('Test Cases'!$B$2:$B$68,A22,'Test Cases'!$M$2:$M$68,"Fail")</f>
        <v>0</v>
      </c>
      <c r="E22" s="20">
        <f>COUNTIFS('Test Cases'!$B$2:$B$68,A22,'Test Cases'!$M$2:$M$68,"Blocked")</f>
        <v>0</v>
      </c>
      <c r="F22" s="20">
        <f t="shared" si="0"/>
        <v>1</v>
      </c>
      <c r="G22" s="21" t="str">
        <f t="shared" si="1"/>
        <v>-</v>
      </c>
    </row>
    <row r="23" spans="1:7" x14ac:dyDescent="0.3">
      <c r="A23" s="12" t="s">
        <v>206</v>
      </c>
      <c r="B23" s="20">
        <f>COUNTIF('Test Cases'!$B$2:$B$68,A23)</f>
        <v>6</v>
      </c>
      <c r="C23" s="20">
        <f>COUNTIFS('Test Cases'!$B$2:$B$68,A23,'Test Cases'!$M$2:$M$68,"Pass")</f>
        <v>0</v>
      </c>
      <c r="D23" s="20">
        <f>COUNTIFS('Test Cases'!$B$2:$B$68,A23,'Test Cases'!$M$2:$M$68,"Fail")</f>
        <v>0</v>
      </c>
      <c r="E23" s="20">
        <f>COUNTIFS('Test Cases'!$B$2:$B$68,A23,'Test Cases'!$M$2:$M$68,"Blocked")</f>
        <v>0</v>
      </c>
      <c r="F23" s="20">
        <f t="shared" si="0"/>
        <v>6</v>
      </c>
      <c r="G23" s="21" t="str">
        <f t="shared" si="1"/>
        <v>-</v>
      </c>
    </row>
    <row r="24" spans="1:7" x14ac:dyDescent="0.3">
      <c r="A24" s="12" t="s">
        <v>238</v>
      </c>
      <c r="B24" s="20">
        <f>COUNTIF('Test Cases'!$B$2:$B$68,A24)</f>
        <v>3</v>
      </c>
      <c r="C24" s="20">
        <f>COUNTIFS('Test Cases'!$B$2:$B$68,A24,'Test Cases'!$M$2:$M$68,"Pass")</f>
        <v>0</v>
      </c>
      <c r="D24" s="20">
        <f>COUNTIFS('Test Cases'!$B$2:$B$68,A24,'Test Cases'!$M$2:$M$68,"Fail")</f>
        <v>0</v>
      </c>
      <c r="E24" s="20">
        <f>COUNTIFS('Test Cases'!$B$2:$B$68,A24,'Test Cases'!$M$2:$M$68,"Blocked")</f>
        <v>0</v>
      </c>
      <c r="F24" s="20">
        <f t="shared" si="0"/>
        <v>3</v>
      </c>
      <c r="G24" s="21" t="str">
        <f t="shared" si="1"/>
        <v>-</v>
      </c>
    </row>
    <row r="25" spans="1:7" x14ac:dyDescent="0.3">
      <c r="A25" s="12" t="s">
        <v>265</v>
      </c>
      <c r="B25" s="20">
        <f>COUNTIF('Test Cases'!$B$2:$B$68,A25)</f>
        <v>4</v>
      </c>
      <c r="C25" s="20">
        <f>COUNTIFS('Test Cases'!$B$2:$B$68,A25,'Test Cases'!$M$2:$M$68,"Pass")</f>
        <v>0</v>
      </c>
      <c r="D25" s="20">
        <f>COUNTIFS('Test Cases'!$B$2:$B$68,A25,'Test Cases'!$M$2:$M$68,"Fail")</f>
        <v>0</v>
      </c>
      <c r="E25" s="20">
        <f>COUNTIFS('Test Cases'!$B$2:$B$68,A25,'Test Cases'!$M$2:$M$68,"Blocked")</f>
        <v>0</v>
      </c>
      <c r="F25" s="20">
        <f t="shared" si="0"/>
        <v>4</v>
      </c>
      <c r="G25" s="21" t="str">
        <f t="shared" si="1"/>
        <v>-</v>
      </c>
    </row>
    <row r="26" spans="1:7" x14ac:dyDescent="0.3">
      <c r="A26" s="12" t="s">
        <v>292</v>
      </c>
      <c r="B26" s="20">
        <f>COUNTIF('Test Cases'!$B$2:$B$68,A26)</f>
        <v>3</v>
      </c>
      <c r="C26" s="20">
        <f>COUNTIFS('Test Cases'!$B$2:$B$68,A26,'Test Cases'!$M$2:$M$68,"Pass")</f>
        <v>0</v>
      </c>
      <c r="D26" s="20">
        <f>COUNTIFS('Test Cases'!$B$2:$B$68,A26,'Test Cases'!$M$2:$M$68,"Fail")</f>
        <v>0</v>
      </c>
      <c r="E26" s="20">
        <f>COUNTIFS('Test Cases'!$B$2:$B$68,A26,'Test Cases'!$M$2:$M$68,"Blocked")</f>
        <v>0</v>
      </c>
      <c r="F26" s="20">
        <f t="shared" si="0"/>
        <v>3</v>
      </c>
      <c r="G26" s="21" t="str">
        <f t="shared" si="1"/>
        <v>-</v>
      </c>
    </row>
    <row r="27" spans="1:7" x14ac:dyDescent="0.3">
      <c r="A27" s="12" t="s">
        <v>310</v>
      </c>
      <c r="B27" s="20">
        <f>COUNTIF('Test Cases'!$B$2:$B$68,A27)</f>
        <v>1</v>
      </c>
      <c r="C27" s="20">
        <f>COUNTIFS('Test Cases'!$B$2:$B$68,A27,'Test Cases'!$M$2:$M$68,"Pass")</f>
        <v>0</v>
      </c>
      <c r="D27" s="20">
        <f>COUNTIFS('Test Cases'!$B$2:$B$68,A27,'Test Cases'!$M$2:$M$68,"Fail")</f>
        <v>0</v>
      </c>
      <c r="E27" s="20">
        <f>COUNTIFS('Test Cases'!$B$2:$B$68,A27,'Test Cases'!$M$2:$M$68,"Blocked")</f>
        <v>0</v>
      </c>
      <c r="F27" s="20">
        <f t="shared" si="0"/>
        <v>1</v>
      </c>
      <c r="G27" s="21" t="str">
        <f t="shared" si="1"/>
        <v>-</v>
      </c>
    </row>
    <row r="28" spans="1:7" x14ac:dyDescent="0.3">
      <c r="A28" s="12" t="s">
        <v>317</v>
      </c>
      <c r="B28" s="20">
        <f>COUNTIF('Test Cases'!$B$2:$B$68,A28)</f>
        <v>4</v>
      </c>
      <c r="C28" s="20">
        <f>COUNTIFS('Test Cases'!$B$2:$B$68,A28,'Test Cases'!$M$2:$M$68,"Pass")</f>
        <v>0</v>
      </c>
      <c r="D28" s="20">
        <f>COUNTIFS('Test Cases'!$B$2:$B$68,A28,'Test Cases'!$M$2:$M$68,"Fail")</f>
        <v>0</v>
      </c>
      <c r="E28" s="20">
        <f>COUNTIFS('Test Cases'!$B$2:$B$68,A28,'Test Cases'!$M$2:$M$68,"Blocked")</f>
        <v>0</v>
      </c>
      <c r="F28" s="20">
        <f t="shared" si="0"/>
        <v>4</v>
      </c>
      <c r="G28" s="21" t="str">
        <f t="shared" si="1"/>
        <v>-</v>
      </c>
    </row>
    <row r="29" spans="1:7" x14ac:dyDescent="0.3">
      <c r="A29" s="12" t="s">
        <v>54</v>
      </c>
      <c r="B29" s="20">
        <f>COUNTIF('Test Cases'!$B$2:$B$68,A29)</f>
        <v>2</v>
      </c>
      <c r="C29" s="20">
        <f>COUNTIFS('Test Cases'!$B$2:$B$68,A29,'Test Cases'!$M$2:$M$68,"Pass")</f>
        <v>0</v>
      </c>
      <c r="D29" s="20">
        <f>COUNTIFS('Test Cases'!$B$2:$B$68,A29,'Test Cases'!$M$2:$M$68,"Fail")</f>
        <v>0</v>
      </c>
      <c r="E29" s="20">
        <f>COUNTIFS('Test Cases'!$B$2:$B$68,A29,'Test Cases'!$M$2:$M$68,"Blocked")</f>
        <v>0</v>
      </c>
      <c r="F29" s="20">
        <f t="shared" si="0"/>
        <v>2</v>
      </c>
      <c r="G29" s="21" t="str">
        <f t="shared" si="1"/>
        <v>-</v>
      </c>
    </row>
    <row r="30" spans="1:7" x14ac:dyDescent="0.3">
      <c r="A30" s="12" t="s">
        <v>351</v>
      </c>
      <c r="B30" s="20">
        <f>COUNTIF('Test Cases'!$B$2:$B$68,A30)</f>
        <v>1</v>
      </c>
      <c r="C30" s="20">
        <f>COUNTIFS('Test Cases'!$B$2:$B$68,A30,'Test Cases'!$M$2:$M$68,"Pass")</f>
        <v>0</v>
      </c>
      <c r="D30" s="20">
        <f>COUNTIFS('Test Cases'!$B$2:$B$68,A30,'Test Cases'!$M$2:$M$68,"Fail")</f>
        <v>0</v>
      </c>
      <c r="E30" s="20">
        <f>COUNTIFS('Test Cases'!$B$2:$B$68,A30,'Test Cases'!$M$2:$M$68,"Blocked")</f>
        <v>0</v>
      </c>
      <c r="F30" s="20">
        <f t="shared" si="0"/>
        <v>1</v>
      </c>
      <c r="G30" s="21" t="str">
        <f t="shared" si="1"/>
        <v>-</v>
      </c>
    </row>
    <row r="31" spans="1:7" x14ac:dyDescent="0.3">
      <c r="A31" s="12" t="s">
        <v>359</v>
      </c>
      <c r="B31" s="20">
        <f>COUNTIF('Test Cases'!$B$2:$B$68,A31)</f>
        <v>4</v>
      </c>
      <c r="C31" s="20">
        <f>COUNTIFS('Test Cases'!$B$2:$B$68,A31,'Test Cases'!$M$2:$M$68,"Pass")</f>
        <v>0</v>
      </c>
      <c r="D31" s="20">
        <f>COUNTIFS('Test Cases'!$B$2:$B$68,A31,'Test Cases'!$M$2:$M$68,"Fail")</f>
        <v>0</v>
      </c>
      <c r="E31" s="20">
        <f>COUNTIFS('Test Cases'!$B$2:$B$68,A31,'Test Cases'!$M$2:$M$68,"Blocked")</f>
        <v>0</v>
      </c>
      <c r="F31" s="20">
        <f t="shared" si="0"/>
        <v>4</v>
      </c>
      <c r="G31" s="21" t="str">
        <f t="shared" si="1"/>
        <v>-</v>
      </c>
    </row>
    <row r="32" spans="1:7" x14ac:dyDescent="0.3">
      <c r="A32" s="12" t="s">
        <v>386</v>
      </c>
      <c r="B32" s="20">
        <f>COUNTIF('Test Cases'!$B$2:$B$68,A32)</f>
        <v>1</v>
      </c>
      <c r="C32" s="20">
        <f>COUNTIFS('Test Cases'!$B$2:$B$68,A32,'Test Cases'!$M$2:$M$68,"Pass")</f>
        <v>0</v>
      </c>
      <c r="D32" s="20">
        <f>COUNTIFS('Test Cases'!$B$2:$B$68,A32,'Test Cases'!$M$2:$M$68,"Fail")</f>
        <v>0</v>
      </c>
      <c r="E32" s="20">
        <f>COUNTIFS('Test Cases'!$B$2:$B$68,A32,'Test Cases'!$M$2:$M$68,"Blocked")</f>
        <v>0</v>
      </c>
      <c r="F32" s="20">
        <f t="shared" si="0"/>
        <v>1</v>
      </c>
      <c r="G32" s="21" t="str">
        <f t="shared" si="1"/>
        <v>-</v>
      </c>
    </row>
    <row r="33" spans="1:7" x14ac:dyDescent="0.3">
      <c r="A33" s="12" t="s">
        <v>393</v>
      </c>
      <c r="B33" s="20">
        <f>COUNTIF('Test Cases'!$B$2:$B$68,A33)</f>
        <v>1</v>
      </c>
      <c r="C33" s="20">
        <f>COUNTIFS('Test Cases'!$B$2:$B$68,A33,'Test Cases'!$M$2:$M$68,"Pass")</f>
        <v>0</v>
      </c>
      <c r="D33" s="20">
        <f>COUNTIFS('Test Cases'!$B$2:$B$68,A33,'Test Cases'!$M$2:$M$68,"Fail")</f>
        <v>0</v>
      </c>
      <c r="E33" s="20">
        <f>COUNTIFS('Test Cases'!$B$2:$B$68,A33,'Test Cases'!$M$2:$M$68,"Blocked")</f>
        <v>0</v>
      </c>
      <c r="F33" s="20">
        <f t="shared" si="0"/>
        <v>1</v>
      </c>
      <c r="G33" s="21" t="str">
        <f t="shared" si="1"/>
        <v>-</v>
      </c>
    </row>
    <row r="34" spans="1:7" x14ac:dyDescent="0.3">
      <c r="A34" s="12" t="s">
        <v>399</v>
      </c>
      <c r="B34" s="20">
        <f>COUNTIF('Test Cases'!$B$2:$B$68,A34)</f>
        <v>9</v>
      </c>
      <c r="C34" s="20">
        <f>COUNTIFS('Test Cases'!$B$2:$B$68,A34,'Test Cases'!$M$2:$M$68,"Pass")</f>
        <v>0</v>
      </c>
      <c r="D34" s="20">
        <f>COUNTIFS('Test Cases'!$B$2:$B$68,A34,'Test Cases'!$M$2:$M$68,"Fail")</f>
        <v>0</v>
      </c>
      <c r="E34" s="20">
        <f>COUNTIFS('Test Cases'!$B$2:$B$68,A34,'Test Cases'!$M$2:$M$68,"Blocked")</f>
        <v>0</v>
      </c>
      <c r="F34" s="20">
        <f t="shared" si="0"/>
        <v>9</v>
      </c>
      <c r="G34" s="21" t="str">
        <f t="shared" si="1"/>
        <v>-</v>
      </c>
    </row>
    <row r="35" spans="1:7" x14ac:dyDescent="0.3">
      <c r="A35" s="12" t="s">
        <v>447</v>
      </c>
      <c r="B35" s="20">
        <f>COUNTIF('Test Cases'!$B$2:$B$68,A35)</f>
        <v>2</v>
      </c>
      <c r="C35" s="20">
        <f>COUNTIFS('Test Cases'!$B$2:$B$68,A35,'Test Cases'!$M$2:$M$68,"Pass")</f>
        <v>0</v>
      </c>
      <c r="D35" s="20">
        <f>COUNTIFS('Test Cases'!$B$2:$B$68,A35,'Test Cases'!$M$2:$M$68,"Fail")</f>
        <v>0</v>
      </c>
      <c r="E35" s="20">
        <f>COUNTIFS('Test Cases'!$B$2:$B$68,A35,'Test Cases'!$M$2:$M$68,"Blocked")</f>
        <v>0</v>
      </c>
      <c r="F35" s="20">
        <f t="shared" si="0"/>
        <v>2</v>
      </c>
      <c r="G35" s="21" t="str">
        <f t="shared" si="1"/>
        <v>-</v>
      </c>
    </row>
    <row r="36" spans="1:7" x14ac:dyDescent="0.3">
      <c r="A36" s="12" t="s">
        <v>400</v>
      </c>
      <c r="B36" s="20">
        <f>COUNTIF('Test Cases'!$B$2:$B$68,A36)</f>
        <v>2</v>
      </c>
      <c r="C36" s="20">
        <f>COUNTIFS('Test Cases'!$B$2:$B$68,A36,'Test Cases'!$M$2:$M$68,"Pass")</f>
        <v>0</v>
      </c>
      <c r="D36" s="20">
        <f>COUNTIFS('Test Cases'!$B$2:$B$68,A36,'Test Cases'!$M$2:$M$68,"Fail")</f>
        <v>0</v>
      </c>
      <c r="E36" s="20">
        <f>COUNTIFS('Test Cases'!$B$2:$B$68,A36,'Test Cases'!$M$2:$M$68,"Blocked")</f>
        <v>0</v>
      </c>
      <c r="F36" s="20">
        <f t="shared" si="0"/>
        <v>2</v>
      </c>
      <c r="G36" s="21" t="str">
        <f t="shared" si="1"/>
        <v>-</v>
      </c>
    </row>
    <row r="37" spans="1:7" x14ac:dyDescent="0.3">
      <c r="A37" s="12" t="s">
        <v>90</v>
      </c>
      <c r="B37" s="20">
        <f>COUNTIF('Test Cases'!$B$2:$B$68,A37)</f>
        <v>2</v>
      </c>
      <c r="C37" s="20">
        <f>COUNTIFS('Test Cases'!$B$2:$B$68,A37,'Test Cases'!$M$2:$M$68,"Pass")</f>
        <v>0</v>
      </c>
      <c r="D37" s="20">
        <f>COUNTIFS('Test Cases'!$B$2:$B$68,A37,'Test Cases'!$M$2:$M$68,"Fail")</f>
        <v>0</v>
      </c>
      <c r="E37" s="20">
        <f>COUNTIFS('Test Cases'!$B$2:$B$68,A37,'Test Cases'!$M$2:$M$68,"Blocked")</f>
        <v>0</v>
      </c>
      <c r="F37" s="20">
        <f t="shared" si="0"/>
        <v>2</v>
      </c>
      <c r="G37" s="21" t="str">
        <f t="shared" si="1"/>
        <v>-</v>
      </c>
    </row>
    <row r="38" spans="1:7" x14ac:dyDescent="0.3">
      <c r="A38" s="12" t="s">
        <v>78</v>
      </c>
      <c r="B38" s="20">
        <f>COUNTIF('Test Cases'!$B$2:$B$68,A38)</f>
        <v>1</v>
      </c>
      <c r="C38" s="20">
        <f>COUNTIFS('Test Cases'!$B$2:$B$68,A38,'Test Cases'!$M$2:$M$68,"Pass")</f>
        <v>0</v>
      </c>
      <c r="D38" s="20">
        <f>COUNTIFS('Test Cases'!$B$2:$B$68,A38,'Test Cases'!$M$2:$M$68,"Fail")</f>
        <v>0</v>
      </c>
      <c r="E38" s="20">
        <f>COUNTIFS('Test Cases'!$B$2:$B$68,A38,'Test Cases'!$M$2:$M$68,"Blocked")</f>
        <v>0</v>
      </c>
      <c r="F38" s="20">
        <f t="shared" si="0"/>
        <v>1</v>
      </c>
      <c r="G38" s="21" t="str">
        <f t="shared" si="1"/>
        <v>-</v>
      </c>
    </row>
    <row r="41" spans="1:7" x14ac:dyDescent="0.3">
      <c r="A41" s="19" t="s">
        <v>496</v>
      </c>
    </row>
    <row r="42" spans="1:7" x14ac:dyDescent="0.3">
      <c r="A42" s="11" t="s">
        <v>497</v>
      </c>
      <c r="B42" s="11" t="s">
        <v>493</v>
      </c>
      <c r="C42" s="11" t="s">
        <v>30</v>
      </c>
      <c r="D42" s="11" t="s">
        <v>486</v>
      </c>
      <c r="E42" s="11" t="s">
        <v>487</v>
      </c>
      <c r="F42" s="11" t="s">
        <v>494</v>
      </c>
      <c r="G42" s="11" t="s">
        <v>495</v>
      </c>
    </row>
    <row r="43" spans="1:7" x14ac:dyDescent="0.3">
      <c r="A43" s="12" t="s">
        <v>78</v>
      </c>
      <c r="B43" s="20">
        <f>COUNTIF('Test Cases'!$E$2:$E$68,A43)</f>
        <v>16</v>
      </c>
      <c r="C43" s="20">
        <f>COUNTIFS('Test Cases'!$E$2:$E$68,A43,'Test Cases'!$M$2:$M$68,"Pass")</f>
        <v>0</v>
      </c>
      <c r="D43" s="20">
        <f>COUNTIFS('Test Cases'!$E$2:$E$68,A43,'Test Cases'!$M$2:$M$68,"Fail")</f>
        <v>0</v>
      </c>
      <c r="E43" s="20">
        <f>COUNTIFS('Test Cases'!$E$2:$E$68,A43,'Test Cases'!$M$2:$M$68,"Blocked")</f>
        <v>0</v>
      </c>
      <c r="F43" s="20">
        <f t="shared" ref="F43:F48" si="2">B43-C43-D43-E43</f>
        <v>16</v>
      </c>
      <c r="G43" s="21" t="str">
        <f t="shared" ref="G43:G48" si="3">IF(C43+D43=0,"-",C43/(C43+D43))</f>
        <v>-</v>
      </c>
    </row>
    <row r="44" spans="1:7" x14ac:dyDescent="0.3">
      <c r="A44" s="12" t="s">
        <v>90</v>
      </c>
      <c r="B44" s="20">
        <f>COUNTIF('Test Cases'!$E$2:$E$68,A44)</f>
        <v>4</v>
      </c>
      <c r="C44" s="20">
        <f>COUNTIFS('Test Cases'!$E$2:$E$68,A44,'Test Cases'!$M$2:$M$68,"Pass")</f>
        <v>0</v>
      </c>
      <c r="D44" s="20">
        <f>COUNTIFS('Test Cases'!$E$2:$E$68,A44,'Test Cases'!$M$2:$M$68,"Fail")</f>
        <v>0</v>
      </c>
      <c r="E44" s="20">
        <f>COUNTIFS('Test Cases'!$E$2:$E$68,A44,'Test Cases'!$M$2:$M$68,"Blocked")</f>
        <v>0</v>
      </c>
      <c r="F44" s="20">
        <f t="shared" si="2"/>
        <v>4</v>
      </c>
      <c r="G44" s="21" t="str">
        <f t="shared" si="3"/>
        <v>-</v>
      </c>
    </row>
    <row r="45" spans="1:7" x14ac:dyDescent="0.3">
      <c r="A45" s="12" t="s">
        <v>128</v>
      </c>
      <c r="B45" s="20">
        <f>COUNTIF('Test Cases'!$E$2:$E$68,A45)</f>
        <v>41</v>
      </c>
      <c r="C45" s="20">
        <f>COUNTIFS('Test Cases'!$E$2:$E$68,A45,'Test Cases'!$M$2:$M$68,"Pass")</f>
        <v>0</v>
      </c>
      <c r="D45" s="20">
        <f>COUNTIFS('Test Cases'!$E$2:$E$68,A45,'Test Cases'!$M$2:$M$68,"Fail")</f>
        <v>0</v>
      </c>
      <c r="E45" s="20">
        <f>COUNTIFS('Test Cases'!$E$2:$E$68,A45,'Test Cases'!$M$2:$M$68,"Blocked")</f>
        <v>0</v>
      </c>
      <c r="F45" s="20">
        <f t="shared" si="2"/>
        <v>41</v>
      </c>
      <c r="G45" s="21" t="str">
        <f t="shared" si="3"/>
        <v>-</v>
      </c>
    </row>
    <row r="46" spans="1:7" x14ac:dyDescent="0.3">
      <c r="A46" s="12" t="s">
        <v>400</v>
      </c>
      <c r="B46" s="20">
        <f>COUNTIF('Test Cases'!$E$2:$E$68,A46)</f>
        <v>3</v>
      </c>
      <c r="C46" s="20">
        <f>COUNTIFS('Test Cases'!$E$2:$E$68,A46,'Test Cases'!$M$2:$M$68,"Pass")</f>
        <v>0</v>
      </c>
      <c r="D46" s="20">
        <f>COUNTIFS('Test Cases'!$E$2:$E$68,A46,'Test Cases'!$M$2:$M$68,"Fail")</f>
        <v>0</v>
      </c>
      <c r="E46" s="20">
        <f>COUNTIFS('Test Cases'!$E$2:$E$68,A46,'Test Cases'!$M$2:$M$68,"Blocked")</f>
        <v>0</v>
      </c>
      <c r="F46" s="20">
        <f t="shared" si="2"/>
        <v>3</v>
      </c>
      <c r="G46" s="21" t="str">
        <f t="shared" si="3"/>
        <v>-</v>
      </c>
    </row>
    <row r="47" spans="1:7" x14ac:dyDescent="0.3">
      <c r="A47" s="12" t="s">
        <v>430</v>
      </c>
      <c r="B47" s="20">
        <f>COUNTIF('Test Cases'!$E$2:$E$68,A47)</f>
        <v>1</v>
      </c>
      <c r="C47" s="20">
        <f>COUNTIFS('Test Cases'!$E$2:$E$68,A47,'Test Cases'!$M$2:$M$68,"Pass")</f>
        <v>0</v>
      </c>
      <c r="D47" s="20">
        <f>COUNTIFS('Test Cases'!$E$2:$E$68,A47,'Test Cases'!$M$2:$M$68,"Fail")</f>
        <v>0</v>
      </c>
      <c r="E47" s="20">
        <f>COUNTIFS('Test Cases'!$E$2:$E$68,A47,'Test Cases'!$M$2:$M$68,"Blocked")</f>
        <v>0</v>
      </c>
      <c r="F47" s="20">
        <f t="shared" si="2"/>
        <v>1</v>
      </c>
      <c r="G47" s="21" t="str">
        <f t="shared" si="3"/>
        <v>-</v>
      </c>
    </row>
    <row r="48" spans="1:7" x14ac:dyDescent="0.3">
      <c r="A48" s="12" t="s">
        <v>448</v>
      </c>
      <c r="B48" s="20">
        <f>COUNTIF('Test Cases'!$E$2:$E$68,A48)</f>
        <v>2</v>
      </c>
      <c r="C48" s="20">
        <f>COUNTIFS('Test Cases'!$E$2:$E$68,A48,'Test Cases'!$M$2:$M$68,"Pass")</f>
        <v>0</v>
      </c>
      <c r="D48" s="20">
        <f>COUNTIFS('Test Cases'!$E$2:$E$68,A48,'Test Cases'!$M$2:$M$68,"Fail")</f>
        <v>0</v>
      </c>
      <c r="E48" s="20">
        <f>COUNTIFS('Test Cases'!$E$2:$E$68,A48,'Test Cases'!$M$2:$M$68,"Blocked")</f>
        <v>0</v>
      </c>
      <c r="F48" s="20">
        <f t="shared" si="2"/>
        <v>2</v>
      </c>
      <c r="G48" s="21" t="str">
        <f t="shared" si="3"/>
        <v>-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11" customWidth="1"/>
    <col min="4" max="4" width="30" customWidth="1"/>
    <col min="5" max="5" width="40" customWidth="1"/>
    <col min="6" max="7" width="28" customWidth="1"/>
    <col min="8" max="8" width="14" customWidth="1"/>
    <col min="9" max="10" width="12" customWidth="1"/>
    <col min="11" max="11" width="16" customWidth="1"/>
    <col min="12" max="12" width="12" customWidth="1"/>
    <col min="13" max="13" width="24" customWidth="1"/>
  </cols>
  <sheetData>
    <row r="1" spans="1:13" ht="30" customHeight="1" x14ac:dyDescent="0.3">
      <c r="A1" s="11" t="s">
        <v>35</v>
      </c>
      <c r="B1" s="11" t="s">
        <v>25</v>
      </c>
      <c r="C1" s="11" t="s">
        <v>498</v>
      </c>
      <c r="D1" s="11" t="s">
        <v>499</v>
      </c>
      <c r="E1" s="11" t="s">
        <v>500</v>
      </c>
      <c r="F1" s="11" t="s">
        <v>501</v>
      </c>
      <c r="G1" s="11" t="s">
        <v>502</v>
      </c>
      <c r="H1" s="11" t="s">
        <v>503</v>
      </c>
      <c r="I1" s="11" t="s">
        <v>504</v>
      </c>
      <c r="J1" s="11" t="s">
        <v>29</v>
      </c>
      <c r="K1" s="11" t="s">
        <v>505</v>
      </c>
      <c r="L1" s="11" t="s">
        <v>506</v>
      </c>
      <c r="M1" s="11" t="s">
        <v>37</v>
      </c>
    </row>
    <row r="2" spans="1:13" x14ac:dyDescent="0.3">
      <c r="A2" s="14" t="s">
        <v>507</v>
      </c>
      <c r="B2" s="16"/>
      <c r="C2" s="16"/>
      <c r="D2" s="16"/>
      <c r="E2" s="16"/>
      <c r="F2" s="16"/>
      <c r="G2" s="16"/>
      <c r="H2" s="16"/>
      <c r="I2" s="22"/>
      <c r="J2" s="16"/>
      <c r="K2" s="16"/>
      <c r="L2" s="16"/>
      <c r="M2" s="16"/>
    </row>
    <row r="3" spans="1:13" x14ac:dyDescent="0.3">
      <c r="A3" s="14" t="s">
        <v>508</v>
      </c>
      <c r="B3" s="16"/>
      <c r="C3" s="16"/>
      <c r="D3" s="16"/>
      <c r="E3" s="16"/>
      <c r="F3" s="16"/>
      <c r="G3" s="16"/>
      <c r="H3" s="16"/>
      <c r="I3" s="22"/>
      <c r="J3" s="16"/>
      <c r="K3" s="16"/>
      <c r="L3" s="16"/>
      <c r="M3" s="16"/>
    </row>
    <row r="4" spans="1:13" x14ac:dyDescent="0.3">
      <c r="A4" s="14" t="s">
        <v>509</v>
      </c>
      <c r="B4" s="16"/>
      <c r="C4" s="16"/>
      <c r="D4" s="16"/>
      <c r="E4" s="16"/>
      <c r="F4" s="16"/>
      <c r="G4" s="16"/>
      <c r="H4" s="16"/>
      <c r="I4" s="22"/>
      <c r="J4" s="16"/>
      <c r="K4" s="16"/>
      <c r="L4" s="16"/>
      <c r="M4" s="16"/>
    </row>
    <row r="5" spans="1:13" x14ac:dyDescent="0.3">
      <c r="A5" s="14" t="s">
        <v>510</v>
      </c>
      <c r="B5" s="16"/>
      <c r="C5" s="16"/>
      <c r="D5" s="16"/>
      <c r="E5" s="16"/>
      <c r="F5" s="16"/>
      <c r="G5" s="16"/>
      <c r="H5" s="16"/>
      <c r="I5" s="22"/>
      <c r="J5" s="16"/>
      <c r="K5" s="16"/>
      <c r="L5" s="16"/>
      <c r="M5" s="16"/>
    </row>
    <row r="6" spans="1:13" x14ac:dyDescent="0.3">
      <c r="A6" s="14" t="s">
        <v>511</v>
      </c>
      <c r="B6" s="16"/>
      <c r="C6" s="16"/>
      <c r="D6" s="16"/>
      <c r="E6" s="16"/>
      <c r="F6" s="16"/>
      <c r="G6" s="16"/>
      <c r="H6" s="16"/>
      <c r="I6" s="22"/>
      <c r="J6" s="16"/>
      <c r="K6" s="16"/>
      <c r="L6" s="16"/>
      <c r="M6" s="16"/>
    </row>
    <row r="7" spans="1:13" x14ac:dyDescent="0.3">
      <c r="A7" s="14" t="s">
        <v>512</v>
      </c>
      <c r="B7" s="16"/>
      <c r="C7" s="16"/>
      <c r="D7" s="16"/>
      <c r="E7" s="16"/>
      <c r="F7" s="16"/>
      <c r="G7" s="16"/>
      <c r="H7" s="16"/>
      <c r="I7" s="22"/>
      <c r="J7" s="16"/>
      <c r="K7" s="16"/>
      <c r="L7" s="16"/>
      <c r="M7" s="16"/>
    </row>
    <row r="8" spans="1:13" x14ac:dyDescent="0.3">
      <c r="A8" s="14" t="s">
        <v>513</v>
      </c>
      <c r="B8" s="16"/>
      <c r="C8" s="16"/>
      <c r="D8" s="16"/>
      <c r="E8" s="16"/>
      <c r="F8" s="16"/>
      <c r="G8" s="16"/>
      <c r="H8" s="16"/>
      <c r="I8" s="22"/>
      <c r="J8" s="16"/>
      <c r="K8" s="16"/>
      <c r="L8" s="16"/>
      <c r="M8" s="16"/>
    </row>
    <row r="9" spans="1:13" x14ac:dyDescent="0.3">
      <c r="A9" s="14" t="s">
        <v>514</v>
      </c>
      <c r="B9" s="16"/>
      <c r="C9" s="16"/>
      <c r="D9" s="16"/>
      <c r="E9" s="16"/>
      <c r="F9" s="16"/>
      <c r="G9" s="16"/>
      <c r="H9" s="16"/>
      <c r="I9" s="22"/>
      <c r="J9" s="16"/>
      <c r="K9" s="16"/>
      <c r="L9" s="16"/>
      <c r="M9" s="16"/>
    </row>
    <row r="10" spans="1:13" x14ac:dyDescent="0.3">
      <c r="A10" s="14" t="s">
        <v>515</v>
      </c>
      <c r="B10" s="16"/>
      <c r="C10" s="16"/>
      <c r="D10" s="16"/>
      <c r="E10" s="16"/>
      <c r="F10" s="16"/>
      <c r="G10" s="16"/>
      <c r="H10" s="16"/>
      <c r="I10" s="22"/>
      <c r="J10" s="16"/>
      <c r="K10" s="16"/>
      <c r="L10" s="16"/>
      <c r="M10" s="16"/>
    </row>
    <row r="11" spans="1:13" x14ac:dyDescent="0.3">
      <c r="A11" s="14" t="s">
        <v>516</v>
      </c>
      <c r="B11" s="16"/>
      <c r="C11" s="16"/>
      <c r="D11" s="16"/>
      <c r="E11" s="16"/>
      <c r="F11" s="16"/>
      <c r="G11" s="16"/>
      <c r="H11" s="16"/>
      <c r="I11" s="22"/>
      <c r="J11" s="16"/>
      <c r="K11" s="16"/>
      <c r="L11" s="16"/>
      <c r="M11" s="16"/>
    </row>
    <row r="12" spans="1:13" x14ac:dyDescent="0.3">
      <c r="A12" s="14" t="s">
        <v>517</v>
      </c>
      <c r="B12" s="16"/>
      <c r="C12" s="16"/>
      <c r="D12" s="16"/>
      <c r="E12" s="16"/>
      <c r="F12" s="16"/>
      <c r="G12" s="16"/>
      <c r="H12" s="16"/>
      <c r="I12" s="22"/>
      <c r="J12" s="16"/>
      <c r="K12" s="16"/>
      <c r="L12" s="16"/>
      <c r="M12" s="16"/>
    </row>
    <row r="13" spans="1:13" x14ac:dyDescent="0.3">
      <c r="A13" s="14" t="s">
        <v>518</v>
      </c>
      <c r="B13" s="16"/>
      <c r="C13" s="16"/>
      <c r="D13" s="16"/>
      <c r="E13" s="16"/>
      <c r="F13" s="16"/>
      <c r="G13" s="16"/>
      <c r="H13" s="16"/>
      <c r="I13" s="22"/>
      <c r="J13" s="16"/>
      <c r="K13" s="16"/>
      <c r="L13" s="16"/>
      <c r="M13" s="16"/>
    </row>
    <row r="14" spans="1:13" x14ac:dyDescent="0.3">
      <c r="A14" s="14" t="s">
        <v>519</v>
      </c>
      <c r="B14" s="16"/>
      <c r="C14" s="16"/>
      <c r="D14" s="16"/>
      <c r="E14" s="16"/>
      <c r="F14" s="16"/>
      <c r="G14" s="16"/>
      <c r="H14" s="16"/>
      <c r="I14" s="22"/>
      <c r="J14" s="16"/>
      <c r="K14" s="16"/>
      <c r="L14" s="16"/>
      <c r="M14" s="16"/>
    </row>
    <row r="15" spans="1:13" x14ac:dyDescent="0.3">
      <c r="A15" s="14" t="s">
        <v>520</v>
      </c>
      <c r="B15" s="16"/>
      <c r="C15" s="16"/>
      <c r="D15" s="16"/>
      <c r="E15" s="16"/>
      <c r="F15" s="16"/>
      <c r="G15" s="16"/>
      <c r="H15" s="16"/>
      <c r="I15" s="22"/>
      <c r="J15" s="16"/>
      <c r="K15" s="16"/>
      <c r="L15" s="16"/>
      <c r="M15" s="16"/>
    </row>
    <row r="16" spans="1:13" x14ac:dyDescent="0.3">
      <c r="A16" s="14" t="s">
        <v>521</v>
      </c>
      <c r="B16" s="16"/>
      <c r="C16" s="16"/>
      <c r="D16" s="16"/>
      <c r="E16" s="16"/>
      <c r="F16" s="16"/>
      <c r="G16" s="16"/>
      <c r="H16" s="16"/>
      <c r="I16" s="22"/>
      <c r="J16" s="16"/>
      <c r="K16" s="16"/>
      <c r="L16" s="16"/>
      <c r="M16" s="16"/>
    </row>
    <row r="17" spans="1:13" x14ac:dyDescent="0.3">
      <c r="A17" s="14" t="s">
        <v>522</v>
      </c>
      <c r="B17" s="16"/>
      <c r="C17" s="16"/>
      <c r="D17" s="16"/>
      <c r="E17" s="16"/>
      <c r="F17" s="16"/>
      <c r="G17" s="16"/>
      <c r="H17" s="16"/>
      <c r="I17" s="22"/>
      <c r="J17" s="16"/>
      <c r="K17" s="16"/>
      <c r="L17" s="16"/>
      <c r="M17" s="16"/>
    </row>
    <row r="18" spans="1:13" x14ac:dyDescent="0.3">
      <c r="A18" s="14" t="s">
        <v>523</v>
      </c>
      <c r="B18" s="16"/>
      <c r="C18" s="16"/>
      <c r="D18" s="16"/>
      <c r="E18" s="16"/>
      <c r="F18" s="16"/>
      <c r="G18" s="16"/>
      <c r="H18" s="16"/>
      <c r="I18" s="22"/>
      <c r="J18" s="16"/>
      <c r="K18" s="16"/>
      <c r="L18" s="16"/>
      <c r="M18" s="16"/>
    </row>
    <row r="19" spans="1:13" x14ac:dyDescent="0.3">
      <c r="A19" s="14" t="s">
        <v>524</v>
      </c>
      <c r="B19" s="16"/>
      <c r="C19" s="16"/>
      <c r="D19" s="16"/>
      <c r="E19" s="16"/>
      <c r="F19" s="16"/>
      <c r="G19" s="16"/>
      <c r="H19" s="16"/>
      <c r="I19" s="22"/>
      <c r="J19" s="16"/>
      <c r="K19" s="16"/>
      <c r="L19" s="16"/>
      <c r="M19" s="16"/>
    </row>
    <row r="20" spans="1:13" x14ac:dyDescent="0.3">
      <c r="A20" s="14" t="s">
        <v>525</v>
      </c>
      <c r="B20" s="16"/>
      <c r="C20" s="16"/>
      <c r="D20" s="16"/>
      <c r="E20" s="16"/>
      <c r="F20" s="16"/>
      <c r="G20" s="16"/>
      <c r="H20" s="16"/>
      <c r="I20" s="22"/>
      <c r="J20" s="16"/>
      <c r="K20" s="16"/>
      <c r="L20" s="16"/>
      <c r="M20" s="16"/>
    </row>
    <row r="21" spans="1:13" x14ac:dyDescent="0.3">
      <c r="A21" s="14" t="s">
        <v>526</v>
      </c>
      <c r="B21" s="16"/>
      <c r="C21" s="16"/>
      <c r="D21" s="16"/>
      <c r="E21" s="16"/>
      <c r="F21" s="16"/>
      <c r="G21" s="16"/>
      <c r="H21" s="16"/>
      <c r="I21" s="22"/>
      <c r="J21" s="16"/>
      <c r="K21" s="16"/>
      <c r="L21" s="16"/>
      <c r="M21" s="16"/>
    </row>
    <row r="22" spans="1:13" x14ac:dyDescent="0.3">
      <c r="A22" s="14" t="s">
        <v>527</v>
      </c>
      <c r="B22" s="16"/>
      <c r="C22" s="16"/>
      <c r="D22" s="16"/>
      <c r="E22" s="16"/>
      <c r="F22" s="16"/>
      <c r="G22" s="16"/>
      <c r="H22" s="16"/>
      <c r="I22" s="22"/>
      <c r="J22" s="16"/>
      <c r="K22" s="16"/>
      <c r="L22" s="16"/>
      <c r="M22" s="16"/>
    </row>
    <row r="23" spans="1:13" x14ac:dyDescent="0.3">
      <c r="A23" s="14" t="s">
        <v>528</v>
      </c>
      <c r="B23" s="16"/>
      <c r="C23" s="16"/>
      <c r="D23" s="16"/>
      <c r="E23" s="16"/>
      <c r="F23" s="16"/>
      <c r="G23" s="16"/>
      <c r="H23" s="16"/>
      <c r="I23" s="22"/>
      <c r="J23" s="16"/>
      <c r="K23" s="16"/>
      <c r="L23" s="16"/>
      <c r="M23" s="16"/>
    </row>
    <row r="24" spans="1:13" x14ac:dyDescent="0.3">
      <c r="A24" s="14" t="s">
        <v>529</v>
      </c>
      <c r="B24" s="16"/>
      <c r="C24" s="16"/>
      <c r="D24" s="16"/>
      <c r="E24" s="16"/>
      <c r="F24" s="16"/>
      <c r="G24" s="16"/>
      <c r="H24" s="16"/>
      <c r="I24" s="22"/>
      <c r="J24" s="16"/>
      <c r="K24" s="16"/>
      <c r="L24" s="16"/>
      <c r="M24" s="16"/>
    </row>
    <row r="25" spans="1:13" x14ac:dyDescent="0.3">
      <c r="A25" s="14" t="s">
        <v>530</v>
      </c>
      <c r="B25" s="16"/>
      <c r="C25" s="16"/>
      <c r="D25" s="16"/>
      <c r="E25" s="16"/>
      <c r="F25" s="16"/>
      <c r="G25" s="16"/>
      <c r="H25" s="16"/>
      <c r="I25" s="22"/>
      <c r="J25" s="16"/>
      <c r="K25" s="16"/>
      <c r="L25" s="16"/>
      <c r="M25" s="16"/>
    </row>
    <row r="26" spans="1:13" x14ac:dyDescent="0.3">
      <c r="A26" s="14" t="s">
        <v>531</v>
      </c>
      <c r="B26" s="16"/>
      <c r="C26" s="16"/>
      <c r="D26" s="16"/>
      <c r="E26" s="16"/>
      <c r="F26" s="16"/>
      <c r="G26" s="16"/>
      <c r="H26" s="16"/>
      <c r="I26" s="22"/>
      <c r="J26" s="16"/>
      <c r="K26" s="16"/>
      <c r="L26" s="16"/>
      <c r="M26" s="16"/>
    </row>
    <row r="27" spans="1:13" x14ac:dyDescent="0.3">
      <c r="A27" s="14" t="s">
        <v>532</v>
      </c>
      <c r="B27" s="16"/>
      <c r="C27" s="16"/>
      <c r="D27" s="16"/>
      <c r="E27" s="16"/>
      <c r="F27" s="16"/>
      <c r="G27" s="16"/>
      <c r="H27" s="16"/>
      <c r="I27" s="22"/>
      <c r="J27" s="16"/>
      <c r="K27" s="16"/>
      <c r="L27" s="16"/>
      <c r="M27" s="16"/>
    </row>
    <row r="28" spans="1:13" x14ac:dyDescent="0.3">
      <c r="A28" s="14" t="s">
        <v>533</v>
      </c>
      <c r="B28" s="16"/>
      <c r="C28" s="16"/>
      <c r="D28" s="16"/>
      <c r="E28" s="16"/>
      <c r="F28" s="16"/>
      <c r="G28" s="16"/>
      <c r="H28" s="16"/>
      <c r="I28" s="22"/>
      <c r="J28" s="16"/>
      <c r="K28" s="16"/>
      <c r="L28" s="16"/>
      <c r="M28" s="16"/>
    </row>
    <row r="29" spans="1:13" x14ac:dyDescent="0.3">
      <c r="A29" s="14" t="s">
        <v>534</v>
      </c>
      <c r="B29" s="16"/>
      <c r="C29" s="16"/>
      <c r="D29" s="16"/>
      <c r="E29" s="16"/>
      <c r="F29" s="16"/>
      <c r="G29" s="16"/>
      <c r="H29" s="16"/>
      <c r="I29" s="22"/>
      <c r="J29" s="16"/>
      <c r="K29" s="16"/>
      <c r="L29" s="16"/>
      <c r="M29" s="16"/>
    </row>
    <row r="30" spans="1:13" x14ac:dyDescent="0.3">
      <c r="A30" s="14" t="s">
        <v>535</v>
      </c>
      <c r="B30" s="16"/>
      <c r="C30" s="16"/>
      <c r="D30" s="16"/>
      <c r="E30" s="16"/>
      <c r="F30" s="16"/>
      <c r="G30" s="16"/>
      <c r="H30" s="16"/>
      <c r="I30" s="22"/>
      <c r="J30" s="16"/>
      <c r="K30" s="16"/>
      <c r="L30" s="16"/>
      <c r="M30" s="16"/>
    </row>
    <row r="31" spans="1:13" x14ac:dyDescent="0.3">
      <c r="A31" s="14" t="s">
        <v>536</v>
      </c>
      <c r="B31" s="16"/>
      <c r="C31" s="16"/>
      <c r="D31" s="16"/>
      <c r="E31" s="16"/>
      <c r="F31" s="16"/>
      <c r="G31" s="16"/>
      <c r="H31" s="16"/>
      <c r="I31" s="22"/>
      <c r="J31" s="16"/>
      <c r="K31" s="16"/>
      <c r="L31" s="16"/>
      <c r="M31" s="16"/>
    </row>
    <row r="32" spans="1:13" x14ac:dyDescent="0.3">
      <c r="A32" s="14" t="s">
        <v>537</v>
      </c>
      <c r="B32" s="16"/>
      <c r="C32" s="16"/>
      <c r="D32" s="16"/>
      <c r="E32" s="16"/>
      <c r="F32" s="16"/>
      <c r="G32" s="16"/>
      <c r="H32" s="16"/>
      <c r="I32" s="22"/>
      <c r="J32" s="16"/>
      <c r="K32" s="16"/>
      <c r="L32" s="16"/>
      <c r="M32" s="16"/>
    </row>
    <row r="33" spans="1:13" x14ac:dyDescent="0.3">
      <c r="A33" s="14" t="s">
        <v>538</v>
      </c>
      <c r="B33" s="16"/>
      <c r="C33" s="16"/>
      <c r="D33" s="16"/>
      <c r="E33" s="16"/>
      <c r="F33" s="16"/>
      <c r="G33" s="16"/>
      <c r="H33" s="16"/>
      <c r="I33" s="22"/>
      <c r="J33" s="16"/>
      <c r="K33" s="16"/>
      <c r="L33" s="16"/>
      <c r="M33" s="16"/>
    </row>
    <row r="34" spans="1:13" x14ac:dyDescent="0.3">
      <c r="A34" s="14" t="s">
        <v>539</v>
      </c>
      <c r="B34" s="16"/>
      <c r="C34" s="16"/>
      <c r="D34" s="16"/>
      <c r="E34" s="16"/>
      <c r="F34" s="16"/>
      <c r="G34" s="16"/>
      <c r="H34" s="16"/>
      <c r="I34" s="22"/>
      <c r="J34" s="16"/>
      <c r="K34" s="16"/>
      <c r="L34" s="16"/>
      <c r="M34" s="16"/>
    </row>
    <row r="35" spans="1:13" x14ac:dyDescent="0.3">
      <c r="A35" s="14" t="s">
        <v>540</v>
      </c>
      <c r="B35" s="16"/>
      <c r="C35" s="16"/>
      <c r="D35" s="16"/>
      <c r="E35" s="16"/>
      <c r="F35" s="16"/>
      <c r="G35" s="16"/>
      <c r="H35" s="16"/>
      <c r="I35" s="22"/>
      <c r="J35" s="16"/>
      <c r="K35" s="16"/>
      <c r="L35" s="16"/>
      <c r="M35" s="16"/>
    </row>
    <row r="36" spans="1:13" x14ac:dyDescent="0.3">
      <c r="A36" s="14" t="s">
        <v>541</v>
      </c>
      <c r="B36" s="16"/>
      <c r="C36" s="16"/>
      <c r="D36" s="16"/>
      <c r="E36" s="16"/>
      <c r="F36" s="16"/>
      <c r="G36" s="16"/>
      <c r="H36" s="16"/>
      <c r="I36" s="22"/>
      <c r="J36" s="16"/>
      <c r="K36" s="16"/>
      <c r="L36" s="16"/>
      <c r="M36" s="16"/>
    </row>
    <row r="37" spans="1:13" x14ac:dyDescent="0.3">
      <c r="A37" s="14" t="s">
        <v>542</v>
      </c>
      <c r="B37" s="16"/>
      <c r="C37" s="16"/>
      <c r="D37" s="16"/>
      <c r="E37" s="16"/>
      <c r="F37" s="16"/>
      <c r="G37" s="16"/>
      <c r="H37" s="16"/>
      <c r="I37" s="22"/>
      <c r="J37" s="16"/>
      <c r="K37" s="16"/>
      <c r="L37" s="16"/>
      <c r="M37" s="16"/>
    </row>
    <row r="38" spans="1:13" x14ac:dyDescent="0.3">
      <c r="A38" s="14" t="s">
        <v>543</v>
      </c>
      <c r="B38" s="16"/>
      <c r="C38" s="16"/>
      <c r="D38" s="16"/>
      <c r="E38" s="16"/>
      <c r="F38" s="16"/>
      <c r="G38" s="16"/>
      <c r="H38" s="16"/>
      <c r="I38" s="22"/>
      <c r="J38" s="16"/>
      <c r="K38" s="16"/>
      <c r="L38" s="16"/>
      <c r="M38" s="16"/>
    </row>
    <row r="39" spans="1:13" x14ac:dyDescent="0.3">
      <c r="A39" s="14" t="s">
        <v>544</v>
      </c>
      <c r="B39" s="16"/>
      <c r="C39" s="16"/>
      <c r="D39" s="16"/>
      <c r="E39" s="16"/>
      <c r="F39" s="16"/>
      <c r="G39" s="16"/>
      <c r="H39" s="16"/>
      <c r="I39" s="22"/>
      <c r="J39" s="16"/>
      <c r="K39" s="16"/>
      <c r="L39" s="16"/>
      <c r="M39" s="16"/>
    </row>
    <row r="40" spans="1:13" x14ac:dyDescent="0.3">
      <c r="A40" s="14" t="s">
        <v>545</v>
      </c>
      <c r="B40" s="16"/>
      <c r="C40" s="16"/>
      <c r="D40" s="16"/>
      <c r="E40" s="16"/>
      <c r="F40" s="16"/>
      <c r="G40" s="16"/>
      <c r="H40" s="16"/>
      <c r="I40" s="22"/>
      <c r="J40" s="16"/>
      <c r="K40" s="16"/>
      <c r="L40" s="16"/>
      <c r="M40" s="16"/>
    </row>
    <row r="41" spans="1:13" x14ac:dyDescent="0.3">
      <c r="A41" s="14" t="s">
        <v>546</v>
      </c>
      <c r="B41" s="16"/>
      <c r="C41" s="16"/>
      <c r="D41" s="16"/>
      <c r="E41" s="16"/>
      <c r="F41" s="16"/>
      <c r="G41" s="16"/>
      <c r="H41" s="16"/>
      <c r="I41" s="22"/>
      <c r="J41" s="16"/>
      <c r="K41" s="16"/>
      <c r="L41" s="16"/>
      <c r="M41" s="16"/>
    </row>
    <row r="42" spans="1:13" x14ac:dyDescent="0.3">
      <c r="A42" s="14" t="s">
        <v>547</v>
      </c>
      <c r="B42" s="16"/>
      <c r="C42" s="16"/>
      <c r="D42" s="16"/>
      <c r="E42" s="16"/>
      <c r="F42" s="16"/>
      <c r="G42" s="16"/>
      <c r="H42" s="16"/>
      <c r="I42" s="22"/>
      <c r="J42" s="16"/>
      <c r="K42" s="16"/>
      <c r="L42" s="16"/>
      <c r="M42" s="16"/>
    </row>
    <row r="43" spans="1:13" x14ac:dyDescent="0.3">
      <c r="A43" s="14" t="s">
        <v>548</v>
      </c>
      <c r="B43" s="16"/>
      <c r="C43" s="16"/>
      <c r="D43" s="16"/>
      <c r="E43" s="16"/>
      <c r="F43" s="16"/>
      <c r="G43" s="16"/>
      <c r="H43" s="16"/>
      <c r="I43" s="22"/>
      <c r="J43" s="16"/>
      <c r="K43" s="16"/>
      <c r="L43" s="16"/>
      <c r="M43" s="16"/>
    </row>
    <row r="44" spans="1:13" x14ac:dyDescent="0.3">
      <c r="A44" s="14" t="s">
        <v>549</v>
      </c>
      <c r="B44" s="16"/>
      <c r="C44" s="16"/>
      <c r="D44" s="16"/>
      <c r="E44" s="16"/>
      <c r="F44" s="16"/>
      <c r="G44" s="16"/>
      <c r="H44" s="16"/>
      <c r="I44" s="22"/>
      <c r="J44" s="16"/>
      <c r="K44" s="16"/>
      <c r="L44" s="16"/>
      <c r="M44" s="16"/>
    </row>
    <row r="45" spans="1:13" x14ac:dyDescent="0.3">
      <c r="A45" s="14" t="s">
        <v>550</v>
      </c>
      <c r="B45" s="16"/>
      <c r="C45" s="16"/>
      <c r="D45" s="16"/>
      <c r="E45" s="16"/>
      <c r="F45" s="16"/>
      <c r="G45" s="16"/>
      <c r="H45" s="16"/>
      <c r="I45" s="22"/>
      <c r="J45" s="16"/>
      <c r="K45" s="16"/>
      <c r="L45" s="16"/>
      <c r="M45" s="16"/>
    </row>
    <row r="46" spans="1:13" x14ac:dyDescent="0.3">
      <c r="A46" s="14" t="s">
        <v>551</v>
      </c>
      <c r="B46" s="16"/>
      <c r="C46" s="16"/>
      <c r="D46" s="16"/>
      <c r="E46" s="16"/>
      <c r="F46" s="16"/>
      <c r="G46" s="16"/>
      <c r="H46" s="16"/>
      <c r="I46" s="22"/>
      <c r="J46" s="16"/>
      <c r="K46" s="16"/>
      <c r="L46" s="16"/>
      <c r="M46" s="16"/>
    </row>
    <row r="47" spans="1:13" x14ac:dyDescent="0.3">
      <c r="A47" s="14" t="s">
        <v>552</v>
      </c>
      <c r="B47" s="16"/>
      <c r="C47" s="16"/>
      <c r="D47" s="16"/>
      <c r="E47" s="16"/>
      <c r="F47" s="16"/>
      <c r="G47" s="16"/>
      <c r="H47" s="16"/>
      <c r="I47" s="22"/>
      <c r="J47" s="16"/>
      <c r="K47" s="16"/>
      <c r="L47" s="16"/>
      <c r="M47" s="16"/>
    </row>
    <row r="48" spans="1:13" x14ac:dyDescent="0.3">
      <c r="A48" s="14" t="s">
        <v>553</v>
      </c>
      <c r="B48" s="16"/>
      <c r="C48" s="16"/>
      <c r="D48" s="16"/>
      <c r="E48" s="16"/>
      <c r="F48" s="16"/>
      <c r="G48" s="16"/>
      <c r="H48" s="16"/>
      <c r="I48" s="22"/>
      <c r="J48" s="16"/>
      <c r="K48" s="16"/>
      <c r="L48" s="16"/>
      <c r="M48" s="16"/>
    </row>
    <row r="49" spans="1:13" x14ac:dyDescent="0.3">
      <c r="A49" s="14" t="s">
        <v>554</v>
      </c>
      <c r="B49" s="16"/>
      <c r="C49" s="16"/>
      <c r="D49" s="16"/>
      <c r="E49" s="16"/>
      <c r="F49" s="16"/>
      <c r="G49" s="16"/>
      <c r="H49" s="16"/>
      <c r="I49" s="22"/>
      <c r="J49" s="16"/>
      <c r="K49" s="16"/>
      <c r="L49" s="16"/>
      <c r="M49" s="16"/>
    </row>
    <row r="50" spans="1:13" x14ac:dyDescent="0.3">
      <c r="A50" s="14" t="s">
        <v>555</v>
      </c>
      <c r="B50" s="16"/>
      <c r="C50" s="16"/>
      <c r="D50" s="16"/>
      <c r="E50" s="16"/>
      <c r="F50" s="16"/>
      <c r="G50" s="16"/>
      <c r="H50" s="16"/>
      <c r="I50" s="22"/>
      <c r="J50" s="16"/>
      <c r="K50" s="16"/>
      <c r="L50" s="16"/>
      <c r="M50" s="16"/>
    </row>
    <row r="51" spans="1:13" x14ac:dyDescent="0.3">
      <c r="A51" s="14" t="s">
        <v>556</v>
      </c>
      <c r="B51" s="16"/>
      <c r="C51" s="16"/>
      <c r="D51" s="16"/>
      <c r="E51" s="16"/>
      <c r="F51" s="16"/>
      <c r="G51" s="16"/>
      <c r="H51" s="16"/>
      <c r="I51" s="22"/>
      <c r="J51" s="16"/>
      <c r="K51" s="16"/>
      <c r="L51" s="16"/>
      <c r="M51" s="16"/>
    </row>
    <row r="52" spans="1:13" x14ac:dyDescent="0.3">
      <c r="A52" s="14" t="s">
        <v>557</v>
      </c>
      <c r="B52" s="16"/>
      <c r="C52" s="16"/>
      <c r="D52" s="16"/>
      <c r="E52" s="16"/>
      <c r="F52" s="16"/>
      <c r="G52" s="16"/>
      <c r="H52" s="16"/>
      <c r="I52" s="22"/>
      <c r="J52" s="16"/>
      <c r="K52" s="16"/>
      <c r="L52" s="16"/>
      <c r="M52" s="16"/>
    </row>
    <row r="53" spans="1:13" x14ac:dyDescent="0.3">
      <c r="A53" s="14" t="s">
        <v>558</v>
      </c>
      <c r="B53" s="16"/>
      <c r="C53" s="16"/>
      <c r="D53" s="16"/>
      <c r="E53" s="16"/>
      <c r="F53" s="16"/>
      <c r="G53" s="16"/>
      <c r="H53" s="16"/>
      <c r="I53" s="22"/>
      <c r="J53" s="16"/>
      <c r="K53" s="16"/>
      <c r="L53" s="16"/>
      <c r="M53" s="16"/>
    </row>
    <row r="54" spans="1:13" x14ac:dyDescent="0.3">
      <c r="A54" s="14" t="s">
        <v>559</v>
      </c>
      <c r="B54" s="16"/>
      <c r="C54" s="16"/>
      <c r="D54" s="16"/>
      <c r="E54" s="16"/>
      <c r="F54" s="16"/>
      <c r="G54" s="16"/>
      <c r="H54" s="16"/>
      <c r="I54" s="22"/>
      <c r="J54" s="16"/>
      <c r="K54" s="16"/>
      <c r="L54" s="16"/>
      <c r="M54" s="16"/>
    </row>
    <row r="55" spans="1:13" x14ac:dyDescent="0.3">
      <c r="A55" s="14" t="s">
        <v>560</v>
      </c>
      <c r="B55" s="16"/>
      <c r="C55" s="16"/>
      <c r="D55" s="16"/>
      <c r="E55" s="16"/>
      <c r="F55" s="16"/>
      <c r="G55" s="16"/>
      <c r="H55" s="16"/>
      <c r="I55" s="22"/>
      <c r="J55" s="16"/>
      <c r="K55" s="16"/>
      <c r="L55" s="16"/>
      <c r="M55" s="16"/>
    </row>
    <row r="56" spans="1:13" x14ac:dyDescent="0.3">
      <c r="A56" s="14" t="s">
        <v>561</v>
      </c>
      <c r="B56" s="16"/>
      <c r="C56" s="16"/>
      <c r="D56" s="16"/>
      <c r="E56" s="16"/>
      <c r="F56" s="16"/>
      <c r="G56" s="16"/>
      <c r="H56" s="16"/>
      <c r="I56" s="22"/>
      <c r="J56" s="16"/>
      <c r="K56" s="16"/>
      <c r="L56" s="16"/>
      <c r="M56" s="16"/>
    </row>
    <row r="57" spans="1:13" x14ac:dyDescent="0.3">
      <c r="A57" s="14" t="s">
        <v>562</v>
      </c>
      <c r="B57" s="16"/>
      <c r="C57" s="16"/>
      <c r="D57" s="16"/>
      <c r="E57" s="16"/>
      <c r="F57" s="16"/>
      <c r="G57" s="16"/>
      <c r="H57" s="16"/>
      <c r="I57" s="22"/>
      <c r="J57" s="16"/>
      <c r="K57" s="16"/>
      <c r="L57" s="16"/>
      <c r="M57" s="16"/>
    </row>
    <row r="58" spans="1:13" x14ac:dyDescent="0.3">
      <c r="A58" s="14" t="s">
        <v>563</v>
      </c>
      <c r="B58" s="16"/>
      <c r="C58" s="16"/>
      <c r="D58" s="16"/>
      <c r="E58" s="16"/>
      <c r="F58" s="16"/>
      <c r="G58" s="16"/>
      <c r="H58" s="16"/>
      <c r="I58" s="22"/>
      <c r="J58" s="16"/>
      <c r="K58" s="16"/>
      <c r="L58" s="16"/>
      <c r="M58" s="16"/>
    </row>
    <row r="59" spans="1:13" x14ac:dyDescent="0.3">
      <c r="A59" s="14" t="s">
        <v>564</v>
      </c>
      <c r="B59" s="16"/>
      <c r="C59" s="16"/>
      <c r="D59" s="16"/>
      <c r="E59" s="16"/>
      <c r="F59" s="16"/>
      <c r="G59" s="16"/>
      <c r="H59" s="16"/>
      <c r="I59" s="22"/>
      <c r="J59" s="16"/>
      <c r="K59" s="16"/>
      <c r="L59" s="16"/>
      <c r="M59" s="16"/>
    </row>
    <row r="60" spans="1:13" x14ac:dyDescent="0.3">
      <c r="A60" s="14" t="s">
        <v>565</v>
      </c>
      <c r="B60" s="16"/>
      <c r="C60" s="16"/>
      <c r="D60" s="16"/>
      <c r="E60" s="16"/>
      <c r="F60" s="16"/>
      <c r="G60" s="16"/>
      <c r="H60" s="16"/>
      <c r="I60" s="22"/>
      <c r="J60" s="16"/>
      <c r="K60" s="16"/>
      <c r="L60" s="16"/>
      <c r="M60" s="16"/>
    </row>
    <row r="61" spans="1:13" x14ac:dyDescent="0.3">
      <c r="A61" s="14" t="s">
        <v>566</v>
      </c>
      <c r="B61" s="16"/>
      <c r="C61" s="16"/>
      <c r="D61" s="16"/>
      <c r="E61" s="16"/>
      <c r="F61" s="16"/>
      <c r="G61" s="16"/>
      <c r="H61" s="16"/>
      <c r="I61" s="22"/>
      <c r="J61" s="16"/>
      <c r="K61" s="16"/>
      <c r="L61" s="16"/>
      <c r="M61" s="16"/>
    </row>
    <row r="63" spans="1:13" x14ac:dyDescent="0.3">
      <c r="A63" s="23" t="s">
        <v>567</v>
      </c>
    </row>
    <row r="64" spans="1:13" x14ac:dyDescent="0.3">
      <c r="A64" s="5" t="s">
        <v>568</v>
      </c>
      <c r="B64" s="26" t="s">
        <v>569</v>
      </c>
      <c r="C64" s="25"/>
      <c r="D64" s="25"/>
      <c r="E64" s="25"/>
      <c r="F64" s="25"/>
    </row>
    <row r="65" spans="1:6" x14ac:dyDescent="0.3">
      <c r="A65" s="5" t="s">
        <v>570</v>
      </c>
      <c r="B65" s="26" t="s">
        <v>571</v>
      </c>
      <c r="C65" s="25"/>
      <c r="D65" s="25"/>
      <c r="E65" s="25"/>
      <c r="F65" s="25"/>
    </row>
    <row r="66" spans="1:6" x14ac:dyDescent="0.3">
      <c r="A66" s="5" t="s">
        <v>572</v>
      </c>
      <c r="B66" s="26" t="s">
        <v>573</v>
      </c>
      <c r="C66" s="25"/>
      <c r="D66" s="25"/>
      <c r="E66" s="25"/>
      <c r="F66" s="25"/>
    </row>
    <row r="67" spans="1:6" x14ac:dyDescent="0.3">
      <c r="A67" s="5" t="s">
        <v>574</v>
      </c>
      <c r="B67" s="26" t="s">
        <v>575</v>
      </c>
      <c r="C67" s="25"/>
      <c r="D67" s="25"/>
      <c r="E67" s="25"/>
      <c r="F67" s="25"/>
    </row>
  </sheetData>
  <mergeCells count="4">
    <mergeCell ref="B65:F65"/>
    <mergeCell ref="B64:F64"/>
    <mergeCell ref="B67:F67"/>
    <mergeCell ref="B66:F66"/>
  </mergeCells>
  <dataValidations count="3">
    <dataValidation type="list" allowBlank="1" sqref="C2:C61" xr:uid="{00000000-0002-0000-0300-000000000000}">
      <formula1>"Critical,High,Medium,Low"</formula1>
    </dataValidation>
    <dataValidation type="list" allowBlank="1" sqref="J2:J61" xr:uid="{00000000-0002-0000-0300-000001000000}">
      <formula1>"Open,In Progress,Fixed,Closed,Won't Fix"</formula1>
    </dataValidation>
    <dataValidation type="list" allowBlank="1" sqref="L2:L61" xr:uid="{00000000-0002-0000-0300-000002000000}">
      <formula1>"Pass,Fail"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Test Cases</vt:lpstr>
      <vt:lpstr>Summary</vt:lpstr>
      <vt:lpstr>Defect Log</vt:lpstr>
      <vt:lpstr>'Test Cases'!Print_Titles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Shaine Ella Pines</cp:lastModifiedBy>
  <dcterms:created xsi:type="dcterms:W3CDTF">2026-10-10T13:13:05Z</dcterms:created>
  <dcterms:modified xsi:type="dcterms:W3CDTF">2026-10-10T13:13:23Z</dcterms:modified>
</cp:coreProperties>
</file>