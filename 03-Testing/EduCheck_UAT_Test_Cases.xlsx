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98bf0dccc2814d1/Documents/GitHub/Capstone-Project_EduCheck/03-Testing/"/>
    </mc:Choice>
  </mc:AlternateContent>
  <xr:revisionPtr revIDLastSave="78" documentId="11_C1F5BA203F8BA9F4AE009BB4139EBEDC2939DAAE" xr6:coauthVersionLast="47" xr6:coauthVersionMax="47" xr10:uidLastSave="{5C5A46DE-A9AB-46F7-A2A5-2FB0AD72CC6E}"/>
  <bookViews>
    <workbookView xWindow="-108" yWindow="-108" windowWidth="23256" windowHeight="12456" xr2:uid="{00000000-000D-0000-FFFF-FFFF00000000}"/>
  </bookViews>
  <sheets>
    <sheet name="Instructions" sheetId="1" r:id="rId1"/>
    <sheet name="Test Cases" sheetId="2" r:id="rId2"/>
    <sheet name="Summary" sheetId="3" r:id="rId3"/>
    <sheet name="Defect Log" sheetId="4" r:id="rId4"/>
  </sheets>
  <definedNames>
    <definedName name="_xlnm._FilterDatabase" localSheetId="1" hidden="1">'Test Cases'!$A$1:$Q$68</definedName>
    <definedName name="_xlnm.Print_Titles" localSheetId="1">'Test Cases'!$1:$1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3" l="1"/>
  <c r="D48" i="3"/>
  <c r="C48" i="3"/>
  <c r="G48" i="3" s="1"/>
  <c r="B48" i="3"/>
  <c r="F48" i="3" s="1"/>
  <c r="E47" i="3"/>
  <c r="D47" i="3"/>
  <c r="C47" i="3"/>
  <c r="G47" i="3" s="1"/>
  <c r="B47" i="3"/>
  <c r="F47" i="3" s="1"/>
  <c r="E46" i="3"/>
  <c r="D46" i="3"/>
  <c r="C46" i="3"/>
  <c r="G46" i="3" s="1"/>
  <c r="B46" i="3"/>
  <c r="F46" i="3" s="1"/>
  <c r="E45" i="3"/>
  <c r="D45" i="3"/>
  <c r="C45" i="3"/>
  <c r="G45" i="3" s="1"/>
  <c r="B45" i="3"/>
  <c r="F45" i="3" s="1"/>
  <c r="E44" i="3"/>
  <c r="D44" i="3"/>
  <c r="C44" i="3"/>
  <c r="G44" i="3" s="1"/>
  <c r="B44" i="3"/>
  <c r="F44" i="3" s="1"/>
  <c r="E43" i="3"/>
  <c r="D43" i="3"/>
  <c r="C43" i="3"/>
  <c r="G43" i="3" s="1"/>
  <c r="B43" i="3"/>
  <c r="F43" i="3" s="1"/>
  <c r="E38" i="3"/>
  <c r="D38" i="3"/>
  <c r="C38" i="3"/>
  <c r="B38" i="3"/>
  <c r="E37" i="3"/>
  <c r="D37" i="3"/>
  <c r="C37" i="3"/>
  <c r="G37" i="3" s="1"/>
  <c r="B37" i="3"/>
  <c r="F37" i="3" s="1"/>
  <c r="E36" i="3"/>
  <c r="D36" i="3"/>
  <c r="C36" i="3"/>
  <c r="G36" i="3" s="1"/>
  <c r="B36" i="3"/>
  <c r="F36" i="3" s="1"/>
  <c r="E35" i="3"/>
  <c r="D35" i="3"/>
  <c r="C35" i="3"/>
  <c r="G35" i="3" s="1"/>
  <c r="B35" i="3"/>
  <c r="F35" i="3" s="1"/>
  <c r="E34" i="3"/>
  <c r="D34" i="3"/>
  <c r="C34" i="3"/>
  <c r="G34" i="3" s="1"/>
  <c r="B34" i="3"/>
  <c r="F34" i="3" s="1"/>
  <c r="E33" i="3"/>
  <c r="D33" i="3"/>
  <c r="C33" i="3"/>
  <c r="G33" i="3" s="1"/>
  <c r="B33" i="3"/>
  <c r="E32" i="3"/>
  <c r="D32" i="3"/>
  <c r="C32" i="3"/>
  <c r="G32" i="3" s="1"/>
  <c r="B32" i="3"/>
  <c r="E31" i="3"/>
  <c r="D31" i="3"/>
  <c r="C31" i="3"/>
  <c r="B31" i="3"/>
  <c r="E30" i="3"/>
  <c r="D30" i="3"/>
  <c r="C30" i="3"/>
  <c r="B30" i="3"/>
  <c r="E29" i="3"/>
  <c r="D29" i="3"/>
  <c r="C29" i="3"/>
  <c r="G29" i="3" s="1"/>
  <c r="B29" i="3"/>
  <c r="E28" i="3"/>
  <c r="D28" i="3"/>
  <c r="C28" i="3"/>
  <c r="G28" i="3" s="1"/>
  <c r="B28" i="3"/>
  <c r="E27" i="3"/>
  <c r="D27" i="3"/>
  <c r="C27" i="3"/>
  <c r="G27" i="3" s="1"/>
  <c r="B27" i="3"/>
  <c r="E26" i="3"/>
  <c r="D26" i="3"/>
  <c r="C26" i="3"/>
  <c r="B26" i="3"/>
  <c r="E25" i="3"/>
  <c r="D25" i="3"/>
  <c r="C25" i="3"/>
  <c r="G25" i="3" s="1"/>
  <c r="B25" i="3"/>
  <c r="E24" i="3"/>
  <c r="D24" i="3"/>
  <c r="C24" i="3"/>
  <c r="G24" i="3" s="1"/>
  <c r="B24" i="3"/>
  <c r="E23" i="3"/>
  <c r="D23" i="3"/>
  <c r="C23" i="3"/>
  <c r="G23" i="3" s="1"/>
  <c r="B23" i="3"/>
  <c r="E22" i="3"/>
  <c r="D22" i="3"/>
  <c r="C22" i="3"/>
  <c r="G22" i="3" s="1"/>
  <c r="B22" i="3"/>
  <c r="E21" i="3"/>
  <c r="D21" i="3"/>
  <c r="C21" i="3"/>
  <c r="G21" i="3" s="1"/>
  <c r="B21" i="3"/>
  <c r="E20" i="3"/>
  <c r="D20" i="3"/>
  <c r="C20" i="3"/>
  <c r="G20" i="3" s="1"/>
  <c r="B20" i="3"/>
  <c r="E19" i="3"/>
  <c r="D19" i="3"/>
  <c r="C19" i="3"/>
  <c r="G19" i="3" s="1"/>
  <c r="B19" i="3"/>
  <c r="E18" i="3"/>
  <c r="D18" i="3"/>
  <c r="C18" i="3"/>
  <c r="G18" i="3" s="1"/>
  <c r="B18" i="3"/>
  <c r="E17" i="3"/>
  <c r="D17" i="3"/>
  <c r="C17" i="3"/>
  <c r="G17" i="3" s="1"/>
  <c r="B17" i="3"/>
  <c r="B8" i="3"/>
  <c r="B7" i="3"/>
  <c r="B6" i="3"/>
  <c r="B5" i="3"/>
  <c r="G26" i="3" l="1"/>
  <c r="F28" i="3"/>
  <c r="F27" i="3"/>
  <c r="G38" i="3"/>
  <c r="F38" i="3"/>
  <c r="G31" i="3"/>
  <c r="F33" i="3"/>
  <c r="F32" i="3"/>
  <c r="F22" i="3"/>
  <c r="F19" i="3"/>
  <c r="F18" i="3"/>
  <c r="F17" i="3"/>
  <c r="F26" i="3"/>
  <c r="F25" i="3"/>
  <c r="F21" i="3"/>
  <c r="F31" i="3"/>
  <c r="B10" i="3"/>
  <c r="F23" i="3"/>
  <c r="F29" i="3"/>
  <c r="F24" i="3"/>
  <c r="F20" i="3"/>
  <c r="G30" i="3"/>
  <c r="F30" i="3"/>
  <c r="B9" i="3"/>
  <c r="B11" i="3" l="1"/>
  <c r="B12" i="3"/>
</calcChain>
</file>

<file path=xl/sharedStrings.xml><?xml version="1.0" encoding="utf-8"?>
<sst xmlns="http://schemas.openxmlformats.org/spreadsheetml/2006/main" count="1131" uniqueCount="667">
  <si>
    <t>EduCheck - User Acceptance Test Cases</t>
  </si>
  <si>
    <t>Formal testing and UAT, ISO/IEC 25010. Read 03-Testing/EduCheck_Known_Limitations.md first: items listed there are not defects. Revised 2026-10-19 for the Accounts page and Principal account approval (TC-012 to TC-016, TC-044, TC-072 to TC-076); the UAT on 2026-10-16 used the earlier User Management and Teacher Management pages.</t>
  </si>
  <si>
    <t>Test session</t>
  </si>
  <si>
    <t>Tester name(s)</t>
  </si>
  <si>
    <t>Date(s) tested</t>
  </si>
  <si>
    <t>Server address (web)</t>
  </si>
  <si>
    <t>Web browser(s) and version</t>
  </si>
  <si>
    <t>Android phone model / version</t>
  </si>
  <si>
    <t>Build / commit tested</t>
  </si>
  <si>
    <t>How to fill in</t>
  </si>
  <si>
    <t>1.</t>
  </si>
  <si>
    <t>Yellow cells are the only cells to fill in. All other cells are the test design; do not change them.</t>
  </si>
  <si>
    <t>2.</t>
  </si>
  <si>
    <t>Run each case in the Test Cases sheet in order. Follow the Steps exactly and compare with Expected Result.</t>
  </si>
  <si>
    <t>3.</t>
  </si>
  <si>
    <t>Actual Result: write what really happened, in a few words (or the time taken for performance cases).</t>
  </si>
  <si>
    <t>4.</t>
  </si>
  <si>
    <t>Status: choose Pass, Fail, Blocked (could not run because of another problem) or Not Run.</t>
  </si>
  <si>
    <t>5.</t>
  </si>
  <si>
    <t>For every Fail, add a row in the Defect Log and put its Defect ID on the test case.</t>
  </si>
  <si>
    <t>6.</t>
  </si>
  <si>
    <t>The Summary sheet counts results automatically.</t>
  </si>
  <si>
    <t>Example of a filled-in test case</t>
  </si>
  <si>
    <t>Field</t>
  </si>
  <si>
    <t>Example value</t>
  </si>
  <si>
    <t>TC ID</t>
  </si>
  <si>
    <t>TC-002</t>
  </si>
  <si>
    <t>Actual Result</t>
  </si>
  <si>
    <t>Login failed; message "Invalid username or password." shown.</t>
  </si>
  <si>
    <t>Status</t>
  </si>
  <si>
    <t>Pass</t>
  </si>
  <si>
    <t>Tester</t>
  </si>
  <si>
    <t>J. Dela Cruz</t>
  </si>
  <si>
    <t>Date</t>
  </si>
  <si>
    <t>2026-10-15</t>
  </si>
  <si>
    <t>Defect ID</t>
  </si>
  <si>
    <t>(blank - only for Fail)</t>
  </si>
  <si>
    <t>Remarks</t>
  </si>
  <si>
    <t>Chrome 141</t>
  </si>
  <si>
    <t>Test accounts</t>
  </si>
  <si>
    <t>Username</t>
  </si>
  <si>
    <t>Role</t>
  </si>
  <si>
    <t>Password (fill in; do not share outside the team)</t>
  </si>
  <si>
    <t>Notes</t>
  </si>
  <si>
    <t>admin.educheck</t>
  </si>
  <si>
    <t>Admin</t>
  </si>
  <si>
    <t>Reviews and approves records; adds accounts in Accounts and finishes their setup after the Principal approves them.</t>
  </si>
  <si>
    <t>adviser.grade6a</t>
  </si>
  <si>
    <t>Adviser</t>
  </si>
  <si>
    <t>Maria Teresa Santos (fictitious name). Class Adviser of Rizal (Grade 6, Departmentalized); teaches English, ESP, Filipino and Science.</t>
  </si>
  <si>
    <t>subject.grade6a</t>
  </si>
  <si>
    <t>Subject Teacher</t>
  </si>
  <si>
    <t>Jose Miguel Reyes (fictitious name). Teaches Araling Panlipunan, MAPEH, Mathematics and TLE in Rizal.</t>
  </si>
  <si>
    <t>principal.educheck</t>
  </si>
  <si>
    <t>Principal</t>
  </si>
  <si>
    <t>Approves or rejects new accounts in Account Approvals; everything else is view-only.</t>
  </si>
  <si>
    <t>Test data</t>
  </si>
  <si>
    <t>Sections</t>
  </si>
  <si>
    <t>Rizal (Grade 6, Departmentalized, 100 learners). Mabini (Grade 3, Self-Contained, 5 learners LRN 300000000001-005, no Class Adviser). School year 2025-2026. Pending Approval at start: LRN 100000000004-015. Incomplete (no TLE grade): LRN 100000000099 and 100000000100. No Approved records at start.</t>
  </si>
  <si>
    <t>SF10 demo learner</t>
  </si>
  <si>
    <t>LRN 100000000001 (Adrian Aguilar). Sample Grade 4 and 5 history; readiness PARTIAL. Grade 6 prints as Terms 1-3 only after approval (D-05).</t>
  </si>
  <si>
    <t>Sample e-class record</t>
  </si>
  <si>
    <t>03-Testing/UAT-files/ - one ready-made file per test case; the file name starts with the TC ID (see README.md in that folder).</t>
  </si>
  <si>
    <t>Before starting</t>
  </si>
  <si>
    <t>Back up the database so testing can be repeated from the same state. After restoring a backup taken before 2026-10-17, re-run migrations 010 and 011 (see the Day Kit).</t>
  </si>
  <si>
    <t>Module</t>
  </si>
  <si>
    <t>Platform</t>
  </si>
  <si>
    <t>ISO 25010</t>
  </si>
  <si>
    <t>SPMP / Ref</t>
  </si>
  <si>
    <t>Test Case</t>
  </si>
  <si>
    <t>Preconditions</t>
  </si>
  <si>
    <t>Steps</t>
  </si>
  <si>
    <t>Test Data</t>
  </si>
  <si>
    <t>Expected Result</t>
  </si>
  <si>
    <t>TC-001</t>
  </si>
  <si>
    <t>Authentication</t>
  </si>
  <si>
    <t>All</t>
  </si>
  <si>
    <t>Web</t>
  </si>
  <si>
    <t>Security</t>
  </si>
  <si>
    <t>EPIC-01, US-001</t>
  </si>
  <si>
    <t>Log in with valid credentials</t>
  </si>
  <si>
    <t>Active account exists.</t>
  </si>
  <si>
    <t>1. Open the login page.
2. Enter a valid username and password.
3. Click Sign in.</t>
  </si>
  <si>
    <t>Any test account</t>
  </si>
  <si>
    <t>The user lands on the Dashboard for their role. The sidebar shows only that role's menu items.</t>
  </si>
  <si>
    <t>Log in with a wrong password</t>
  </si>
  <si>
    <t>1. Enter a valid username and a wrong password.
2. Click Sign in.</t>
  </si>
  <si>
    <t>Valid username, wrong password</t>
  </si>
  <si>
    <t>Login fails with "Invalid username or password." The message does not say which field was wrong.</t>
  </si>
  <si>
    <t>TC-003</t>
  </si>
  <si>
    <t>Usability</t>
  </si>
  <si>
    <t>EPIC-01</t>
  </si>
  <si>
    <t>Log in with empty fields</t>
  </si>
  <si>
    <t>None.</t>
  </si>
  <si>
    <t>1. Leave username and/or password empty.
2. Click Sign in.</t>
  </si>
  <si>
    <t>Blank fields</t>
  </si>
  <si>
    <t>Login is not attempted. The user is asked to fill in both fields.</t>
  </si>
  <si>
    <t>TC-004</t>
  </si>
  <si>
    <t>Inactive account cannot log in</t>
  </si>
  <si>
    <t>Admin has set a test account to Inactive in Accounts.</t>
  </si>
  <si>
    <t>1. Log in with the inactive account's correct password.</t>
  </si>
  <si>
    <t>Inactive test account</t>
  </si>
  <si>
    <t>Login fails with "This account is inactive."</t>
  </si>
  <si>
    <t>TC-005</t>
  </si>
  <si>
    <t>EPIC-01 / ISO 25010</t>
  </si>
  <si>
    <t>Repeated failed logins are locked out</t>
  </si>
  <si>
    <t>1. Enter a wrong password 11 times in a row within 15 minutes.</t>
  </si>
  <si>
    <t>After 10 failures the page shows "Too many login attempts. Please try again in a few minutes." (see Known Limitations D-07).</t>
  </si>
  <si>
    <t>TC-006</t>
  </si>
  <si>
    <t>§6.2</t>
  </si>
  <si>
    <t>Log out ends the session</t>
  </si>
  <si>
    <t>Logged in.</t>
  </si>
  <si>
    <t>1. Click Log out.
2. Press the browser Back button.
3. Try to open /dashboard directly.</t>
  </si>
  <si>
    <t>-</t>
  </si>
  <si>
    <t>The user is returned to the login page and cannot reach any protected page without logging in again.</t>
  </si>
  <si>
    <t>TC-007</t>
  </si>
  <si>
    <t>§6.2, US-011</t>
  </si>
  <si>
    <t>A role cannot open another role's page by URL</t>
  </si>
  <si>
    <t>Logged in as Subject Teacher.</t>
  </si>
  <si>
    <t>1. Type /accounts in the address bar.
2. Type /audit-log.
3. Type /consolidated-records.</t>
  </si>
  <si>
    <t>Each attempt redirects to the user's own Dashboard. No Admin or Adviser data is shown.</t>
  </si>
  <si>
    <t>TC-008</t>
  </si>
  <si>
    <t>Account</t>
  </si>
  <si>
    <t>Change own password</t>
  </si>
  <si>
    <t>1. Open Settings.
2. Enter the current password and a new password with at least 8 characters, a letter and a number.
3. Save.
4. Log out and log in with the new password.</t>
  </si>
  <si>
    <t>New password e.g. Educheck2026</t>
  </si>
  <si>
    <t>Password is changed. The old password no longer works and the new one does.</t>
  </si>
  <si>
    <t>TC-009</t>
  </si>
  <si>
    <t>Functional suitability</t>
  </si>
  <si>
    <t>Settings shows own profile and assignments</t>
  </si>
  <si>
    <t>Teacher profile and assignments exist.</t>
  </si>
  <si>
    <t>1. Open Settings.
2. Check Account Information and My Assignments.
3. Open the Dashboard.</t>
  </si>
  <si>
    <t>Full name, employee no. and contact number are shown read-only, with a note to ask the Administrator for changes. My Assignments lists only this teacher's sections and subjects with the school year. The Dashboard header shows the full name.</t>
  </si>
  <si>
    <t>TC-010</t>
  </si>
  <si>
    <t>L-05</t>
  </si>
  <si>
    <t>Account without a teacher profile</t>
  </si>
  <si>
    <t>Logged in as Principal or Admin.</t>
  </si>
  <si>
    <t>1. Open Settings.</t>
  </si>
  <si>
    <t>Username, email, role and status are shown. No name rows and no My Assignments card appear. Nothing is broken or blank.</t>
  </si>
  <si>
    <t>TC-011</t>
  </si>
  <si>
    <t>Weak new password is rejected</t>
  </si>
  <si>
    <t>1. Open Settings.
2. Try a new password with fewer than 8 characters or no number.</t>
  </si>
  <si>
    <t>e.g. abcdefg</t>
  </si>
  <si>
    <t>The change is refused with a message explaining the password rule.</t>
  </si>
  <si>
    <t>TC-012</t>
  </si>
  <si>
    <t>Accounts</t>
  </si>
  <si>
    <t>§6.2, US-015</t>
  </si>
  <si>
    <t>Create an account (waits for the Principal)</t>
  </si>
  <si>
    <t>Logged in as Admin. A Principal account is Active.</t>
  </si>
  <si>
    <t>1. Open Accounts and click Add Account.
2. Enter a DepEd email, the role, and (for a teacher) the name. The username is suggested from the email.
3. Click Create Account.
4. Log out and try to log in as the new account.</t>
  </si>
  <si>
    <t>New test account, e.g. test.teacher@deped.gov.ph</t>
  </si>
  <si>
    <t>The account is listed as Pending Approval and the Principal is notified. It cannot log in until the Principal approves it (TC-073) and the Admin finishes its setup (TC-075).</t>
  </si>
  <si>
    <t>TC-013</t>
  </si>
  <si>
    <t>Edit an account and deactivate it</t>
  </si>
  <si>
    <t>An Active test account exists (after TC-075).</t>
  </si>
  <si>
    <t>1. Edit the account and change the email (must end in @deped.gov.ph) or the name.
2. Set Status to Inactive and save.</t>
  </si>
  <si>
    <t>Test account</t>
  </si>
  <si>
    <t>Changes are saved and shown in the list. The inactive account can no longer log in (TC-004).</t>
  </si>
  <si>
    <t>TC-014</t>
  </si>
  <si>
    <t>L-02</t>
  </si>
  <si>
    <t>Admin resets a user's password</t>
  </si>
  <si>
    <t>A test user exists.</t>
  </si>
  <si>
    <t>1. Edit the account, type a new password in Reset Password (or generate one) and save.
2. Log in as that user with the old password, then with the new one.</t>
  </si>
  <si>
    <t>The old password stops working. The new one works and must be replaced at sign-in, like a temporary password. With internet, it is also emailed to the DepEd address (L-02).</t>
  </si>
  <si>
    <t>TC-015</t>
  </si>
  <si>
    <t>Search accounts</t>
  </si>
  <si>
    <t>Several accounts exist.</t>
  </si>
  <si>
    <t>1. Open Accounts.
2. Type part of a name, username, email or role in the search box.</t>
  </si>
  <si>
    <t>e.g. grade6</t>
  </si>
  <si>
    <t>Only matching accounts are listed.</t>
  </si>
  <si>
    <t>TC-016</t>
  </si>
  <si>
    <t>Teacher details are kept with the account</t>
  </si>
  <si>
    <t>A Subject Teacher or Class Adviser account exists.</t>
  </si>
  <si>
    <t>1. Open Accounts and edit a teacher's account.
2. Change the first name or contact number and save.</t>
  </si>
  <si>
    <t>e.g. subject.grade6a</t>
  </si>
  <si>
    <t>The details are saved with the account and shown in the list. There is no separate Teacher Management page; /teachers opens Accounts.</t>
  </si>
  <si>
    <t>TC-017</t>
  </si>
  <si>
    <t>Section &amp; Assignments</t>
  </si>
  <si>
    <t>§6.2, US-009</t>
  </si>
  <si>
    <t>Assign a teacher to several subjects of a section in one save</t>
  </si>
  <si>
    <t>A section, a teacher, and subjects of the section's grade level not yet assigned.</t>
  </si>
  <si>
    <t>1. Open Section &amp; Teacher Assignments and click Add Assignment.
2. Choose the teacher, section and school year.
3. Tick two or more subjects and save.</t>
  </si>
  <si>
    <t>e.g. Grade 6 English and Science to Rizal</t>
  </si>
  <si>
    <t>One save creates every ticked assignment, each listed separately. Subjects already held by another teacher show who holds them and cannot be ticked. The teacher now sees those subjects for that section on the upload page.</t>
  </si>
  <si>
    <t>TC-018</t>
  </si>
  <si>
    <t>Only the section's own grade-level subjects are offered</t>
  </si>
  <si>
    <t>Logged in as Admin.</t>
  </si>
  <si>
    <t>1. Open Add Assignment and choose a Grade 6 section.
2. Look at the subject checklist.</t>
  </si>
  <si>
    <t>Rizal (Grade 6)</t>
  </si>
  <si>
    <t>Only Grade 6 subjects are listed, so a subject from another grade level cannot be chosen.</t>
  </si>
  <si>
    <t>TC-019</t>
  </si>
  <si>
    <t>Subject Teacher account cannot be Class Adviser</t>
  </si>
  <si>
    <t>A section without a Class Adviser.</t>
  </si>
  <si>
    <t>1. Open Add Assignment.
2. Choose a teacher with a Subject Teacher account and a section without a Class Adviser.
3. Look at the Class Adviser box.</t>
  </si>
  <si>
    <t>The Class Adviser box cannot be ticked and says it needs an Adviser account. The section's Adviser slot stays free.</t>
  </si>
  <si>
    <t>TC-020</t>
  </si>
  <si>
    <t>Set section staffing mode</t>
  </si>
  <si>
    <t>A section whose Adviser has no subject assignment.</t>
  </si>
  <si>
    <t>1. Set a section to Self-Contained, then to Departmentalized.</t>
  </si>
  <si>
    <t>Mabini or Rizal</t>
  </si>
  <si>
    <t>Self-Contained: the Adviser can upload every subject of the section. Departmentalized: the Adviser can upload only subjects assigned to them; with none, the upload menu is hidden. Switch the section back afterwards.</t>
  </si>
  <si>
    <t>TC-021</t>
  </si>
  <si>
    <t>Audit Log</t>
  </si>
  <si>
    <t>EPIC-07</t>
  </si>
  <si>
    <t>Actions are recorded in the audit log</t>
  </si>
  <si>
    <t>Logged in as Admin. Some uploads, approvals or edits were done.</t>
  </si>
  <si>
    <t>1. Open Audit Log.
2. Filter or search for a recent action.</t>
  </si>
  <si>
    <t>Each action shows who did it, what was done and when.</t>
  </si>
  <si>
    <t>TC-022</t>
  </si>
  <si>
    <t>Upload</t>
  </si>
  <si>
    <t>EPIC-02, US-002</t>
  </si>
  <si>
    <t>Upload a valid e-class record</t>
  </si>
  <si>
    <t>Teacher is assigned to the subject and section.</t>
  </si>
  <si>
    <t>1. Open Upload e-Class Record.
2. Select the subject, section and school year.
3. Choose the Excel file and upload.</t>
  </si>
  <si>
    <t>UAT-files/TC-022_valid-ecr-rizal.xlsx</t>
  </si>
  <si>
    <t>Upload succeeds. The record shows as Validated with 0 errors and appears in the teacher's upload list.</t>
  </si>
  <si>
    <t>TC-023</t>
  </si>
  <si>
    <t>Only assigned subjects and sections are offered</t>
  </si>
  <si>
    <t>Teacher has at least one assignment.</t>
  </si>
  <si>
    <t>1. Open the upload page and look at the subject and section choices.</t>
  </si>
  <si>
    <t>Only the teacher's own assigned subject/section pairs are listed.</t>
  </si>
  <si>
    <t>TC-024</t>
  </si>
  <si>
    <t>EPIC-02</t>
  </si>
  <si>
    <t>Non-Excel file is rejected</t>
  </si>
  <si>
    <t>1. Try to upload a .pdf or .txt file.</t>
  </si>
  <si>
    <t>UAT-files/TC-024_not-excel.txt</t>
  </si>
  <si>
    <t>The upload is refused with a message that only Excel files are accepted.</t>
  </si>
  <si>
    <t>TC-025</t>
  </si>
  <si>
    <t>D-06</t>
  </si>
  <si>
    <t>File over 10 MB is rejected</t>
  </si>
  <si>
    <t>1. Try to upload an .xlsx file larger than 10 MB.</t>
  </si>
  <si>
    <t>UAT-files/TC-025_oversized-11MB.xlsx</t>
  </si>
  <si>
    <t>The upload is refused with "The file is larger than 10 MB..."</t>
  </si>
  <si>
    <t>TC-026</t>
  </si>
  <si>
    <t>EPIC-02/03</t>
  </si>
  <si>
    <t>Wrong-section roster is rejected</t>
  </si>
  <si>
    <t>The section already has a roster from an earlier upload.</t>
  </si>
  <si>
    <t>1. Upload a file whose learners belong to a different section.</t>
  </si>
  <si>
    <t>UAT-files/TC-026_ecr-other-section.xlsx (Mabini learners), uploaded to Rizal</t>
  </si>
  <si>
    <t>The upload is refused with a message that the learners do not match the section's roster.</t>
  </si>
  <si>
    <t>TC-027</t>
  </si>
  <si>
    <t>Validation</t>
  </si>
  <si>
    <t>EPIC-04, US-004</t>
  </si>
  <si>
    <t>Validation errors are listed per learner</t>
  </si>
  <si>
    <t>A file with grade errors (e.g. a final grade that does not match the terms).</t>
  </si>
  <si>
    <t>1. Upload the file.
2. Open its Validation Results.</t>
  </si>
  <si>
    <t>UAT-files/TC-027_ecr-with-errors.xlsx (3 scores above the highest possible score)</t>
  </si>
  <si>
    <t>Status is Needs Attention. Each issue lists the learner, term, rule and a readable message, with errors and warnings told apart.</t>
  </si>
  <si>
    <t>TC-028</t>
  </si>
  <si>
    <t>EPIC-04, D-02</t>
  </si>
  <si>
    <t>Correct by re-upload</t>
  </si>
  <si>
    <t>A record is in Needs Attention.</t>
  </si>
  <si>
    <t>1. Fix the errors in Excel.
2. Upload the corrected file for the same subject and section.</t>
  </si>
  <si>
    <t>UAT-files/TC-022_valid-ecr-rizal.xlsx (the corrected version of the TC-027 file)</t>
  </si>
  <si>
    <t>The new upload is Validated and replaces the earlier grades for that subject.</t>
  </si>
  <si>
    <t>TC-029</t>
  </si>
  <si>
    <t>D-01</t>
  </si>
  <si>
    <t>Validation rules are read-only</t>
  </si>
  <si>
    <t>1. Open Settings and find the validation rules card.</t>
  </si>
  <si>
    <t>The DepEd rules are listed for reference. There is no way to edit or switch them off.</t>
  </si>
  <si>
    <t>TC-030</t>
  </si>
  <si>
    <t>US-011</t>
  </si>
  <si>
    <t>Adviser uploads their own assigned subject</t>
  </si>
  <si>
    <t>Rizal is Departmentalized and the Adviser is assigned at least one of its subjects.</t>
  </si>
  <si>
    <t>1. Open Upload Files.
2. Check which subjects are offered for Rizal.
3. Upload the file for one of the Adviser's own subjects.</t>
  </si>
  <si>
    <t>adviser.grade6a, Rizal, the matching file from UAT-files/per-subject/</t>
  </si>
  <si>
    <t>Only the Adviser's own subjects are offered. The upload succeeds as for a Subject Teacher.</t>
  </si>
  <si>
    <t>TC-031</t>
  </si>
  <si>
    <t>Consolidation</t>
  </si>
  <si>
    <t>EPIC-03, US-008</t>
  </si>
  <si>
    <t>View own section's consolidated records</t>
  </si>
  <si>
    <t>Uploads exist for the section.</t>
  </si>
  <si>
    <t>1. Open Consolidated Records.</t>
  </si>
  <si>
    <t>Only learners of the Adviser's own section are listed, each with a subject count such as 8/8.</t>
  </si>
  <si>
    <t>TC-032</t>
  </si>
  <si>
    <t>§6.2, US-008</t>
  </si>
  <si>
    <t>Adviser cannot see another section</t>
  </si>
  <si>
    <t>A second section exists.</t>
  </si>
  <si>
    <t>1. Look through Consolidated Records, Section Progress and Analytics for another section's learners.</t>
  </si>
  <si>
    <t>No learners or grades from other sections are shown anywhere.</t>
  </si>
  <si>
    <t>TC-033</t>
  </si>
  <si>
    <t>EPIC-06, US-006</t>
  </si>
  <si>
    <t>Return a subject to its teacher</t>
  </si>
  <si>
    <t>A learner record has a subject with a problem.</t>
  </si>
  <si>
    <t>1. Open the learner's record.
2. Return the subject to the teacher with a reason.</t>
  </si>
  <si>
    <t>Reason text</t>
  </si>
  <si>
    <t>Subject status becomes Needs Revision. The Subject Teacher gets a notification with the reason.</t>
  </si>
  <si>
    <t>TC-034</t>
  </si>
  <si>
    <t>EPIC-06</t>
  </si>
  <si>
    <t>Returning without a reason is refused</t>
  </si>
  <si>
    <t>A learner record is open.</t>
  </si>
  <si>
    <t>1. Try to return a subject with an empty reason.</t>
  </si>
  <si>
    <t>Empty reason</t>
  </si>
  <si>
    <t>The return is refused and the user is asked for a reason.</t>
  </si>
  <si>
    <t>TC-035</t>
  </si>
  <si>
    <t>Submission</t>
  </si>
  <si>
    <t>Submit a complete record for approval</t>
  </si>
  <si>
    <t>Learner has a grade for every expected subject and none is Needs Revision.</t>
  </si>
  <si>
    <t>1. Open the learner's record.
2. Click Submit for approval and confirm.</t>
  </si>
  <si>
    <t>A complete learner</t>
  </si>
  <si>
    <t>Status becomes Pending Approval. The Admin is notified.</t>
  </si>
  <si>
    <t>TC-036</t>
  </si>
  <si>
    <t>Incomplete record cannot be submitted</t>
  </si>
  <si>
    <t>Learner is missing at least one subject.</t>
  </si>
  <si>
    <t>1. Try to submit the learner's record.</t>
  </si>
  <si>
    <t>LRN 100000000099 or 100000000100 (no TLE grade, 7/8)</t>
  </si>
  <si>
    <t>Submission is refused: every expected subject must have a recorded grade first.</t>
  </si>
  <si>
    <t>TC-037</t>
  </si>
  <si>
    <t>Submit all eligible records at once</t>
  </si>
  <si>
    <t>Several learners are complete.</t>
  </si>
  <si>
    <t>1. Click Submit all eligible and confirm.</t>
  </si>
  <si>
    <t>Only the complete learners move to Pending Approval. Incomplete learners are skipped and counted.</t>
  </si>
  <si>
    <t>TC-038</t>
  </si>
  <si>
    <t>Section Progress</t>
  </si>
  <si>
    <t>EPIC-03</t>
  </si>
  <si>
    <t>Section progress shows per-subject status</t>
  </si>
  <si>
    <t>Uploads exist.</t>
  </si>
  <si>
    <t>1. Open Section Progress.</t>
  </si>
  <si>
    <t>Each subject shows its upload/validation status and how complete the section is.</t>
  </si>
  <si>
    <t>TC-039</t>
  </si>
  <si>
    <t>Submission Review</t>
  </si>
  <si>
    <t>EPIC-06, US-007</t>
  </si>
  <si>
    <t>Approve a submitted record</t>
  </si>
  <si>
    <t>A record is Pending Approval.</t>
  </si>
  <si>
    <t>1. Open Submission Review.
2. Open the learner and click Approve.</t>
  </si>
  <si>
    <t>A Pending learner, e.g. LRN 100000000005</t>
  </si>
  <si>
    <t>Status becomes Approved. The Adviser and subject teachers are notified. The record now appears in the repository.</t>
  </si>
  <si>
    <t>TC-040</t>
  </si>
  <si>
    <t>Reject a submitted record with a reason</t>
  </si>
  <si>
    <t>1. Open the learner and click Reject.
2. Enter a reason and confirm.</t>
  </si>
  <si>
    <t>A Pending learner, e.g. LRN 100000000006, and reason text</t>
  </si>
  <si>
    <t>Status becomes Rejected. The Adviser and subject teachers are notified with the reason.</t>
  </si>
  <si>
    <t>TC-041</t>
  </si>
  <si>
    <t>D-04</t>
  </si>
  <si>
    <t>Approved learner is locked against re-upload</t>
  </si>
  <si>
    <t>A learner's record is Approved.</t>
  </si>
  <si>
    <t>1. As the Subject Teacher, re-upload that subject for the section.</t>
  </si>
  <si>
    <t>Same section file</t>
  </si>
  <si>
    <t>The upload is accepted for the rest of the class. The result page lists the approved learner as not updated, and that learner's grades and Approved status do not change.</t>
  </si>
  <si>
    <t>TC-042</t>
  </si>
  <si>
    <t>D-04, EPIC-06</t>
  </si>
  <si>
    <t>Request an amendment on an approved record</t>
  </si>
  <si>
    <t>1. As the section's Adviser, request a revision on the approved record with a reason.
2. Re-upload the subject as the Subject Teacher.</t>
  </si>
  <si>
    <t>Status becomes Amendment Requested and the re-upload is then accepted.</t>
  </si>
  <si>
    <t>TC-043</t>
  </si>
  <si>
    <t>Principal can view school-wide data</t>
  </si>
  <si>
    <t>Logged in as Principal.</t>
  </si>
  <si>
    <t>1. Open Dashboard, Submission Review, Section Progress, Analytics and Records &amp; SF10.
2. In Records &amp; SF10, open a learner's Permanent Record (SF10).</t>
  </si>
  <si>
    <t>All sections are visible on every page.</t>
  </si>
  <si>
    <t>TC-044</t>
  </si>
  <si>
    <t>D-03</t>
  </si>
  <si>
    <t>Principal cannot change records</t>
  </si>
  <si>
    <t>1. Look for Approve, Reject, Upload, Edit or Download SF10 buttons on Submission Review, Section Progress, Records &amp; SF10 and Analytics.</t>
  </si>
  <si>
    <t>No action buttons are shown on these pages; the records are read-only. The Principal's only action is deciding on accounts in Account Approvals (TC-073, TC-074).</t>
  </si>
  <si>
    <t>TC-045</t>
  </si>
  <si>
    <t>Repository</t>
  </si>
  <si>
    <t>EPIC-05, US-013</t>
  </si>
  <si>
    <t>Search the repository</t>
  </si>
  <si>
    <t>Approved records exist.</t>
  </si>
  <si>
    <t>1. Open Records &amp; SF10.
2. Search by LRN, then by name, then by grade level and school year.</t>
  </si>
  <si>
    <t>LRN 100000000001</t>
  </si>
  <si>
    <t>Matching learners are listed for every type of search. An empty search asks for a search term.</t>
  </si>
  <si>
    <t>TC-046</t>
  </si>
  <si>
    <t>SF10</t>
  </si>
  <si>
    <t>EPIC-05, US-005</t>
  </si>
  <si>
    <t>Download an SF10</t>
  </si>
  <si>
    <t>Learner 100000000001 has historical Grade 4 and Grade 5 records.</t>
  </si>
  <si>
    <t>1. Open Records &amp; SF10, search for the learner and click Permanent Record (SF10).
2. Check the readiness report.
3. Click Download and open the file in Excel.</t>
  </si>
  <si>
    <t>Readiness is PARTIAL. The file opens in Excel with Grade 4 on the Front and Grade 5 on the Back, and prints on the official form layout.</t>
  </si>
  <si>
    <t>TC-047</t>
  </si>
  <si>
    <t>US-005</t>
  </si>
  <si>
    <t>SF10 with no printable year shows a clear message</t>
  </si>
  <si>
    <t>Learner's only year is a 2025-2026 EduCheck record that is not yet approved.</t>
  </si>
  <si>
    <t>1. Try to download the SF10 of a Rizal learner who is not approved.</t>
  </si>
  <si>
    <t>e.g. LRN 100000000020 (never submitted or approved in the session)</t>
  </si>
  <si>
    <t>Download is refused with a message that there is nothing to put on the SF10 yet, and the readiness report explains why.</t>
  </si>
  <si>
    <t>TC-048</t>
  </si>
  <si>
    <t>US-014</t>
  </si>
  <si>
    <t>Enter historical (pre-EduCheck) grades</t>
  </si>
  <si>
    <t>Adviser of the learner's section.</t>
  </si>
  <si>
    <t>1. Open Records &amp; SF10, search for the learner and click Permanent Record (SF10).
2. Add a past school year with 4 quarter grades per subject and save.</t>
  </si>
  <si>
    <t>e.g. Grade 3, 2022-2023</t>
  </si>
  <si>
    <t>The year is saved and appears in the readiness report and in the downloaded SF10. The action is in the audit log.</t>
  </si>
  <si>
    <t>TC-049</t>
  </si>
  <si>
    <t>Invalid historical grades are refused</t>
  </si>
  <si>
    <t>SF10 page open.</t>
  </si>
  <si>
    <t>1. Enter a grade below 60 or above 100, or a school year like 2022-2024.</t>
  </si>
  <si>
    <t>e.g. 105</t>
  </si>
  <si>
    <t>Saving is refused with a message naming the problem.</t>
  </si>
  <si>
    <t>TC-050</t>
  </si>
  <si>
    <t>Analytics</t>
  </si>
  <si>
    <t>EPIC-08, US-012</t>
  </si>
  <si>
    <t>View academic analytics</t>
  </si>
  <si>
    <t>Grades exist for the school year.</t>
  </si>
  <si>
    <t>1. Open Academic Analytics and change the school year.</t>
  </si>
  <si>
    <t>Charts show grade distribution and subject performance, and they update when the school year changes.</t>
  </si>
  <si>
    <t>TC-051</t>
  </si>
  <si>
    <t>Notifications</t>
  </si>
  <si>
    <t>Notifications appear and can be marked read</t>
  </si>
  <si>
    <t>An action caused a notification (e.g. a returned subject).</t>
  </si>
  <si>
    <t>1. Open Notifications.
2. Mark one as read, then Mark all read.</t>
  </si>
  <si>
    <t>New notifications are shown and the unread count drops to 0.</t>
  </si>
  <si>
    <t>TC-052</t>
  </si>
  <si>
    <t>Mobile</t>
  </si>
  <si>
    <t>Compatibility</t>
  </si>
  <si>
    <t>Mobile app</t>
  </si>
  <si>
    <t>Install and log in on an Android phone</t>
  </si>
  <si>
    <t>APK installed. Phone on the same network as the server.</t>
  </si>
  <si>
    <t>1. Open the app.
2. Set the server address to the PC's network address.
3. Log in.</t>
  </si>
  <si>
    <t>The app connects and shows the role's home screen.</t>
  </si>
  <si>
    <t>TC-053</t>
  </si>
  <si>
    <t>View my uploads and validation results</t>
  </si>
  <si>
    <t>Teacher has uploads.</t>
  </si>
  <si>
    <t>1. Open My Uploads.
2. Open an upload.</t>
  </si>
  <si>
    <t>Uploads match the web list. Validation issues are shown for the selected upload.</t>
  </si>
  <si>
    <t>TC-054</t>
  </si>
  <si>
    <t>Submit a record for approval on mobile</t>
  </si>
  <si>
    <t>A complete learner exists.</t>
  </si>
  <si>
    <t>1. Open Records and a complete learner.
2. Tap Submit for approval and confirm.</t>
  </si>
  <si>
    <t>Status becomes Pending Approval and matches the web app.</t>
  </si>
  <si>
    <t>TC-055</t>
  </si>
  <si>
    <t>Return a subject to its teacher on mobile</t>
  </si>
  <si>
    <t>1. Tap Return on a subject, enter a reason, confirm.</t>
  </si>
  <si>
    <t>Subject becomes Needs Revision and the teacher is notified.</t>
  </si>
  <si>
    <t>TC-056</t>
  </si>
  <si>
    <t>Approve and return records on mobile</t>
  </si>
  <si>
    <t>Records are Pending Approval.</t>
  </si>
  <si>
    <t>1. Open Approvals.
2. Approve one record.
3. Return another with a reason.</t>
  </si>
  <si>
    <t>Statuses change to Approved and Rejected, and the web app shows the same.</t>
  </si>
  <si>
    <t>TC-057</t>
  </si>
  <si>
    <t>Principal is read-only on mobile</t>
  </si>
  <si>
    <t>1. Open Submissions and a learner record.</t>
  </si>
  <si>
    <t>No Approve, Return or Submit buttons are shown.</t>
  </si>
  <si>
    <t>TC-058</t>
  </si>
  <si>
    <t>Reliability</t>
  </si>
  <si>
    <t>Offline: cached data is shown</t>
  </si>
  <si>
    <t>Records were viewed while online.</t>
  </si>
  <si>
    <t>1. Turn on airplane mode.
2. Reopen a screen viewed before (e.g. Repository).</t>
  </si>
  <si>
    <t>Cached data is shown with an offline banner and the time it was saved. The app does not crash.</t>
  </si>
  <si>
    <t>TC-059</t>
  </si>
  <si>
    <t>L-01</t>
  </si>
  <si>
    <t>New notification arrives while the app is open</t>
  </si>
  <si>
    <t>App open on the phone.</t>
  </si>
  <si>
    <t>1. On the web, do an action that notifies this user.
2. Wait up to 30 seconds.</t>
  </si>
  <si>
    <t>A notification appears in the app within about 30 seconds.</t>
  </si>
  <si>
    <t>TC-060</t>
  </si>
  <si>
    <t>Log out clears the session</t>
  </si>
  <si>
    <t>1. Open Account and tap Log out.
2. Log in as a different role.</t>
  </si>
  <si>
    <t>Two test accounts</t>
  </si>
  <si>
    <t>The second user sees only their own data. Nothing cached from the first user is shown.</t>
  </si>
  <si>
    <t>TC-061</t>
  </si>
  <si>
    <t>Performance</t>
  </si>
  <si>
    <t>Performance efficiency</t>
  </si>
  <si>
    <t>Upload and validation time</t>
  </si>
  <si>
    <t>Network and server as in the real setting.</t>
  </si>
  <si>
    <t>1. Upload a full e-class record (about 2 MB).
2. Time from clicking Upload to seeing the result.</t>
  </si>
  <si>
    <t>Upload completes without a timeout. Record the seconds taken in Actual Result.</t>
  </si>
  <si>
    <t>TC-062</t>
  </si>
  <si>
    <t>Page load time</t>
  </si>
  <si>
    <t>1. Open Dashboard, Consolidated Records, Analytics and Records &amp; SF10.
2. Time each page until its data appears.</t>
  </si>
  <si>
    <t>Each page shows its data without timeouts. Record the seconds for each page.</t>
  </si>
  <si>
    <t>TC-063</t>
  </si>
  <si>
    <t>Works on Chrome, Edge and Firefox</t>
  </si>
  <si>
    <t>Latest versions of each browser.</t>
  </si>
  <si>
    <t>1. Repeat login, upload, consolidated records and SF10 download in each browser.</t>
  </si>
  <si>
    <t>Same behaviour and layout in every browser. Note browser versions in Remarks.</t>
  </si>
  <si>
    <t>TC-064</t>
  </si>
  <si>
    <t>Layout at laptop and tablet widths</t>
  </si>
  <si>
    <t>Any browser.</t>
  </si>
  <si>
    <t>1. View the main pages at a laptop width and at a tablet width.</t>
  </si>
  <si>
    <t>Content stays readable, nothing overlaps, and all buttons can be reached.</t>
  </si>
  <si>
    <t>TC-065</t>
  </si>
  <si>
    <t>First-time task completion</t>
  </si>
  <si>
    <t>Tester has not used EduCheck before.</t>
  </si>
  <si>
    <t>1. Without help, ask the tester to upload a record (teacher) or submit a learner (adviser).</t>
  </si>
  <si>
    <t>The tester completes the task without help. Note where they hesitated in Remarks.</t>
  </si>
  <si>
    <t>TC-066</t>
  </si>
  <si>
    <t>Light and dark theme are readable</t>
  </si>
  <si>
    <t>Any page.</t>
  </si>
  <si>
    <t>1. Switch the theme in Settings.
2. Look through the main pages.</t>
  </si>
  <si>
    <t>Text, status badges and charts are readable in both themes.</t>
  </si>
  <si>
    <t>TC-067</t>
  </si>
  <si>
    <t>Session expires</t>
  </si>
  <si>
    <t>1. Leave the session idle for more than 8 hours (or clear the token), then click a menu item.</t>
  </si>
  <si>
    <t>The user is asked to log in again.</t>
  </si>
  <si>
    <t>TC-068</t>
  </si>
  <si>
    <t>EPIC-02, D-08</t>
  </si>
  <si>
    <t>A file for another subject is refused</t>
  </si>
  <si>
    <t>Teacher is assigned to Mathematics for Rizal. No Rizal learner is Approved.</t>
  </si>
  <si>
    <t>1. Open Upload e-Class Record.
2. Select Mathematics and Rizal.
3. Upload the English file.</t>
  </si>
  <si>
    <t>UAT-files/per-subject/ecr-rizal-English.xlsx</t>
  </si>
  <si>
    <t>The upload is refused: the file is the e-Class Record for English but Mathematics was selected. Nothing is saved.</t>
  </si>
  <si>
    <t>TC-069</t>
  </si>
  <si>
    <t>D-05, US-005</t>
  </si>
  <si>
    <t>A 3-term year prints as Terms 1-3</t>
  </si>
  <si>
    <t>A Rizal learner's 2025-2026 record has been approved (e.g. after TC-039).</t>
  </si>
  <si>
    <t>1. Open Records &amp; SF10 and open that learner's Permanent Record (SF10).
2. Check the Grade 6 card.
3. Click Generate SF10 and open the file in Excel (Back sheet, Grade 6).</t>
  </si>
  <si>
    <t>LRN of the approved learner</t>
  </si>
  <si>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</si>
  <si>
    <t>TC-070</t>
  </si>
  <si>
    <t>Import earlier years from an existing SF10 file</t>
  </si>
  <si>
    <t>Logged in as the Rizal Adviser. Learner 100000000001 has Grade 4 and Grade 5 records.</t>
  </si>
  <si>
    <t>1. Open the Permanent Record of 100000000001 and click Generate SF10 to save a copy.
2. Delete the Grade 5 year.
3. Click Import from SF10 and choose the saved file.
4. Check the preview, keep only Grade 5 ticked and click Import.</t>
  </si>
  <si>
    <t>LRN 100000000001; the SF10 file from step 1</t>
  </si>
  <si>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</si>
  <si>
    <t>TC-071</t>
  </si>
  <si>
    <t>Import refuses another learner's SF10</t>
  </si>
  <si>
    <t>Logged in as the Rizal Adviser. The SF10 file of 100000000001 from TC-070.</t>
  </si>
  <si>
    <t>1. Open the Permanent Record of another Rizal learner.
2. Click Import from SF10 and choose 100000000001's file.</t>
  </si>
  <si>
    <t>e.g. LRN 100000000004</t>
  </si>
  <si>
    <t>The import is refused with a message that the SF10 belongs to LRN 100000000001. Nothing is saved.</t>
  </si>
  <si>
    <t>TC-072</t>
  </si>
  <si>
    <t>US-015</t>
  </si>
  <si>
    <t>Only DepEd email addresses are accepted</t>
  </si>
  <si>
    <t>1. Open Accounts and click Add Account.
2. Enter an email that does not end in @deped.gov.ph, a role and a name.
3. Click Create Account.</t>
  </si>
  <si>
    <t>e.g. juan.delacruz@gmail.com</t>
  </si>
  <si>
    <t>The account is not created. The form asks for the person's DepEd email address (ending in @deped.gov.ph).</t>
  </si>
  <si>
    <t>TC-073</t>
  </si>
  <si>
    <t>Account Approvals</t>
  </si>
  <si>
    <t>US-015, US-008</t>
  </si>
  <si>
    <t>Principal approves a new account</t>
  </si>
  <si>
    <t>The test account from TC-012 is Pending Approval. Logged in as Principal.</t>
  </si>
  <si>
    <t>1. Open the Dashboard: an alert says an account is waiting for approval.
2. Click Review (or open Account Approvals).
3. Check the name, role and email, then click Approve.</t>
  </si>
  <si>
    <t>Test account from TC-012</t>
  </si>
  <si>
    <t>The account leaves the list. In Accounts it shows Awaiting Setup with a Finish setup button, and the Admin gets a notification. The decision is in the Audit Log.</t>
  </si>
  <si>
    <t>TC-074</t>
  </si>
  <si>
    <t>Principal rejects an account with a reason</t>
  </si>
  <si>
    <t>The Admin has created a second test account; it is Pending Approval.</t>
  </si>
  <si>
    <t>1. Open Account Approvals and click Reject.
2. Click Confirm Reject with the reason empty.
3. Type a reason and click Confirm Reject.</t>
  </si>
  <si>
    <t>Second test account</t>
  </si>
  <si>
    <t>Step 2 is refused: a reason is required. After step 3 the account shows Rejected with the reason in Accounts, and the Admin is notified with the reason. The account cannot log in.</t>
  </si>
  <si>
    <t>TC-075</t>
  </si>
  <si>
    <t>Admin finishes the setup of an approved account</t>
  </si>
  <si>
    <t>The account from TC-073 is Awaiting Setup. The laptop has internet for the email.</t>
  </si>
  <si>
    <t>1. In Accounts, click Finish setup.
2. Enter the employee number. Keep the generated temporary password or type one.
3. Click Activate &amp; Send Email.
4. Open the DepEd mailbox (check spam).</t>
  </si>
  <si>
    <t>Test account; a DepEd email the team can open</t>
  </si>
  <si>
    <t>The account becomes Active with the employee number. The email has the username and temporary password. Without internet the account is still activated and the password is shown on screen to hand over (L-06).</t>
  </si>
  <si>
    <t>TC-076</t>
  </si>
  <si>
    <t>Temporary password must be replaced at first sign-in</t>
  </si>
  <si>
    <t>TC-075 done.</t>
  </si>
  <si>
    <t>1. Log in as the new account with the temporary password.
2. Type /dashboard in the address bar.
3. Enter the temporary password, a new password and a different confirmation; save.
4. Enter a matching new password and save.
5. Log out; log in with the temporary password, then with the new one.</t>
  </si>
  <si>
    <t>Step 1 opens "Set your own password" and step 2 returns to it. Step 3 is refused (passwords do not match). Step 4 opens the Dashboard. In step 5 the temporary password is refused and the new one works.</t>
  </si>
  <si>
    <t>Test Summary</t>
  </si>
  <si>
    <t>Counts update from the Status column of the Test Cases sheet.</t>
  </si>
  <si>
    <t>Overall</t>
  </si>
  <si>
    <t>Total test cases</t>
  </si>
  <si>
    <t>Fail</t>
  </si>
  <si>
    <t>Blocked</t>
  </si>
  <si>
    <t>Not Run (or blank)</t>
  </si>
  <si>
    <t>Executed (Pass + Fail)</t>
  </si>
  <si>
    <t>Pass rate of executed</t>
  </si>
  <si>
    <t>Progress (executed or blocked)</t>
  </si>
  <si>
    <t>Results by module</t>
  </si>
  <si>
    <t>Total</t>
  </si>
  <si>
    <t>Not Run</t>
  </si>
  <si>
    <t>Pass rate</t>
  </si>
  <si>
    <t>Results by ISO 25010 characteristic</t>
  </si>
  <si>
    <t>Iso 25010 characteristic</t>
  </si>
  <si>
    <t>Severity</t>
  </si>
  <si>
    <t>Summary</t>
  </si>
  <si>
    <t>Steps to Reproduce</t>
  </si>
  <si>
    <t>Expected</t>
  </si>
  <si>
    <t>Actual</t>
  </si>
  <si>
    <t>Found By</t>
  </si>
  <si>
    <t>Date Found</t>
  </si>
  <si>
    <t>Fixed In (commit)</t>
  </si>
  <si>
    <t>Retest Result</t>
  </si>
  <si>
    <t>DEF-001</t>
  </si>
  <si>
    <t>Medium</t>
  </si>
  <si>
    <t>Deleting a section or account appears to do nothing; only "Failed to delete" is shown.</t>
  </si>
  <si>
    <t>1. Sign in as Administrator.
2. Open Section &amp; Teacher Assignments (or Accounts).
3. Click Delete on a section that has class records or learners (or an account that has records).</t>
  </si>
  <si>
    <t>Either the item is deleted, or the reason it cannot be deleted is shown before trying.</t>
  </si>
  <si>
    <t>A generic "Failed to delete" message appears. The database keeps the section or account because other records still point to it, but the screen does not say so.</t>
  </si>
  <si>
    <t>Project team</t>
  </si>
  <si>
    <t>Fixed</t>
  </si>
  <si>
    <t>797b022</t>
  </si>
  <si>
    <t>Delete is now greyed out when records exist and explains why; accounts point to setting the status to Inactive. The API returns the reason (409). Awaiting retest.</t>
  </si>
  <si>
    <t>DEF-002</t>
  </si>
  <si>
    <t>Low</t>
  </si>
  <si>
    <t>Upload page does not show which subjects are already uploaded, so teachers lose track of the next subject.</t>
  </si>
  <si>
    <t>1. Sign in as a Subject Teacher or Adviser with several subjects.
2. Upload one subject's e-Class Record.
3. Return to the upload page.</t>
  </si>
  <si>
    <t>Each subject shows whether it is uploaded and validated, and the next subject to upload is easy to find.</t>
  </si>
  <si>
    <t>Every subject tile only shows "Last uploaded &lt;date&gt;", with no status and no indication of which subject comes next.</t>
  </si>
  <si>
    <t>09cc7fa</t>
  </si>
  <si>
    <t>Each tile now shows Validated / Needs fixes / Not uploaded yet, with an "X of N uploaded" count; the next subject not yet uploaded is preselected. Tiles stay selectable for re-uploads. Awaiting retest.</t>
  </si>
  <si>
    <t>DEF-003</t>
  </si>
  <si>
    <t>Pages load slowly on the hosted (Render) link.</t>
  </si>
  <si>
    <t>1. Leave the hosted site unused for more than 15 minutes.
2. Open the Render link and sign in.</t>
  </si>
  <si>
    <t>Sign-in and pages load in a few seconds.</t>
  </si>
  <si>
    <t>The first request after a quiet period takes up to about a minute; the page looks stuck.</t>
  </si>
  <si>
    <t>In Progress</t>
  </si>
  <si>
    <t>Cause: the Render free plan puts the server to sleep when idle (local API responses measured at 3-20 ms). Sign-in now explains that the server is starting up. Remaining fix is hosting: keep-alive ping (e.g. UptimeRobot every 5 min) or a paid instance.</t>
  </si>
  <si>
    <t>DEF-004</t>
  </si>
  <si>
    <t>No help or support information inside the system.</t>
  </si>
  <si>
    <t>1. Sign in as any role.
2. Look for help, FAQ or who to contact.</t>
  </si>
  <si>
    <t>Users can find answers to common questions and know who to contact.</t>
  </si>
  <si>
    <t>There is no help page; users have to ask the team.</t>
  </si>
  <si>
    <t>Added Help &amp; Support (sidebar) with role-specific FAQ and search, pointing to the School Administrator; the User's Manual download appears once the PDF is published. Enhancement raised during testing. Awaiting retest.</t>
  </si>
  <si>
    <t>DEF-005</t>
  </si>
  <si>
    <t>Submission Review does not show each learner's section, and has no section filter.</t>
  </si>
  <si>
    <t>1. Sign in as Administrator or Principal.
2. Open Submission Review with more than one section in the school year.</t>
  </si>
  <si>
    <t>Each learner's section is visible, and the list can be narrowed to one section.</t>
  </si>
  <si>
    <t>Learners of every section are mixed in one list showing only the grade level; a section filter is only reachable from Section Progress.</t>
  </si>
  <si>
    <t>6af7357</t>
  </si>
  <si>
    <t>Rows now show Grade and Section, and a Section picker sits beside the School Year. Awaiting retest.</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</si>
  <si>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</si>
  <si>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</si>
  <si>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</si>
  <si>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</si>
  <si>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</si>
  <si>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</si>
  <si>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</si>
  <si>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</si>
  <si>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</si>
  <si>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</si>
  <si>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</si>
  <si>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</si>
  <si>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</si>
  <si>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</si>
  <si>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</si>
  <si>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</si>
  <si>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</si>
  <si>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</si>
  <si>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</si>
  <si>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</si>
  <si>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DEF-026</t>
  </si>
  <si>
    <t>DEF-027</t>
  </si>
  <si>
    <t>DEF-028</t>
  </si>
  <si>
    <t>DEF-029</t>
  </si>
  <si>
    <t>DEF-030</t>
  </si>
  <si>
    <t>DEF-031</t>
  </si>
  <si>
    <t>DEF-032</t>
  </si>
  <si>
    <t>DEF-033</t>
  </si>
  <si>
    <t>DEF-034</t>
  </si>
  <si>
    <t>DEF-035</t>
  </si>
  <si>
    <t>DEF-036</t>
  </si>
  <si>
    <t>DEF-037</t>
  </si>
  <si>
    <t>DEF-038</t>
  </si>
  <si>
    <t>DEF-039</t>
  </si>
  <si>
    <t>DEF-040</t>
  </si>
  <si>
    <t>DEF-041</t>
  </si>
  <si>
    <t>DEF-042</t>
  </si>
  <si>
    <t>DEF-043</t>
  </si>
  <si>
    <t>DEF-044</t>
  </si>
  <si>
    <t>DEF-045</t>
  </si>
  <si>
    <t>DEF-046</t>
  </si>
  <si>
    <t>DEF-047</t>
  </si>
  <si>
    <t>DEF-048</t>
  </si>
  <si>
    <t>DEF-049</t>
  </si>
  <si>
    <t>DEF-050</t>
  </si>
  <si>
    <t>DEF-051</t>
  </si>
  <si>
    <t>DEF-052</t>
  </si>
  <si>
    <t>DEF-053</t>
  </si>
  <si>
    <t>DEF-054</t>
  </si>
  <si>
    <t>DEF-055</t>
  </si>
  <si>
    <t>DEF-056</t>
  </si>
  <si>
    <t>DEF-057</t>
  </si>
  <si>
    <t>DEF-058</t>
  </si>
  <si>
    <t>DEF-059</t>
  </si>
  <si>
    <t>DEF-060</t>
  </si>
  <si>
    <t>Severity guide</t>
  </si>
  <si>
    <t>Critical</t>
  </si>
  <si>
    <t>Wrong grades saved or shown, data lost, or a user sees/changes data they should not.</t>
  </si>
  <si>
    <t>High</t>
  </si>
  <si>
    <t>A main task (upload, submit, approve, SF10) cannot be completed.</t>
  </si>
  <si>
    <t>A task works but with a wrong message, wrong count or a workaround.</t>
  </si>
  <si>
    <t>Cosmetic: layout, wording, alignment.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</si>
</sst>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9" x14ac:knownFonts="1">
    <font>
      <sz val="11"/>
      <color theme="1"/>
      <name val="Calibri"/>
      <family val="2"/>
      <scheme val="minor"/>
    </font>
    <font>
      <b/>
      <sz val="16"/>
      <color rgb="FF1F3A5F"/>
      <name val="Arial"/>
    </font>
    <font>
      <i/>
      <sz val="10"/>
      <color rgb="FF595959"/>
      <name val="Arial"/>
    </font>
    <font>
      <b/>
      <sz val="11"/>
      <color rgb="FF1F3A5F"/>
      <name val="Arial"/>
    </font>
    <font>
      <b/>
      <sz val="10"/>
      <name val="Arial"/>
    </font>
    <font>
      <sz val="10"/>
      <name val="Arial"/>
    </font>
    <font>
      <b/>
      <sz val="10"/>
      <color rgb="FFFFFFFF"/>
      <name val="Arial"/>
    </font>
    <font>
      <i/>
      <sz val="10"/>
      <name val="Arial"/>
    </font>
    <font>
      <b/>
      <sz val="10"/>
      <color rgb="FF1F3A5F"/>
      <name val="Arial"/>
    </font>
  </fonts>
  <fills count="5">
    <fill>
      <patternFill patternType="none"/>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0" fillId="3" borderId="1" xfId="0" applyFill="1" applyBorder="1"/>
    <xf numFmtId="0" fontId="4" fillId="0" borderId="0" xfId="0" applyFont="1" applyAlignment="1">
      <alignment horizontal="right" vertical="top"/>
    </xf>
    <xf numFmtId="0" fontId="6" fillId="4" borderId="1" xfId="0" applyFont="1" applyFill="1" applyBorder="1"/>
    <xf numFmtId="0" fontId="4" fillId="0" borderId="1" xfId="0" applyFont="1" applyBorder="1"/>
    <xf numFmtId="0" fontId="7" fillId="0" borderId="1" xfId="0" applyFont="1" applyBorder="1"/>
    <xf numFmtId="0" fontId="6" fillId="4" borderId="1" xfId="0" applyFont="1" applyFill="1" applyBorder="1" applyAlignment="1">
      <alignment horizontal="center" vertical="top" wrapText="1"/>
    </xf>
    <xf numFmtId="0" fontId="5" fillId="0" borderId="1" xfId="0" applyFont="1" applyBorder="1"/>
    <xf numFmtId="0" fontId="5" fillId="0" borderId="1" xfId="0" applyFont="1" applyBorder="1" applyAlignment="1">
      <alignment vertical="top"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3" borderId="1" xfId="0" applyFont="1" applyFill="1" applyBorder="1" applyAlignment="1">
      <alignment vertical="top" wrapText="1"/>
    </xf>
    <xf numFmtId="0" fontId="5" fillId="3" borderId="1" xfId="0" applyFont="1" applyFill="1" applyBorder="1" applyAlignment="1">
      <alignment horizontal="center" vertical="top" wrapText="1"/>
    </xf>
    <xf numFmtId="164" fontId="5" fillId="3" borderId="1" xfId="0" applyNumberFormat="1" applyFont="1" applyFill="1" applyBorder="1" applyAlignment="1">
      <alignment horizontal="center" vertical="top" wrapText="1"/>
    </xf>
    <xf numFmtId="0" fontId="3" fillId="0" borderId="0" xfId="0" applyFont="1"/>
    <xf numFmtId="0" fontId="5" fillId="0" borderId="1" xfId="0" applyFont="1" applyBorder="1" applyAlignment="1">
      <alignment horizontal="right"/>
    </xf>
    <xf numFmtId="165" fontId="5" fillId="0" borderId="1" xfId="0" applyNumberFormat="1" applyFont="1" applyBorder="1" applyAlignment="1">
      <alignment horizontal="right"/>
    </xf>
    <xf numFmtId="164" fontId="5" fillId="3" borderId="1" xfId="0" applyNumberFormat="1" applyFont="1" applyFill="1" applyBorder="1" applyAlignment="1">
      <alignment vertical="top" wrapText="1"/>
    </xf>
    <xf numFmtId="0" fontId="8" fillId="0" borderId="0" xfId="0" applyFont="1"/>
    <xf numFmtId="0" fontId="5" fillId="0" borderId="0" xfId="0" applyFont="1" applyAlignment="1">
      <alignment vertical="top" wrapText="1"/>
    </xf>
    <xf numFmtId="0" fontId="0" fillId="0" borderId="0" xfId="0"/>
    <xf numFmtId="0" fontId="5" fillId="0" borderId="0" xfId="0" applyFont="1"/>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1"/>
  <sheetViews>
    <sheetView showGridLines="0" tabSelected="1" workbookViewId="0"/>
  </sheetViews>
  <sheetFormatPr defaultRowHeight="14.4" x14ac:dyDescent="0.3"/>
  <cols>
    <col min="1" max="1" width="26" customWidth="1"/>
    <col min="2" max="2" width="40" customWidth="1"/>
    <col min="3" max="3" width="30" customWidth="1"/>
    <col min="4" max="4" width="44" customWidth="1"/>
  </cols>
  <sheetData>
    <row r="1" spans="1:4" ht="21" customHeight="1" x14ac:dyDescent="0.4">
      <c r="A1" s="1" t="s">
        <v>0</v>
      </c>
    </row>
    <row r="2" spans="1:4" x14ac:dyDescent="0.3">
      <c r="A2" s="2" t="s">
        <v>1</v>
      </c>
    </row>
    <row r="4" spans="1:4" x14ac:dyDescent="0.3">
      <c r="A4" s="3" t="s">
        <v>2</v>
      </c>
      <c r="B4" s="4"/>
      <c r="C4" s="4"/>
      <c r="D4" s="4"/>
    </row>
    <row r="5" spans="1:4" x14ac:dyDescent="0.3">
      <c r="A5" s="5" t="s">
        <v>3</v>
      </c>
      <c r="B5" s="6"/>
    </row>
    <row r="6" spans="1:4" x14ac:dyDescent="0.3">
      <c r="A6" s="5" t="s">
        <v>4</v>
      </c>
      <c r="B6" s="6"/>
    </row>
    <row r="7" spans="1:4" x14ac:dyDescent="0.3">
      <c r="A7" s="5" t="s">
        <v>5</v>
      </c>
      <c r="B7" s="6"/>
    </row>
    <row r="8" spans="1:4" x14ac:dyDescent="0.3">
      <c r="A8" s="5" t="s">
        <v>6</v>
      </c>
      <c r="B8" s="6"/>
    </row>
    <row r="9" spans="1:4" x14ac:dyDescent="0.3">
      <c r="A9" s="5" t="s">
        <v>7</v>
      </c>
      <c r="B9" s="6"/>
    </row>
    <row r="10" spans="1:4" x14ac:dyDescent="0.3">
      <c r="A10" s="5" t="s">
        <v>8</v>
      </c>
      <c r="B10" s="6"/>
    </row>
    <row r="12" spans="1:4" x14ac:dyDescent="0.3">
      <c r="A12" s="3" t="s">
        <v>9</v>
      </c>
      <c r="B12" s="4"/>
      <c r="C12" s="4"/>
      <c r="D12" s="4"/>
    </row>
    <row r="13" spans="1:4" ht="28.05" customHeight="1" x14ac:dyDescent="0.3">
      <c r="A13" s="7" t="s">
        <v>10</v>
      </c>
      <c r="B13" s="24" t="s">
        <v>11</v>
      </c>
      <c r="C13" s="25"/>
      <c r="D13" s="25"/>
    </row>
    <row r="14" spans="1:4" ht="28.05" customHeight="1" x14ac:dyDescent="0.3">
      <c r="A14" s="7" t="s">
        <v>12</v>
      </c>
      <c r="B14" s="24" t="s">
        <v>13</v>
      </c>
      <c r="C14" s="25"/>
      <c r="D14" s="25"/>
    </row>
    <row r="15" spans="1:4" ht="28.05" customHeight="1" x14ac:dyDescent="0.3">
      <c r="A15" s="7" t="s">
        <v>14</v>
      </c>
      <c r="B15" s="24" t="s">
        <v>15</v>
      </c>
      <c r="C15" s="25"/>
      <c r="D15" s="25"/>
    </row>
    <row r="16" spans="1:4" ht="28.05" customHeight="1" x14ac:dyDescent="0.3">
      <c r="A16" s="7" t="s">
        <v>16</v>
      </c>
      <c r="B16" s="24" t="s">
        <v>17</v>
      </c>
      <c r="C16" s="25"/>
      <c r="D16" s="25"/>
    </row>
    <row r="17" spans="1:4" ht="28.05" customHeight="1" x14ac:dyDescent="0.3">
      <c r="A17" s="7" t="s">
        <v>18</v>
      </c>
      <c r="B17" s="24" t="s">
        <v>19</v>
      </c>
      <c r="C17" s="25"/>
      <c r="D17" s="25"/>
    </row>
    <row r="18" spans="1:4" ht="28.05" customHeight="1" x14ac:dyDescent="0.3">
      <c r="A18" s="7" t="s">
        <v>20</v>
      </c>
      <c r="B18" s="24" t="s">
        <v>21</v>
      </c>
      <c r="C18" s="25"/>
      <c r="D18" s="25"/>
    </row>
    <row r="20" spans="1:4" x14ac:dyDescent="0.3">
      <c r="A20" s="3" t="s">
        <v>22</v>
      </c>
      <c r="B20" s="4"/>
      <c r="C20" s="4"/>
      <c r="D20" s="4"/>
    </row>
    <row r="21" spans="1:4" x14ac:dyDescent="0.3">
      <c r="A21" s="8" t="s">
        <v>23</v>
      </c>
      <c r="B21" s="8" t="s">
        <v>24</v>
      </c>
    </row>
    <row r="22" spans="1:4" x14ac:dyDescent="0.3">
      <c r="A22" s="9" t="s">
        <v>25</v>
      </c>
      <c r="B22" s="10" t="s">
        <v>26</v>
      </c>
    </row>
    <row r="23" spans="1:4" x14ac:dyDescent="0.3">
      <c r="A23" s="9" t="s">
        <v>27</v>
      </c>
      <c r="B23" s="10" t="s">
        <v>28</v>
      </c>
    </row>
    <row r="24" spans="1:4" x14ac:dyDescent="0.3">
      <c r="A24" s="9" t="s">
        <v>29</v>
      </c>
      <c r="B24" s="10" t="s">
        <v>30</v>
      </c>
    </row>
    <row r="25" spans="1:4" x14ac:dyDescent="0.3">
      <c r="A25" s="9" t="s">
        <v>31</v>
      </c>
      <c r="B25" s="10" t="s">
        <v>32</v>
      </c>
    </row>
    <row r="26" spans="1:4" x14ac:dyDescent="0.3">
      <c r="A26" s="9" t="s">
        <v>33</v>
      </c>
      <c r="B26" s="10" t="s">
        <v>34</v>
      </c>
    </row>
    <row r="27" spans="1:4" x14ac:dyDescent="0.3">
      <c r="A27" s="9" t="s">
        <v>35</v>
      </c>
      <c r="B27" s="10" t="s">
        <v>36</v>
      </c>
    </row>
    <row r="28" spans="1:4" x14ac:dyDescent="0.3">
      <c r="A28" s="9" t="s">
        <v>37</v>
      </c>
      <c r="B28" s="10" t="s">
        <v>38</v>
      </c>
    </row>
    <row r="30" spans="1:4" x14ac:dyDescent="0.3">
      <c r="A30" s="3" t="s">
        <v>39</v>
      </c>
      <c r="B30" s="4"/>
      <c r="C30" s="4"/>
      <c r="D30" s="4"/>
    </row>
    <row r="31" spans="1:4" ht="26.4" customHeight="1" x14ac:dyDescent="0.3">
      <c r="A31" s="11" t="s">
        <v>40</v>
      </c>
      <c r="B31" s="11" t="s">
        <v>41</v>
      </c>
      <c r="C31" s="11" t="s">
        <v>42</v>
      </c>
      <c r="D31" s="11" t="s">
        <v>43</v>
      </c>
    </row>
    <row r="32" spans="1:4" ht="39.6" customHeight="1" x14ac:dyDescent="0.3">
      <c r="A32" s="12" t="s">
        <v>44</v>
      </c>
      <c r="B32" s="12" t="s">
        <v>45</v>
      </c>
      <c r="C32" s="6"/>
      <c r="D32" s="13" t="s">
        <v>46</v>
      </c>
    </row>
    <row r="33" spans="1:4" ht="39.6" customHeight="1" x14ac:dyDescent="0.3">
      <c r="A33" s="12" t="s">
        <v>47</v>
      </c>
      <c r="B33" s="12" t="s">
        <v>48</v>
      </c>
      <c r="C33" s="6"/>
      <c r="D33" s="13" t="s">
        <v>49</v>
      </c>
    </row>
    <row r="34" spans="1:4" ht="39.6" customHeight="1" x14ac:dyDescent="0.3">
      <c r="A34" s="12" t="s">
        <v>50</v>
      </c>
      <c r="B34" s="12" t="s">
        <v>51</v>
      </c>
      <c r="C34" s="6"/>
      <c r="D34" s="13" t="s">
        <v>52</v>
      </c>
    </row>
    <row r="35" spans="1:4" ht="26.4" customHeight="1" x14ac:dyDescent="0.3">
      <c r="A35" s="12" t="s">
        <v>53</v>
      </c>
      <c r="B35" s="12" t="s">
        <v>54</v>
      </c>
      <c r="C35" s="6"/>
      <c r="D35" s="13" t="s">
        <v>55</v>
      </c>
    </row>
    <row r="37" spans="1:4" x14ac:dyDescent="0.3">
      <c r="A37" s="3" t="s">
        <v>56</v>
      </c>
      <c r="B37" s="4"/>
      <c r="C37" s="4"/>
      <c r="D37" s="4"/>
    </row>
    <row r="38" spans="1:4" ht="28.05" customHeight="1" x14ac:dyDescent="0.3">
      <c r="A38" s="5" t="s">
        <v>57</v>
      </c>
      <c r="B38" s="24" t="s">
        <v>58</v>
      </c>
      <c r="C38" s="25"/>
      <c r="D38" s="25"/>
    </row>
    <row r="39" spans="1:4" ht="28.05" customHeight="1" x14ac:dyDescent="0.3">
      <c r="A39" s="5" t="s">
        <v>59</v>
      </c>
      <c r="B39" s="24" t="s">
        <v>60</v>
      </c>
      <c r="C39" s="25"/>
      <c r="D39" s="25"/>
    </row>
    <row r="40" spans="1:4" ht="28.05" customHeight="1" x14ac:dyDescent="0.3">
      <c r="A40" s="5" t="s">
        <v>61</v>
      </c>
      <c r="B40" s="24" t="s">
        <v>62</v>
      </c>
      <c r="C40" s="25"/>
      <c r="D40" s="25"/>
    </row>
    <row r="41" spans="1:4" ht="28.05" customHeight="1" x14ac:dyDescent="0.3">
      <c r="A41" s="5" t="s">
        <v>63</v>
      </c>
      <c r="B41" s="24" t="s">
        <v>64</v>
      </c>
      <c r="C41" s="25"/>
      <c r="D41" s="25"/>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77"/>
  <sheetViews>
    <sheetView workbookViewId="0">
      <pane xSplit="2" ySplit="1" topLeftCell="C2" activePane="bottomRight" state="frozen"/>
      <selection pane="topRight"/>
      <selection pane="bottomLeft"/>
      <selection pane="bottomRight"/>
    </sheetView>
  </sheetViews>
  <sheetFormatPr defaultRowHeight="14.4" x14ac:dyDescent="0.3"/>
  <cols>
    <col min="1" max="1" width="9" customWidth="1"/>
    <col min="2" max="2" width="16" customWidth="1"/>
    <col min="3" max="3" width="14" customWidth="1"/>
    <col min="4" max="4" width="9" customWidth="1"/>
    <col min="5" max="5" width="16" customWidth="1"/>
    <col min="6" max="6" width="14" customWidth="1"/>
    <col min="7" max="7" width="30" customWidth="1"/>
    <col min="8" max="8" width="28" customWidth="1"/>
    <col min="9" max="9" width="44" customWidth="1"/>
    <col min="10" max="10" width="20" customWidth="1"/>
    <col min="11" max="11" width="44" customWidth="1"/>
    <col min="12" max="12" width="34" customWidth="1"/>
    <col min="13" max="13" width="11" customWidth="1"/>
    <col min="14" max="14" width="14" customWidth="1"/>
    <col min="15" max="15" width="12" customWidth="1"/>
    <col min="16" max="16" width="11" customWidth="1"/>
    <col min="17" max="17" width="24" customWidth="1"/>
  </cols>
  <sheetData>
    <row r="1" spans="1:17" ht="30" customHeight="1" x14ac:dyDescent="0.3">
      <c r="A1" s="11" t="s">
        <v>25</v>
      </c>
      <c r="B1" s="11" t="s">
        <v>65</v>
      </c>
      <c r="C1" s="11" t="s">
        <v>41</v>
      </c>
      <c r="D1" s="11" t="s">
        <v>66</v>
      </c>
      <c r="E1" s="11" t="s">
        <v>67</v>
      </c>
      <c r="F1" s="11" t="s">
        <v>68</v>
      </c>
      <c r="G1" s="11" t="s">
        <v>69</v>
      </c>
      <c r="H1" s="11" t="s">
        <v>70</v>
      </c>
      <c r="I1" s="11" t="s">
        <v>71</v>
      </c>
      <c r="J1" s="11" t="s">
        <v>72</v>
      </c>
      <c r="K1" s="11" t="s">
        <v>73</v>
      </c>
      <c r="L1" s="11" t="s">
        <v>27</v>
      </c>
      <c r="M1" s="11" t="s">
        <v>29</v>
      </c>
      <c r="N1" s="11" t="s">
        <v>31</v>
      </c>
      <c r="O1" s="11" t="s">
        <v>33</v>
      </c>
      <c r="P1" s="11" t="s">
        <v>35</v>
      </c>
      <c r="Q1" s="11" t="s">
        <v>37</v>
      </c>
    </row>
    <row r="2" spans="1:17" ht="39.6" customHeight="1" x14ac:dyDescent="0.3">
      <c r="A2" s="14" t="s">
        <v>74</v>
      </c>
      <c r="B2" s="13" t="s">
        <v>75</v>
      </c>
      <c r="C2" s="15" t="s">
        <v>76</v>
      </c>
      <c r="D2" s="15" t="s">
        <v>77</v>
      </c>
      <c r="E2" s="13" t="s">
        <v>78</v>
      </c>
      <c r="F2" s="13" t="s">
        <v>79</v>
      </c>
      <c r="G2" s="13" t="s">
        <v>80</v>
      </c>
      <c r="H2" s="13" t="s">
        <v>81</v>
      </c>
      <c r="I2" s="13" t="s">
        <v>82</v>
      </c>
      <c r="J2" s="13" t="s">
        <v>83</v>
      </c>
      <c r="K2" s="13" t="s">
        <v>84</v>
      </c>
      <c r="L2" s="16"/>
      <c r="M2" s="17"/>
      <c r="N2" s="16"/>
      <c r="O2" s="18"/>
      <c r="P2" s="17"/>
      <c r="Q2" s="16"/>
    </row>
    <row r="3" spans="1:17" ht="26.4" customHeight="1" x14ac:dyDescent="0.3">
      <c r="A3" s="14" t="s">
        <v>26</v>
      </c>
      <c r="B3" s="13" t="s">
        <v>75</v>
      </c>
      <c r="C3" s="15" t="s">
        <v>76</v>
      </c>
      <c r="D3" s="15" t="s">
        <v>77</v>
      </c>
      <c r="E3" s="13" t="s">
        <v>78</v>
      </c>
      <c r="F3" s="13" t="s">
        <v>79</v>
      </c>
      <c r="G3" s="13" t="s">
        <v>85</v>
      </c>
      <c r="H3" s="13" t="s">
        <v>81</v>
      </c>
      <c r="I3" s="13" t="s">
        <v>86</v>
      </c>
      <c r="J3" s="13" t="s">
        <v>87</v>
      </c>
      <c r="K3" s="13" t="s">
        <v>88</v>
      </c>
      <c r="L3" s="16"/>
      <c r="M3" s="17"/>
      <c r="N3" s="16"/>
      <c r="O3" s="18"/>
      <c r="P3" s="17"/>
      <c r="Q3" s="16"/>
    </row>
    <row r="4" spans="1:17" ht="26.4" customHeight="1" x14ac:dyDescent="0.3">
      <c r="A4" s="14" t="s">
        <v>89</v>
      </c>
      <c r="B4" s="13" t="s">
        <v>75</v>
      </c>
      <c r="C4" s="15" t="s">
        <v>76</v>
      </c>
      <c r="D4" s="15" t="s">
        <v>77</v>
      </c>
      <c r="E4" s="13" t="s">
        <v>90</v>
      </c>
      <c r="F4" s="13" t="s">
        <v>91</v>
      </c>
      <c r="G4" s="13" t="s">
        <v>92</v>
      </c>
      <c r="H4" s="13" t="s">
        <v>93</v>
      </c>
      <c r="I4" s="13" t="s">
        <v>94</v>
      </c>
      <c r="J4" s="13" t="s">
        <v>95</v>
      </c>
      <c r="K4" s="13" t="s">
        <v>96</v>
      </c>
      <c r="L4" s="16"/>
      <c r="M4" s="17"/>
      <c r="N4" s="16"/>
      <c r="O4" s="18"/>
      <c r="P4" s="17"/>
      <c r="Q4" s="16"/>
    </row>
    <row r="5" spans="1:17" ht="26.4" customHeight="1" x14ac:dyDescent="0.3">
      <c r="A5" s="14" t="s">
        <v>97</v>
      </c>
      <c r="B5" s="13" t="s">
        <v>75</v>
      </c>
      <c r="C5" s="15" t="s">
        <v>45</v>
      </c>
      <c r="D5" s="15" t="s">
        <v>77</v>
      </c>
      <c r="E5" s="13" t="s">
        <v>78</v>
      </c>
      <c r="F5" s="13" t="s">
        <v>79</v>
      </c>
      <c r="G5" s="13" t="s">
        <v>98</v>
      </c>
      <c r="H5" s="13" t="s">
        <v>99</v>
      </c>
      <c r="I5" s="13" t="s">
        <v>100</v>
      </c>
      <c r="J5" s="13" t="s">
        <v>101</v>
      </c>
      <c r="K5" s="13" t="s">
        <v>102</v>
      </c>
      <c r="L5" s="16"/>
      <c r="M5" s="17"/>
      <c r="N5" s="16"/>
      <c r="O5" s="18"/>
      <c r="P5" s="17"/>
      <c r="Q5" s="16"/>
    </row>
    <row r="6" spans="1:17" ht="39.6" customHeight="1" x14ac:dyDescent="0.3">
      <c r="A6" s="14" t="s">
        <v>103</v>
      </c>
      <c r="B6" s="13" t="s">
        <v>75</v>
      </c>
      <c r="C6" s="15" t="s">
        <v>76</v>
      </c>
      <c r="D6" s="15" t="s">
        <v>77</v>
      </c>
      <c r="E6" s="13" t="s">
        <v>78</v>
      </c>
      <c r="F6" s="13" t="s">
        <v>104</v>
      </c>
      <c r="G6" s="13" t="s">
        <v>105</v>
      </c>
      <c r="H6" s="13" t="s">
        <v>93</v>
      </c>
      <c r="I6" s="13" t="s">
        <v>106</v>
      </c>
      <c r="J6" s="13" t="s">
        <v>87</v>
      </c>
      <c r="K6" s="13" t="s">
        <v>107</v>
      </c>
      <c r="L6" s="16"/>
      <c r="M6" s="17"/>
      <c r="N6" s="16"/>
      <c r="O6" s="18"/>
      <c r="P6" s="17"/>
      <c r="Q6" s="16"/>
    </row>
    <row r="7" spans="1:17" ht="39.6" customHeight="1" x14ac:dyDescent="0.3">
      <c r="A7" s="14" t="s">
        <v>108</v>
      </c>
      <c r="B7" s="13" t="s">
        <v>75</v>
      </c>
      <c r="C7" s="15" t="s">
        <v>76</v>
      </c>
      <c r="D7" s="15" t="s">
        <v>77</v>
      </c>
      <c r="E7" s="13" t="s">
        <v>78</v>
      </c>
      <c r="F7" s="13" t="s">
        <v>109</v>
      </c>
      <c r="G7" s="13" t="s">
        <v>110</v>
      </c>
      <c r="H7" s="13" t="s">
        <v>111</v>
      </c>
      <c r="I7" s="13" t="s">
        <v>112</v>
      </c>
      <c r="J7" s="13" t="s">
        <v>113</v>
      </c>
      <c r="K7" s="13" t="s">
        <v>114</v>
      </c>
      <c r="L7" s="16"/>
      <c r="M7" s="17"/>
      <c r="N7" s="16"/>
      <c r="O7" s="18"/>
      <c r="P7" s="17"/>
      <c r="Q7" s="16"/>
    </row>
    <row r="8" spans="1:17" ht="39.6" customHeight="1" x14ac:dyDescent="0.3">
      <c r="A8" s="14" t="s">
        <v>115</v>
      </c>
      <c r="B8" s="13" t="s">
        <v>75</v>
      </c>
      <c r="C8" s="15" t="s">
        <v>51</v>
      </c>
      <c r="D8" s="15" t="s">
        <v>77</v>
      </c>
      <c r="E8" s="13" t="s">
        <v>78</v>
      </c>
      <c r="F8" s="13" t="s">
        <v>116</v>
      </c>
      <c r="G8" s="13" t="s">
        <v>117</v>
      </c>
      <c r="H8" s="13" t="s">
        <v>118</v>
      </c>
      <c r="I8" s="13" t="s">
        <v>119</v>
      </c>
      <c r="J8" s="13" t="s">
        <v>50</v>
      </c>
      <c r="K8" s="13" t="s">
        <v>120</v>
      </c>
      <c r="L8" s="16"/>
      <c r="M8" s="17"/>
      <c r="N8" s="16"/>
      <c r="O8" s="18"/>
      <c r="P8" s="17"/>
      <c r="Q8" s="16"/>
    </row>
    <row r="9" spans="1:17" ht="66" customHeight="1" x14ac:dyDescent="0.3">
      <c r="A9" s="14" t="s">
        <v>121</v>
      </c>
      <c r="B9" s="13" t="s">
        <v>122</v>
      </c>
      <c r="C9" s="15" t="s">
        <v>76</v>
      </c>
      <c r="D9" s="15" t="s">
        <v>77</v>
      </c>
      <c r="E9" s="13" t="s">
        <v>78</v>
      </c>
      <c r="F9" s="13" t="s">
        <v>91</v>
      </c>
      <c r="G9" s="13" t="s">
        <v>123</v>
      </c>
      <c r="H9" s="13" t="s">
        <v>111</v>
      </c>
      <c r="I9" s="13" t="s">
        <v>124</v>
      </c>
      <c r="J9" s="13" t="s">
        <v>125</v>
      </c>
      <c r="K9" s="13" t="s">
        <v>126</v>
      </c>
      <c r="L9" s="16"/>
      <c r="M9" s="17"/>
      <c r="N9" s="16"/>
      <c r="O9" s="18"/>
      <c r="P9" s="17"/>
      <c r="Q9" s="16"/>
    </row>
    <row r="10" spans="1:17" ht="79.2" customHeight="1" x14ac:dyDescent="0.3">
      <c r="A10" s="14" t="s">
        <v>127</v>
      </c>
      <c r="B10" s="13" t="s">
        <v>122</v>
      </c>
      <c r="C10" s="15" t="s">
        <v>51</v>
      </c>
      <c r="D10" s="15" t="s">
        <v>77</v>
      </c>
      <c r="E10" s="13" t="s">
        <v>128</v>
      </c>
      <c r="F10" s="13" t="s">
        <v>91</v>
      </c>
      <c r="G10" s="13" t="s">
        <v>129</v>
      </c>
      <c r="H10" s="13" t="s">
        <v>130</v>
      </c>
      <c r="I10" s="13" t="s">
        <v>131</v>
      </c>
      <c r="J10" s="13" t="s">
        <v>50</v>
      </c>
      <c r="K10" s="13" t="s">
        <v>132</v>
      </c>
      <c r="L10" s="16"/>
      <c r="M10" s="17"/>
      <c r="N10" s="16"/>
      <c r="O10" s="18"/>
      <c r="P10" s="17"/>
      <c r="Q10" s="16"/>
    </row>
    <row r="11" spans="1:17" ht="39.6" customHeight="1" x14ac:dyDescent="0.3">
      <c r="A11" s="14" t="s">
        <v>133</v>
      </c>
      <c r="B11" s="13" t="s">
        <v>122</v>
      </c>
      <c r="C11" s="15" t="s">
        <v>54</v>
      </c>
      <c r="D11" s="15" t="s">
        <v>77</v>
      </c>
      <c r="E11" s="13" t="s">
        <v>128</v>
      </c>
      <c r="F11" s="13" t="s">
        <v>134</v>
      </c>
      <c r="G11" s="13" t="s">
        <v>135</v>
      </c>
      <c r="H11" s="13" t="s">
        <v>136</v>
      </c>
      <c r="I11" s="13" t="s">
        <v>137</v>
      </c>
      <c r="J11" s="13" t="s">
        <v>53</v>
      </c>
      <c r="K11" s="13" t="s">
        <v>138</v>
      </c>
      <c r="L11" s="16"/>
      <c r="M11" s="17"/>
      <c r="N11" s="16"/>
      <c r="O11" s="18"/>
      <c r="P11" s="17"/>
      <c r="Q11" s="16"/>
    </row>
    <row r="12" spans="1:17" ht="39.6" customHeight="1" x14ac:dyDescent="0.3">
      <c r="A12" s="14" t="s">
        <v>139</v>
      </c>
      <c r="B12" s="13" t="s">
        <v>122</v>
      </c>
      <c r="C12" s="15" t="s">
        <v>76</v>
      </c>
      <c r="D12" s="15" t="s">
        <v>77</v>
      </c>
      <c r="E12" s="13" t="s">
        <v>78</v>
      </c>
      <c r="F12" s="13" t="s">
        <v>91</v>
      </c>
      <c r="G12" s="13" t="s">
        <v>140</v>
      </c>
      <c r="H12" s="13" t="s">
        <v>111</v>
      </c>
      <c r="I12" s="13" t="s">
        <v>141</v>
      </c>
      <c r="J12" s="13" t="s">
        <v>142</v>
      </c>
      <c r="K12" s="13" t="s">
        <v>143</v>
      </c>
      <c r="L12" s="16"/>
      <c r="M12" s="17"/>
      <c r="N12" s="16"/>
      <c r="O12" s="18"/>
      <c r="P12" s="17"/>
      <c r="Q12" s="16"/>
    </row>
    <row r="13" spans="1:17" ht="79.2" customHeight="1" x14ac:dyDescent="0.3">
      <c r="A13" s="14" t="s">
        <v>144</v>
      </c>
      <c r="B13" s="13" t="s">
        <v>145</v>
      </c>
      <c r="C13" s="15" t="s">
        <v>45</v>
      </c>
      <c r="D13" s="15" t="s">
        <v>77</v>
      </c>
      <c r="E13" s="13" t="s">
        <v>128</v>
      </c>
      <c r="F13" s="13" t="s">
        <v>146</v>
      </c>
      <c r="G13" s="13" t="s">
        <v>147</v>
      </c>
      <c r="H13" s="13" t="s">
        <v>148</v>
      </c>
      <c r="I13" s="13" t="s">
        <v>149</v>
      </c>
      <c r="J13" s="13" t="s">
        <v>150</v>
      </c>
      <c r="K13" s="13" t="s">
        <v>151</v>
      </c>
      <c r="L13" s="16"/>
      <c r="M13" s="17"/>
      <c r="N13" s="16"/>
      <c r="O13" s="18"/>
      <c r="P13" s="17"/>
      <c r="Q13" s="16"/>
    </row>
    <row r="14" spans="1:17" ht="39.6" customHeight="1" x14ac:dyDescent="0.3">
      <c r="A14" s="14" t="s">
        <v>152</v>
      </c>
      <c r="B14" s="13" t="s">
        <v>145</v>
      </c>
      <c r="C14" s="15" t="s">
        <v>45</v>
      </c>
      <c r="D14" s="15" t="s">
        <v>77</v>
      </c>
      <c r="E14" s="13" t="s">
        <v>128</v>
      </c>
      <c r="F14" s="13" t="s">
        <v>109</v>
      </c>
      <c r="G14" s="13" t="s">
        <v>153</v>
      </c>
      <c r="H14" s="13" t="s">
        <v>154</v>
      </c>
      <c r="I14" s="13" t="s">
        <v>155</v>
      </c>
      <c r="J14" s="13" t="s">
        <v>156</v>
      </c>
      <c r="K14" s="13" t="s">
        <v>157</v>
      </c>
      <c r="L14" s="16"/>
      <c r="M14" s="17"/>
      <c r="N14" s="16"/>
      <c r="O14" s="18"/>
      <c r="P14" s="17"/>
      <c r="Q14" s="16"/>
    </row>
    <row r="15" spans="1:17" ht="52.8" customHeight="1" x14ac:dyDescent="0.3">
      <c r="A15" s="14" t="s">
        <v>158</v>
      </c>
      <c r="B15" s="13" t="s">
        <v>145</v>
      </c>
      <c r="C15" s="15" t="s">
        <v>45</v>
      </c>
      <c r="D15" s="15" t="s">
        <v>77</v>
      </c>
      <c r="E15" s="13" t="s">
        <v>128</v>
      </c>
      <c r="F15" s="13" t="s">
        <v>159</v>
      </c>
      <c r="G15" s="13" t="s">
        <v>160</v>
      </c>
      <c r="H15" s="13" t="s">
        <v>161</v>
      </c>
      <c r="I15" s="13" t="s">
        <v>162</v>
      </c>
      <c r="J15" s="13" t="s">
        <v>156</v>
      </c>
      <c r="K15" s="13" t="s">
        <v>163</v>
      </c>
      <c r="L15" s="16"/>
      <c r="M15" s="17"/>
      <c r="N15" s="16"/>
      <c r="O15" s="18"/>
      <c r="P15" s="17"/>
      <c r="Q15" s="16"/>
    </row>
    <row r="16" spans="1:17" ht="39.6" customHeight="1" x14ac:dyDescent="0.3">
      <c r="A16" s="14" t="s">
        <v>164</v>
      </c>
      <c r="B16" s="13" t="s">
        <v>145</v>
      </c>
      <c r="C16" s="15" t="s">
        <v>45</v>
      </c>
      <c r="D16" s="15" t="s">
        <v>77</v>
      </c>
      <c r="E16" s="13" t="s">
        <v>90</v>
      </c>
      <c r="F16" s="13" t="s">
        <v>109</v>
      </c>
      <c r="G16" s="13" t="s">
        <v>165</v>
      </c>
      <c r="H16" s="13" t="s">
        <v>166</v>
      </c>
      <c r="I16" s="13" t="s">
        <v>167</v>
      </c>
      <c r="J16" s="13" t="s">
        <v>168</v>
      </c>
      <c r="K16" s="13" t="s">
        <v>169</v>
      </c>
      <c r="L16" s="16"/>
      <c r="M16" s="17"/>
      <c r="N16" s="16"/>
      <c r="O16" s="18"/>
      <c r="P16" s="17"/>
      <c r="Q16" s="16"/>
    </row>
    <row r="17" spans="1:17" ht="39.6" customHeight="1" x14ac:dyDescent="0.3">
      <c r="A17" s="14" t="s">
        <v>170</v>
      </c>
      <c r="B17" s="13" t="s">
        <v>145</v>
      </c>
      <c r="C17" s="15" t="s">
        <v>45</v>
      </c>
      <c r="D17" s="15" t="s">
        <v>77</v>
      </c>
      <c r="E17" s="13" t="s">
        <v>128</v>
      </c>
      <c r="F17" s="13" t="s">
        <v>109</v>
      </c>
      <c r="G17" s="13" t="s">
        <v>171</v>
      </c>
      <c r="H17" s="13" t="s">
        <v>172</v>
      </c>
      <c r="I17" s="13" t="s">
        <v>173</v>
      </c>
      <c r="J17" s="13" t="s">
        <v>174</v>
      </c>
      <c r="K17" s="13" t="s">
        <v>175</v>
      </c>
      <c r="L17" s="16"/>
      <c r="M17" s="17"/>
      <c r="N17" s="16"/>
      <c r="O17" s="18"/>
      <c r="P17" s="17"/>
      <c r="Q17" s="16"/>
    </row>
    <row r="18" spans="1:17" ht="66" customHeight="1" x14ac:dyDescent="0.3">
      <c r="A18" s="14" t="s">
        <v>176</v>
      </c>
      <c r="B18" s="13" t="s">
        <v>177</v>
      </c>
      <c r="C18" s="15" t="s">
        <v>45</v>
      </c>
      <c r="D18" s="15" t="s">
        <v>77</v>
      </c>
      <c r="E18" s="13" t="s">
        <v>128</v>
      </c>
      <c r="F18" s="13" t="s">
        <v>178</v>
      </c>
      <c r="G18" s="13" t="s">
        <v>179</v>
      </c>
      <c r="H18" s="13" t="s">
        <v>180</v>
      </c>
      <c r="I18" s="13" t="s">
        <v>181</v>
      </c>
      <c r="J18" s="13" t="s">
        <v>182</v>
      </c>
      <c r="K18" s="13" t="s">
        <v>183</v>
      </c>
      <c r="L18" s="16"/>
      <c r="M18" s="17"/>
      <c r="N18" s="16"/>
      <c r="O18" s="18"/>
      <c r="P18" s="17"/>
      <c r="Q18" s="16"/>
    </row>
    <row r="19" spans="1:17" ht="39.6" customHeight="1" x14ac:dyDescent="0.3">
      <c r="A19" s="14" t="s">
        <v>184</v>
      </c>
      <c r="B19" s="13" t="s">
        <v>177</v>
      </c>
      <c r="C19" s="15" t="s">
        <v>45</v>
      </c>
      <c r="D19" s="15" t="s">
        <v>77</v>
      </c>
      <c r="E19" s="13" t="s">
        <v>128</v>
      </c>
      <c r="F19" s="13" t="s">
        <v>178</v>
      </c>
      <c r="G19" s="13" t="s">
        <v>185</v>
      </c>
      <c r="H19" s="13" t="s">
        <v>186</v>
      </c>
      <c r="I19" s="13" t="s">
        <v>187</v>
      </c>
      <c r="J19" s="13" t="s">
        <v>188</v>
      </c>
      <c r="K19" s="13" t="s">
        <v>189</v>
      </c>
      <c r="L19" s="16"/>
      <c r="M19" s="17"/>
      <c r="N19" s="16"/>
      <c r="O19" s="18"/>
      <c r="P19" s="17"/>
      <c r="Q19" s="16"/>
    </row>
    <row r="20" spans="1:17" ht="52.8" customHeight="1" x14ac:dyDescent="0.3">
      <c r="A20" s="14" t="s">
        <v>190</v>
      </c>
      <c r="B20" s="13" t="s">
        <v>177</v>
      </c>
      <c r="C20" s="15" t="s">
        <v>45</v>
      </c>
      <c r="D20" s="15" t="s">
        <v>77</v>
      </c>
      <c r="E20" s="13" t="s">
        <v>78</v>
      </c>
      <c r="F20" s="13" t="s">
        <v>109</v>
      </c>
      <c r="G20" s="13" t="s">
        <v>191</v>
      </c>
      <c r="H20" s="13" t="s">
        <v>192</v>
      </c>
      <c r="I20" s="13" t="s">
        <v>193</v>
      </c>
      <c r="J20" s="13" t="s">
        <v>50</v>
      </c>
      <c r="K20" s="13" t="s">
        <v>194</v>
      </c>
      <c r="L20" s="16"/>
      <c r="M20" s="17"/>
      <c r="N20" s="16"/>
      <c r="O20" s="18"/>
      <c r="P20" s="17"/>
      <c r="Q20" s="16"/>
    </row>
    <row r="21" spans="1:17" ht="66" customHeight="1" x14ac:dyDescent="0.3">
      <c r="A21" s="14" t="s">
        <v>195</v>
      </c>
      <c r="B21" s="13" t="s">
        <v>177</v>
      </c>
      <c r="C21" s="15" t="s">
        <v>45</v>
      </c>
      <c r="D21" s="15" t="s">
        <v>77</v>
      </c>
      <c r="E21" s="13" t="s">
        <v>128</v>
      </c>
      <c r="F21" s="13" t="s">
        <v>109</v>
      </c>
      <c r="G21" s="13" t="s">
        <v>196</v>
      </c>
      <c r="H21" s="13" t="s">
        <v>197</v>
      </c>
      <c r="I21" s="13" t="s">
        <v>198</v>
      </c>
      <c r="J21" s="13" t="s">
        <v>199</v>
      </c>
      <c r="K21" s="13" t="s">
        <v>200</v>
      </c>
      <c r="L21" s="16"/>
      <c r="M21" s="17"/>
      <c r="N21" s="16"/>
      <c r="O21" s="18"/>
      <c r="P21" s="17"/>
      <c r="Q21" s="16"/>
    </row>
    <row r="22" spans="1:17" ht="39.6" customHeight="1" x14ac:dyDescent="0.3">
      <c r="A22" s="14" t="s">
        <v>201</v>
      </c>
      <c r="B22" s="13" t="s">
        <v>202</v>
      </c>
      <c r="C22" s="15" t="s">
        <v>45</v>
      </c>
      <c r="D22" s="15" t="s">
        <v>77</v>
      </c>
      <c r="E22" s="13" t="s">
        <v>128</v>
      </c>
      <c r="F22" s="13" t="s">
        <v>203</v>
      </c>
      <c r="G22" s="13" t="s">
        <v>204</v>
      </c>
      <c r="H22" s="13" t="s">
        <v>205</v>
      </c>
      <c r="I22" s="13" t="s">
        <v>206</v>
      </c>
      <c r="J22" s="13" t="s">
        <v>113</v>
      </c>
      <c r="K22" s="13" t="s">
        <v>207</v>
      </c>
      <c r="L22" s="16"/>
      <c r="M22" s="17"/>
      <c r="N22" s="16"/>
      <c r="O22" s="18"/>
      <c r="P22" s="17"/>
      <c r="Q22" s="16"/>
    </row>
    <row r="23" spans="1:17" ht="39.6" customHeight="1" x14ac:dyDescent="0.3">
      <c r="A23" s="14" t="s">
        <v>208</v>
      </c>
      <c r="B23" s="13" t="s">
        <v>209</v>
      </c>
      <c r="C23" s="15" t="s">
        <v>51</v>
      </c>
      <c r="D23" s="15" t="s">
        <v>77</v>
      </c>
      <c r="E23" s="13" t="s">
        <v>128</v>
      </c>
      <c r="F23" s="13" t="s">
        <v>210</v>
      </c>
      <c r="G23" s="13" t="s">
        <v>211</v>
      </c>
      <c r="H23" s="13" t="s">
        <v>212</v>
      </c>
      <c r="I23" s="13" t="s">
        <v>213</v>
      </c>
      <c r="J23" s="13" t="s">
        <v>214</v>
      </c>
      <c r="K23" s="13" t="s">
        <v>215</v>
      </c>
      <c r="L23" s="16"/>
      <c r="M23" s="17"/>
      <c r="N23" s="16"/>
      <c r="O23" s="18"/>
      <c r="P23" s="17"/>
      <c r="Q23" s="16"/>
    </row>
    <row r="24" spans="1:17" ht="26.4" customHeight="1" x14ac:dyDescent="0.3">
      <c r="A24" s="14" t="s">
        <v>216</v>
      </c>
      <c r="B24" s="13" t="s">
        <v>209</v>
      </c>
      <c r="C24" s="15" t="s">
        <v>51</v>
      </c>
      <c r="D24" s="15" t="s">
        <v>77</v>
      </c>
      <c r="E24" s="13" t="s">
        <v>128</v>
      </c>
      <c r="F24" s="13" t="s">
        <v>210</v>
      </c>
      <c r="G24" s="13" t="s">
        <v>217</v>
      </c>
      <c r="H24" s="13" t="s">
        <v>218</v>
      </c>
      <c r="I24" s="13" t="s">
        <v>219</v>
      </c>
      <c r="J24" s="13" t="s">
        <v>113</v>
      </c>
      <c r="K24" s="13" t="s">
        <v>220</v>
      </c>
      <c r="L24" s="16"/>
      <c r="M24" s="17"/>
      <c r="N24" s="16"/>
      <c r="O24" s="18"/>
      <c r="P24" s="17"/>
      <c r="Q24" s="16"/>
    </row>
    <row r="25" spans="1:17" ht="26.4" customHeight="1" x14ac:dyDescent="0.3">
      <c r="A25" s="14" t="s">
        <v>221</v>
      </c>
      <c r="B25" s="13" t="s">
        <v>209</v>
      </c>
      <c r="C25" s="15" t="s">
        <v>51</v>
      </c>
      <c r="D25" s="15" t="s">
        <v>77</v>
      </c>
      <c r="E25" s="13" t="s">
        <v>78</v>
      </c>
      <c r="F25" s="13" t="s">
        <v>222</v>
      </c>
      <c r="G25" s="13" t="s">
        <v>223</v>
      </c>
      <c r="H25" s="13" t="s">
        <v>118</v>
      </c>
      <c r="I25" s="13" t="s">
        <v>224</v>
      </c>
      <c r="J25" s="13" t="s">
        <v>225</v>
      </c>
      <c r="K25" s="13" t="s">
        <v>226</v>
      </c>
      <c r="L25" s="16"/>
      <c r="M25" s="17"/>
      <c r="N25" s="16"/>
      <c r="O25" s="18"/>
      <c r="P25" s="17"/>
      <c r="Q25" s="16"/>
    </row>
    <row r="26" spans="1:17" ht="39.6" customHeight="1" x14ac:dyDescent="0.3">
      <c r="A26" s="14" t="s">
        <v>227</v>
      </c>
      <c r="B26" s="13" t="s">
        <v>209</v>
      </c>
      <c r="C26" s="15" t="s">
        <v>51</v>
      </c>
      <c r="D26" s="15" t="s">
        <v>77</v>
      </c>
      <c r="E26" s="13" t="s">
        <v>78</v>
      </c>
      <c r="F26" s="13" t="s">
        <v>228</v>
      </c>
      <c r="G26" s="13" t="s">
        <v>229</v>
      </c>
      <c r="H26" s="13" t="s">
        <v>118</v>
      </c>
      <c r="I26" s="13" t="s">
        <v>230</v>
      </c>
      <c r="J26" s="13" t="s">
        <v>231</v>
      </c>
      <c r="K26" s="13" t="s">
        <v>232</v>
      </c>
      <c r="L26" s="16"/>
      <c r="M26" s="17"/>
      <c r="N26" s="16"/>
      <c r="O26" s="18"/>
      <c r="P26" s="17"/>
      <c r="Q26" s="16"/>
    </row>
    <row r="27" spans="1:17" ht="52.8" customHeight="1" x14ac:dyDescent="0.3">
      <c r="A27" s="14" t="s">
        <v>233</v>
      </c>
      <c r="B27" s="13" t="s">
        <v>209</v>
      </c>
      <c r="C27" s="15" t="s">
        <v>51</v>
      </c>
      <c r="D27" s="15" t="s">
        <v>77</v>
      </c>
      <c r="E27" s="13" t="s">
        <v>128</v>
      </c>
      <c r="F27" s="13" t="s">
        <v>234</v>
      </c>
      <c r="G27" s="13" t="s">
        <v>235</v>
      </c>
      <c r="H27" s="13" t="s">
        <v>236</v>
      </c>
      <c r="I27" s="13" t="s">
        <v>237</v>
      </c>
      <c r="J27" s="13" t="s">
        <v>238</v>
      </c>
      <c r="K27" s="13" t="s">
        <v>239</v>
      </c>
      <c r="L27" s="16"/>
      <c r="M27" s="17"/>
      <c r="N27" s="16"/>
      <c r="O27" s="18"/>
      <c r="P27" s="17"/>
      <c r="Q27" s="16"/>
    </row>
    <row r="28" spans="1:17" ht="52.8" customHeight="1" x14ac:dyDescent="0.3">
      <c r="A28" s="14" t="s">
        <v>240</v>
      </c>
      <c r="B28" s="13" t="s">
        <v>241</v>
      </c>
      <c r="C28" s="15" t="s">
        <v>51</v>
      </c>
      <c r="D28" s="15" t="s">
        <v>77</v>
      </c>
      <c r="E28" s="13" t="s">
        <v>128</v>
      </c>
      <c r="F28" s="13" t="s">
        <v>242</v>
      </c>
      <c r="G28" s="13" t="s">
        <v>243</v>
      </c>
      <c r="H28" s="13" t="s">
        <v>244</v>
      </c>
      <c r="I28" s="13" t="s">
        <v>245</v>
      </c>
      <c r="J28" s="13" t="s">
        <v>246</v>
      </c>
      <c r="K28" s="13" t="s">
        <v>247</v>
      </c>
      <c r="L28" s="16"/>
      <c r="M28" s="17"/>
      <c r="N28" s="16"/>
      <c r="O28" s="18"/>
      <c r="P28" s="17"/>
      <c r="Q28" s="16"/>
    </row>
    <row r="29" spans="1:17" ht="52.8" customHeight="1" x14ac:dyDescent="0.3">
      <c r="A29" s="14" t="s">
        <v>248</v>
      </c>
      <c r="B29" s="13" t="s">
        <v>241</v>
      </c>
      <c r="C29" s="15" t="s">
        <v>51</v>
      </c>
      <c r="D29" s="15" t="s">
        <v>77</v>
      </c>
      <c r="E29" s="13" t="s">
        <v>128</v>
      </c>
      <c r="F29" s="13" t="s">
        <v>249</v>
      </c>
      <c r="G29" s="13" t="s">
        <v>250</v>
      </c>
      <c r="H29" s="13" t="s">
        <v>251</v>
      </c>
      <c r="I29" s="13" t="s">
        <v>252</v>
      </c>
      <c r="J29" s="13" t="s">
        <v>253</v>
      </c>
      <c r="K29" s="13" t="s">
        <v>254</v>
      </c>
      <c r="L29" s="16"/>
      <c r="M29" s="17"/>
      <c r="N29" s="16"/>
      <c r="O29" s="18"/>
      <c r="P29" s="17"/>
      <c r="Q29" s="16"/>
    </row>
    <row r="30" spans="1:17" ht="26.4" customHeight="1" x14ac:dyDescent="0.3">
      <c r="A30" s="14" t="s">
        <v>255</v>
      </c>
      <c r="B30" s="13" t="s">
        <v>241</v>
      </c>
      <c r="C30" s="15" t="s">
        <v>45</v>
      </c>
      <c r="D30" s="15" t="s">
        <v>77</v>
      </c>
      <c r="E30" s="13" t="s">
        <v>128</v>
      </c>
      <c r="F30" s="13" t="s">
        <v>256</v>
      </c>
      <c r="G30" s="13" t="s">
        <v>257</v>
      </c>
      <c r="H30" s="13" t="s">
        <v>186</v>
      </c>
      <c r="I30" s="13" t="s">
        <v>258</v>
      </c>
      <c r="J30" s="13" t="s">
        <v>113</v>
      </c>
      <c r="K30" s="13" t="s">
        <v>259</v>
      </c>
      <c r="L30" s="16"/>
      <c r="M30" s="17"/>
      <c r="N30" s="16"/>
      <c r="O30" s="18"/>
      <c r="P30" s="17"/>
      <c r="Q30" s="16"/>
    </row>
    <row r="31" spans="1:17" ht="52.8" customHeight="1" x14ac:dyDescent="0.3">
      <c r="A31" s="14" t="s">
        <v>260</v>
      </c>
      <c r="B31" s="13" t="s">
        <v>209</v>
      </c>
      <c r="C31" s="15" t="s">
        <v>48</v>
      </c>
      <c r="D31" s="15" t="s">
        <v>77</v>
      </c>
      <c r="E31" s="13" t="s">
        <v>128</v>
      </c>
      <c r="F31" s="13" t="s">
        <v>261</v>
      </c>
      <c r="G31" s="13" t="s">
        <v>262</v>
      </c>
      <c r="H31" s="13" t="s">
        <v>263</v>
      </c>
      <c r="I31" s="13" t="s">
        <v>264</v>
      </c>
      <c r="J31" s="13" t="s">
        <v>265</v>
      </c>
      <c r="K31" s="13" t="s">
        <v>266</v>
      </c>
      <c r="L31" s="16"/>
      <c r="M31" s="17"/>
      <c r="N31" s="16"/>
      <c r="O31" s="18"/>
      <c r="P31" s="17"/>
      <c r="Q31" s="16"/>
    </row>
    <row r="32" spans="1:17" ht="26.4" customHeight="1" x14ac:dyDescent="0.3">
      <c r="A32" s="14" t="s">
        <v>267</v>
      </c>
      <c r="B32" s="13" t="s">
        <v>268</v>
      </c>
      <c r="C32" s="15" t="s">
        <v>48</v>
      </c>
      <c r="D32" s="15" t="s">
        <v>77</v>
      </c>
      <c r="E32" s="13" t="s">
        <v>128</v>
      </c>
      <c r="F32" s="13" t="s">
        <v>269</v>
      </c>
      <c r="G32" s="13" t="s">
        <v>270</v>
      </c>
      <c r="H32" s="13" t="s">
        <v>271</v>
      </c>
      <c r="I32" s="13" t="s">
        <v>272</v>
      </c>
      <c r="J32" s="13" t="s">
        <v>47</v>
      </c>
      <c r="K32" s="13" t="s">
        <v>273</v>
      </c>
      <c r="L32" s="16"/>
      <c r="M32" s="17"/>
      <c r="N32" s="16"/>
      <c r="O32" s="18"/>
      <c r="P32" s="17"/>
      <c r="Q32" s="16"/>
    </row>
    <row r="33" spans="1:17" ht="39.6" customHeight="1" x14ac:dyDescent="0.3">
      <c r="A33" s="14" t="s">
        <v>274</v>
      </c>
      <c r="B33" s="13" t="s">
        <v>268</v>
      </c>
      <c r="C33" s="15" t="s">
        <v>48</v>
      </c>
      <c r="D33" s="15" t="s">
        <v>77</v>
      </c>
      <c r="E33" s="13" t="s">
        <v>78</v>
      </c>
      <c r="F33" s="13" t="s">
        <v>275</v>
      </c>
      <c r="G33" s="13" t="s">
        <v>276</v>
      </c>
      <c r="H33" s="13" t="s">
        <v>277</v>
      </c>
      <c r="I33" s="13" t="s">
        <v>278</v>
      </c>
      <c r="J33" s="13" t="s">
        <v>113</v>
      </c>
      <c r="K33" s="13" t="s">
        <v>279</v>
      </c>
      <c r="L33" s="16"/>
      <c r="M33" s="17"/>
      <c r="N33" s="16"/>
      <c r="O33" s="18"/>
      <c r="P33" s="17"/>
      <c r="Q33" s="16"/>
    </row>
    <row r="34" spans="1:17" ht="26.4" customHeight="1" x14ac:dyDescent="0.3">
      <c r="A34" s="14" t="s">
        <v>280</v>
      </c>
      <c r="B34" s="13" t="s">
        <v>268</v>
      </c>
      <c r="C34" s="15" t="s">
        <v>48</v>
      </c>
      <c r="D34" s="15" t="s">
        <v>77</v>
      </c>
      <c r="E34" s="13" t="s">
        <v>128</v>
      </c>
      <c r="F34" s="13" t="s">
        <v>281</v>
      </c>
      <c r="G34" s="13" t="s">
        <v>282</v>
      </c>
      <c r="H34" s="13" t="s">
        <v>283</v>
      </c>
      <c r="I34" s="13" t="s">
        <v>284</v>
      </c>
      <c r="J34" s="13" t="s">
        <v>285</v>
      </c>
      <c r="K34" s="13" t="s">
        <v>286</v>
      </c>
      <c r="L34" s="16"/>
      <c r="M34" s="17"/>
      <c r="N34" s="16"/>
      <c r="O34" s="18"/>
      <c r="P34" s="17"/>
      <c r="Q34" s="16"/>
    </row>
    <row r="35" spans="1:17" ht="26.4" customHeight="1" x14ac:dyDescent="0.3">
      <c r="A35" s="14" t="s">
        <v>287</v>
      </c>
      <c r="B35" s="13" t="s">
        <v>268</v>
      </c>
      <c r="C35" s="15" t="s">
        <v>48</v>
      </c>
      <c r="D35" s="15" t="s">
        <v>77</v>
      </c>
      <c r="E35" s="13" t="s">
        <v>128</v>
      </c>
      <c r="F35" s="13" t="s">
        <v>288</v>
      </c>
      <c r="G35" s="13" t="s">
        <v>289</v>
      </c>
      <c r="H35" s="13" t="s">
        <v>290</v>
      </c>
      <c r="I35" s="13" t="s">
        <v>291</v>
      </c>
      <c r="J35" s="13" t="s">
        <v>292</v>
      </c>
      <c r="K35" s="13" t="s">
        <v>293</v>
      </c>
      <c r="L35" s="16"/>
      <c r="M35" s="17"/>
      <c r="N35" s="16"/>
      <c r="O35" s="18"/>
      <c r="P35" s="17"/>
      <c r="Q35" s="16"/>
    </row>
    <row r="36" spans="1:17" ht="39.6" customHeight="1" x14ac:dyDescent="0.3">
      <c r="A36" s="14" t="s">
        <v>294</v>
      </c>
      <c r="B36" s="13" t="s">
        <v>295</v>
      </c>
      <c r="C36" s="15" t="s">
        <v>48</v>
      </c>
      <c r="D36" s="15" t="s">
        <v>77</v>
      </c>
      <c r="E36" s="13" t="s">
        <v>128</v>
      </c>
      <c r="F36" s="13" t="s">
        <v>281</v>
      </c>
      <c r="G36" s="13" t="s">
        <v>296</v>
      </c>
      <c r="H36" s="13" t="s">
        <v>297</v>
      </c>
      <c r="I36" s="13" t="s">
        <v>298</v>
      </c>
      <c r="J36" s="13" t="s">
        <v>299</v>
      </c>
      <c r="K36" s="13" t="s">
        <v>300</v>
      </c>
      <c r="L36" s="16"/>
      <c r="M36" s="17"/>
      <c r="N36" s="16"/>
      <c r="O36" s="18"/>
      <c r="P36" s="17"/>
      <c r="Q36" s="16"/>
    </row>
    <row r="37" spans="1:17" ht="39.6" customHeight="1" x14ac:dyDescent="0.3">
      <c r="A37" s="14" t="s">
        <v>301</v>
      </c>
      <c r="B37" s="13" t="s">
        <v>295</v>
      </c>
      <c r="C37" s="15" t="s">
        <v>48</v>
      </c>
      <c r="D37" s="15" t="s">
        <v>77</v>
      </c>
      <c r="E37" s="13" t="s">
        <v>128</v>
      </c>
      <c r="F37" s="13" t="s">
        <v>288</v>
      </c>
      <c r="G37" s="13" t="s">
        <v>302</v>
      </c>
      <c r="H37" s="13" t="s">
        <v>303</v>
      </c>
      <c r="I37" s="13" t="s">
        <v>304</v>
      </c>
      <c r="J37" s="13" t="s">
        <v>305</v>
      </c>
      <c r="K37" s="13" t="s">
        <v>306</v>
      </c>
      <c r="L37" s="16"/>
      <c r="M37" s="17"/>
      <c r="N37" s="16"/>
      <c r="O37" s="18"/>
      <c r="P37" s="17"/>
      <c r="Q37" s="16"/>
    </row>
    <row r="38" spans="1:17" ht="39.6" customHeight="1" x14ac:dyDescent="0.3">
      <c r="A38" s="14" t="s">
        <v>307</v>
      </c>
      <c r="B38" s="13" t="s">
        <v>295</v>
      </c>
      <c r="C38" s="15" t="s">
        <v>48</v>
      </c>
      <c r="D38" s="15" t="s">
        <v>77</v>
      </c>
      <c r="E38" s="13" t="s">
        <v>128</v>
      </c>
      <c r="F38" s="13" t="s">
        <v>288</v>
      </c>
      <c r="G38" s="13" t="s">
        <v>308</v>
      </c>
      <c r="H38" s="13" t="s">
        <v>309</v>
      </c>
      <c r="I38" s="13" t="s">
        <v>310</v>
      </c>
      <c r="J38" s="13" t="s">
        <v>113</v>
      </c>
      <c r="K38" s="13" t="s">
        <v>311</v>
      </c>
      <c r="L38" s="16"/>
      <c r="M38" s="17"/>
      <c r="N38" s="16"/>
      <c r="O38" s="18"/>
      <c r="P38" s="17"/>
      <c r="Q38" s="16"/>
    </row>
    <row r="39" spans="1:17" ht="26.4" customHeight="1" x14ac:dyDescent="0.3">
      <c r="A39" s="14" t="s">
        <v>312</v>
      </c>
      <c r="B39" s="13" t="s">
        <v>313</v>
      </c>
      <c r="C39" s="15" t="s">
        <v>48</v>
      </c>
      <c r="D39" s="15" t="s">
        <v>77</v>
      </c>
      <c r="E39" s="13" t="s">
        <v>128</v>
      </c>
      <c r="F39" s="13" t="s">
        <v>314</v>
      </c>
      <c r="G39" s="13" t="s">
        <v>315</v>
      </c>
      <c r="H39" s="13" t="s">
        <v>316</v>
      </c>
      <c r="I39" s="13" t="s">
        <v>317</v>
      </c>
      <c r="J39" s="13" t="s">
        <v>113</v>
      </c>
      <c r="K39" s="13" t="s">
        <v>318</v>
      </c>
      <c r="L39" s="16"/>
      <c r="M39" s="17"/>
      <c r="N39" s="16"/>
      <c r="O39" s="18"/>
      <c r="P39" s="17"/>
      <c r="Q39" s="16"/>
    </row>
    <row r="40" spans="1:17" ht="39.6" customHeight="1" x14ac:dyDescent="0.3">
      <c r="A40" s="14" t="s">
        <v>319</v>
      </c>
      <c r="B40" s="13" t="s">
        <v>320</v>
      </c>
      <c r="C40" s="15" t="s">
        <v>45</v>
      </c>
      <c r="D40" s="15" t="s">
        <v>77</v>
      </c>
      <c r="E40" s="13" t="s">
        <v>128</v>
      </c>
      <c r="F40" s="13" t="s">
        <v>321</v>
      </c>
      <c r="G40" s="13" t="s">
        <v>322</v>
      </c>
      <c r="H40" s="13" t="s">
        <v>323</v>
      </c>
      <c r="I40" s="13" t="s">
        <v>324</v>
      </c>
      <c r="J40" s="13" t="s">
        <v>325</v>
      </c>
      <c r="K40" s="13" t="s">
        <v>326</v>
      </c>
      <c r="L40" s="16"/>
      <c r="M40" s="17"/>
      <c r="N40" s="16"/>
      <c r="O40" s="18"/>
      <c r="P40" s="17"/>
      <c r="Q40" s="16"/>
    </row>
    <row r="41" spans="1:17" ht="52.8" customHeight="1" x14ac:dyDescent="0.3">
      <c r="A41" s="14" t="s">
        <v>327</v>
      </c>
      <c r="B41" s="13" t="s">
        <v>320</v>
      </c>
      <c r="C41" s="15" t="s">
        <v>45</v>
      </c>
      <c r="D41" s="15" t="s">
        <v>77</v>
      </c>
      <c r="E41" s="13" t="s">
        <v>128</v>
      </c>
      <c r="F41" s="13" t="s">
        <v>321</v>
      </c>
      <c r="G41" s="13" t="s">
        <v>328</v>
      </c>
      <c r="H41" s="13" t="s">
        <v>323</v>
      </c>
      <c r="I41" s="13" t="s">
        <v>329</v>
      </c>
      <c r="J41" s="13" t="s">
        <v>330</v>
      </c>
      <c r="K41" s="13" t="s">
        <v>331</v>
      </c>
      <c r="L41" s="16"/>
      <c r="M41" s="17"/>
      <c r="N41" s="16"/>
      <c r="O41" s="18"/>
      <c r="P41" s="17"/>
      <c r="Q41" s="16"/>
    </row>
    <row r="42" spans="1:17" ht="52.8" customHeight="1" x14ac:dyDescent="0.3">
      <c r="A42" s="14" t="s">
        <v>332</v>
      </c>
      <c r="B42" s="13" t="s">
        <v>320</v>
      </c>
      <c r="C42" s="15" t="s">
        <v>48</v>
      </c>
      <c r="D42" s="15" t="s">
        <v>77</v>
      </c>
      <c r="E42" s="13" t="s">
        <v>128</v>
      </c>
      <c r="F42" s="13" t="s">
        <v>333</v>
      </c>
      <c r="G42" s="13" t="s">
        <v>334</v>
      </c>
      <c r="H42" s="13" t="s">
        <v>335</v>
      </c>
      <c r="I42" s="13" t="s">
        <v>336</v>
      </c>
      <c r="J42" s="13" t="s">
        <v>337</v>
      </c>
      <c r="K42" s="13" t="s">
        <v>338</v>
      </c>
      <c r="L42" s="16"/>
      <c r="M42" s="17"/>
      <c r="N42" s="16"/>
      <c r="O42" s="18"/>
      <c r="P42" s="17"/>
      <c r="Q42" s="16"/>
    </row>
    <row r="43" spans="1:17" ht="39.6" customHeight="1" x14ac:dyDescent="0.3">
      <c r="A43" s="14" t="s">
        <v>339</v>
      </c>
      <c r="B43" s="13" t="s">
        <v>320</v>
      </c>
      <c r="C43" s="15" t="s">
        <v>48</v>
      </c>
      <c r="D43" s="15" t="s">
        <v>77</v>
      </c>
      <c r="E43" s="13" t="s">
        <v>128</v>
      </c>
      <c r="F43" s="13" t="s">
        <v>340</v>
      </c>
      <c r="G43" s="13" t="s">
        <v>341</v>
      </c>
      <c r="H43" s="13" t="s">
        <v>335</v>
      </c>
      <c r="I43" s="13" t="s">
        <v>342</v>
      </c>
      <c r="J43" s="13" t="s">
        <v>285</v>
      </c>
      <c r="K43" s="13" t="s">
        <v>343</v>
      </c>
      <c r="L43" s="16"/>
      <c r="M43" s="17"/>
      <c r="N43" s="16"/>
      <c r="O43" s="18"/>
      <c r="P43" s="17"/>
      <c r="Q43" s="16"/>
    </row>
    <row r="44" spans="1:17" ht="52.8" customHeight="1" x14ac:dyDescent="0.3">
      <c r="A44" s="14" t="s">
        <v>344</v>
      </c>
      <c r="B44" s="13" t="s">
        <v>54</v>
      </c>
      <c r="C44" s="15" t="s">
        <v>54</v>
      </c>
      <c r="D44" s="15" t="s">
        <v>77</v>
      </c>
      <c r="E44" s="13" t="s">
        <v>128</v>
      </c>
      <c r="F44" s="13" t="s">
        <v>109</v>
      </c>
      <c r="G44" s="13" t="s">
        <v>345</v>
      </c>
      <c r="H44" s="13" t="s">
        <v>346</v>
      </c>
      <c r="I44" s="13" t="s">
        <v>347</v>
      </c>
      <c r="J44" s="13" t="s">
        <v>53</v>
      </c>
      <c r="K44" s="13" t="s">
        <v>348</v>
      </c>
      <c r="L44" s="16"/>
      <c r="M44" s="17"/>
      <c r="N44" s="16"/>
      <c r="O44" s="18"/>
      <c r="P44" s="17"/>
      <c r="Q44" s="16"/>
    </row>
    <row r="45" spans="1:17" ht="52.8" customHeight="1" x14ac:dyDescent="0.3">
      <c r="A45" s="14" t="s">
        <v>349</v>
      </c>
      <c r="B45" s="13" t="s">
        <v>54</v>
      </c>
      <c r="C45" s="15" t="s">
        <v>54</v>
      </c>
      <c r="D45" s="15" t="s">
        <v>77</v>
      </c>
      <c r="E45" s="13" t="s">
        <v>78</v>
      </c>
      <c r="F45" s="13" t="s">
        <v>350</v>
      </c>
      <c r="G45" s="13" t="s">
        <v>351</v>
      </c>
      <c r="H45" s="13" t="s">
        <v>346</v>
      </c>
      <c r="I45" s="13" t="s">
        <v>352</v>
      </c>
      <c r="J45" s="13" t="s">
        <v>53</v>
      </c>
      <c r="K45" s="13" t="s">
        <v>353</v>
      </c>
      <c r="L45" s="16"/>
      <c r="M45" s="17"/>
      <c r="N45" s="16"/>
      <c r="O45" s="18"/>
      <c r="P45" s="17"/>
      <c r="Q45" s="16"/>
    </row>
    <row r="46" spans="1:17" ht="39.6" customHeight="1" x14ac:dyDescent="0.3">
      <c r="A46" s="14" t="s">
        <v>354</v>
      </c>
      <c r="B46" s="13" t="s">
        <v>355</v>
      </c>
      <c r="C46" s="15" t="s">
        <v>45</v>
      </c>
      <c r="D46" s="15" t="s">
        <v>77</v>
      </c>
      <c r="E46" s="13" t="s">
        <v>128</v>
      </c>
      <c r="F46" s="13" t="s">
        <v>356</v>
      </c>
      <c r="G46" s="13" t="s">
        <v>357</v>
      </c>
      <c r="H46" s="13" t="s">
        <v>358</v>
      </c>
      <c r="I46" s="13" t="s">
        <v>359</v>
      </c>
      <c r="J46" s="13" t="s">
        <v>360</v>
      </c>
      <c r="K46" s="13" t="s">
        <v>361</v>
      </c>
      <c r="L46" s="16"/>
      <c r="M46" s="17"/>
      <c r="N46" s="16"/>
      <c r="O46" s="18"/>
      <c r="P46" s="17"/>
      <c r="Q46" s="16"/>
    </row>
    <row r="47" spans="1:17" ht="52.8" customHeight="1" x14ac:dyDescent="0.3">
      <c r="A47" s="14" t="s">
        <v>362</v>
      </c>
      <c r="B47" s="13" t="s">
        <v>363</v>
      </c>
      <c r="C47" s="15" t="s">
        <v>45</v>
      </c>
      <c r="D47" s="15" t="s">
        <v>77</v>
      </c>
      <c r="E47" s="13" t="s">
        <v>128</v>
      </c>
      <c r="F47" s="13" t="s">
        <v>364</v>
      </c>
      <c r="G47" s="13" t="s">
        <v>365</v>
      </c>
      <c r="H47" s="13" t="s">
        <v>366</v>
      </c>
      <c r="I47" s="13" t="s">
        <v>367</v>
      </c>
      <c r="J47" s="13" t="s">
        <v>360</v>
      </c>
      <c r="K47" s="13" t="s">
        <v>368</v>
      </c>
      <c r="L47" s="16"/>
      <c r="M47" s="17"/>
      <c r="N47" s="16"/>
      <c r="O47" s="18"/>
      <c r="P47" s="17"/>
      <c r="Q47" s="16"/>
    </row>
    <row r="48" spans="1:17" ht="52.8" customHeight="1" x14ac:dyDescent="0.3">
      <c r="A48" s="14" t="s">
        <v>369</v>
      </c>
      <c r="B48" s="13" t="s">
        <v>363</v>
      </c>
      <c r="C48" s="15" t="s">
        <v>45</v>
      </c>
      <c r="D48" s="15" t="s">
        <v>77</v>
      </c>
      <c r="E48" s="13" t="s">
        <v>128</v>
      </c>
      <c r="F48" s="13" t="s">
        <v>370</v>
      </c>
      <c r="G48" s="13" t="s">
        <v>371</v>
      </c>
      <c r="H48" s="13" t="s">
        <v>372</v>
      </c>
      <c r="I48" s="13" t="s">
        <v>373</v>
      </c>
      <c r="J48" s="13" t="s">
        <v>374</v>
      </c>
      <c r="K48" s="13" t="s">
        <v>375</v>
      </c>
      <c r="L48" s="16"/>
      <c r="M48" s="17"/>
      <c r="N48" s="16"/>
      <c r="O48" s="18"/>
      <c r="P48" s="17"/>
      <c r="Q48" s="16"/>
    </row>
    <row r="49" spans="1:17" ht="52.8" customHeight="1" x14ac:dyDescent="0.3">
      <c r="A49" s="14" t="s">
        <v>376</v>
      </c>
      <c r="B49" s="13" t="s">
        <v>363</v>
      </c>
      <c r="C49" s="15" t="s">
        <v>48</v>
      </c>
      <c r="D49" s="15" t="s">
        <v>77</v>
      </c>
      <c r="E49" s="13" t="s">
        <v>128</v>
      </c>
      <c r="F49" s="13" t="s">
        <v>377</v>
      </c>
      <c r="G49" s="13" t="s">
        <v>378</v>
      </c>
      <c r="H49" s="13" t="s">
        <v>379</v>
      </c>
      <c r="I49" s="13" t="s">
        <v>380</v>
      </c>
      <c r="J49" s="13" t="s">
        <v>381</v>
      </c>
      <c r="K49" s="13" t="s">
        <v>382</v>
      </c>
      <c r="L49" s="16"/>
      <c r="M49" s="17"/>
      <c r="N49" s="16"/>
      <c r="O49" s="18"/>
      <c r="P49" s="17"/>
      <c r="Q49" s="16"/>
    </row>
    <row r="50" spans="1:17" ht="26.4" customHeight="1" x14ac:dyDescent="0.3">
      <c r="A50" s="14" t="s">
        <v>383</v>
      </c>
      <c r="B50" s="13" t="s">
        <v>363</v>
      </c>
      <c r="C50" s="15" t="s">
        <v>48</v>
      </c>
      <c r="D50" s="15" t="s">
        <v>77</v>
      </c>
      <c r="E50" s="13" t="s">
        <v>128</v>
      </c>
      <c r="F50" s="13" t="s">
        <v>377</v>
      </c>
      <c r="G50" s="13" t="s">
        <v>384</v>
      </c>
      <c r="H50" s="13" t="s">
        <v>385</v>
      </c>
      <c r="I50" s="13" t="s">
        <v>386</v>
      </c>
      <c r="J50" s="13" t="s">
        <v>387</v>
      </c>
      <c r="K50" s="13" t="s">
        <v>388</v>
      </c>
      <c r="L50" s="16"/>
      <c r="M50" s="17"/>
      <c r="N50" s="16"/>
      <c r="O50" s="18"/>
      <c r="P50" s="17"/>
      <c r="Q50" s="16"/>
    </row>
    <row r="51" spans="1:17" ht="39.6" customHeight="1" x14ac:dyDescent="0.3">
      <c r="A51" s="14" t="s">
        <v>389</v>
      </c>
      <c r="B51" s="13" t="s">
        <v>390</v>
      </c>
      <c r="C51" s="15" t="s">
        <v>45</v>
      </c>
      <c r="D51" s="15" t="s">
        <v>77</v>
      </c>
      <c r="E51" s="13" t="s">
        <v>128</v>
      </c>
      <c r="F51" s="13" t="s">
        <v>391</v>
      </c>
      <c r="G51" s="13" t="s">
        <v>392</v>
      </c>
      <c r="H51" s="13" t="s">
        <v>393</v>
      </c>
      <c r="I51" s="13" t="s">
        <v>394</v>
      </c>
      <c r="J51" s="13" t="s">
        <v>113</v>
      </c>
      <c r="K51" s="13" t="s">
        <v>395</v>
      </c>
      <c r="L51" s="16"/>
      <c r="M51" s="17"/>
      <c r="N51" s="16"/>
      <c r="O51" s="18"/>
      <c r="P51" s="17"/>
      <c r="Q51" s="16"/>
    </row>
    <row r="52" spans="1:17" ht="26.4" customHeight="1" x14ac:dyDescent="0.3">
      <c r="A52" s="14" t="s">
        <v>396</v>
      </c>
      <c r="B52" s="13" t="s">
        <v>397</v>
      </c>
      <c r="C52" s="15" t="s">
        <v>51</v>
      </c>
      <c r="D52" s="15" t="s">
        <v>77</v>
      </c>
      <c r="E52" s="13" t="s">
        <v>128</v>
      </c>
      <c r="F52" s="13" t="s">
        <v>288</v>
      </c>
      <c r="G52" s="13" t="s">
        <v>398</v>
      </c>
      <c r="H52" s="13" t="s">
        <v>399</v>
      </c>
      <c r="I52" s="13" t="s">
        <v>400</v>
      </c>
      <c r="J52" s="13" t="s">
        <v>113</v>
      </c>
      <c r="K52" s="13" t="s">
        <v>401</v>
      </c>
      <c r="L52" s="16"/>
      <c r="M52" s="17"/>
      <c r="N52" s="16"/>
      <c r="O52" s="18"/>
      <c r="P52" s="17"/>
      <c r="Q52" s="16"/>
    </row>
    <row r="53" spans="1:17" ht="52.8" customHeight="1" x14ac:dyDescent="0.3">
      <c r="A53" s="14" t="s">
        <v>402</v>
      </c>
      <c r="B53" s="13" t="s">
        <v>403</v>
      </c>
      <c r="C53" s="15" t="s">
        <v>76</v>
      </c>
      <c r="D53" s="15" t="s">
        <v>403</v>
      </c>
      <c r="E53" s="13" t="s">
        <v>404</v>
      </c>
      <c r="F53" s="13" t="s">
        <v>405</v>
      </c>
      <c r="G53" s="13" t="s">
        <v>406</v>
      </c>
      <c r="H53" s="13" t="s">
        <v>407</v>
      </c>
      <c r="I53" s="13" t="s">
        <v>408</v>
      </c>
      <c r="J53" s="13" t="s">
        <v>83</v>
      </c>
      <c r="K53" s="13" t="s">
        <v>409</v>
      </c>
      <c r="L53" s="16"/>
      <c r="M53" s="17" t="s">
        <v>30</v>
      </c>
      <c r="N53" s="16" t="s">
        <v>573</v>
      </c>
      <c r="O53" s="18">
        <v>46310</v>
      </c>
      <c r="P53" s="17"/>
      <c r="Q53" s="16"/>
    </row>
    <row r="54" spans="1:17" ht="26.4" customHeight="1" x14ac:dyDescent="0.3">
      <c r="A54" s="14" t="s">
        <v>410</v>
      </c>
      <c r="B54" s="13" t="s">
        <v>403</v>
      </c>
      <c r="C54" s="15" t="s">
        <v>51</v>
      </c>
      <c r="D54" s="15" t="s">
        <v>403</v>
      </c>
      <c r="E54" s="13" t="s">
        <v>128</v>
      </c>
      <c r="F54" s="13" t="s">
        <v>405</v>
      </c>
      <c r="G54" s="13" t="s">
        <v>411</v>
      </c>
      <c r="H54" s="13" t="s">
        <v>412</v>
      </c>
      <c r="I54" s="13" t="s">
        <v>413</v>
      </c>
      <c r="J54" s="13" t="s">
        <v>50</v>
      </c>
      <c r="K54" s="13" t="s">
        <v>414</v>
      </c>
      <c r="L54" s="16"/>
      <c r="M54" s="17" t="s">
        <v>30</v>
      </c>
      <c r="N54" s="16" t="s">
        <v>573</v>
      </c>
      <c r="O54" s="18">
        <v>46310</v>
      </c>
      <c r="P54" s="17"/>
      <c r="Q54" s="16"/>
    </row>
    <row r="55" spans="1:17" ht="26.4" customHeight="1" x14ac:dyDescent="0.3">
      <c r="A55" s="14" t="s">
        <v>415</v>
      </c>
      <c r="B55" s="13" t="s">
        <v>403</v>
      </c>
      <c r="C55" s="15" t="s">
        <v>48</v>
      </c>
      <c r="D55" s="15" t="s">
        <v>403</v>
      </c>
      <c r="E55" s="13" t="s">
        <v>128</v>
      </c>
      <c r="F55" s="13" t="s">
        <v>405</v>
      </c>
      <c r="G55" s="13" t="s">
        <v>416</v>
      </c>
      <c r="H55" s="13" t="s">
        <v>417</v>
      </c>
      <c r="I55" s="13" t="s">
        <v>418</v>
      </c>
      <c r="J55" s="13" t="s">
        <v>47</v>
      </c>
      <c r="K55" s="13" t="s">
        <v>419</v>
      </c>
      <c r="L55" s="16"/>
      <c r="M55" s="17" t="s">
        <v>30</v>
      </c>
      <c r="N55" s="16" t="s">
        <v>573</v>
      </c>
      <c r="O55" s="18">
        <v>46310</v>
      </c>
      <c r="P55" s="17"/>
      <c r="Q55" s="16"/>
    </row>
    <row r="56" spans="1:17" ht="26.4" customHeight="1" x14ac:dyDescent="0.3">
      <c r="A56" s="14" t="s">
        <v>420</v>
      </c>
      <c r="B56" s="13" t="s">
        <v>403</v>
      </c>
      <c r="C56" s="15" t="s">
        <v>48</v>
      </c>
      <c r="D56" s="15" t="s">
        <v>403</v>
      </c>
      <c r="E56" s="13" t="s">
        <v>128</v>
      </c>
      <c r="F56" s="13" t="s">
        <v>405</v>
      </c>
      <c r="G56" s="13" t="s">
        <v>421</v>
      </c>
      <c r="H56" s="13" t="s">
        <v>290</v>
      </c>
      <c r="I56" s="13" t="s">
        <v>422</v>
      </c>
      <c r="J56" s="13" t="s">
        <v>285</v>
      </c>
      <c r="K56" s="13" t="s">
        <v>423</v>
      </c>
      <c r="L56" s="16"/>
      <c r="M56" s="17" t="s">
        <v>30</v>
      </c>
      <c r="N56" s="16" t="s">
        <v>573</v>
      </c>
      <c r="O56" s="18">
        <v>46310</v>
      </c>
      <c r="P56" s="17"/>
      <c r="Q56" s="16"/>
    </row>
    <row r="57" spans="1:17" ht="39.6" customHeight="1" x14ac:dyDescent="0.3">
      <c r="A57" s="14" t="s">
        <v>424</v>
      </c>
      <c r="B57" s="13" t="s">
        <v>403</v>
      </c>
      <c r="C57" s="15" t="s">
        <v>45</v>
      </c>
      <c r="D57" s="15" t="s">
        <v>403</v>
      </c>
      <c r="E57" s="13" t="s">
        <v>128</v>
      </c>
      <c r="F57" s="13" t="s">
        <v>405</v>
      </c>
      <c r="G57" s="13" t="s">
        <v>425</v>
      </c>
      <c r="H57" s="13" t="s">
        <v>426</v>
      </c>
      <c r="I57" s="13" t="s">
        <v>427</v>
      </c>
      <c r="J57" s="13" t="s">
        <v>44</v>
      </c>
      <c r="K57" s="13" t="s">
        <v>428</v>
      </c>
      <c r="L57" s="16"/>
      <c r="M57" s="17" t="s">
        <v>30</v>
      </c>
      <c r="N57" s="16" t="s">
        <v>573</v>
      </c>
      <c r="O57" s="18">
        <v>46310</v>
      </c>
      <c r="P57" s="17"/>
      <c r="Q57" s="16"/>
    </row>
    <row r="58" spans="1:17" x14ac:dyDescent="0.3">
      <c r="A58" s="14" t="s">
        <v>429</v>
      </c>
      <c r="B58" s="13" t="s">
        <v>403</v>
      </c>
      <c r="C58" s="15" t="s">
        <v>54</v>
      </c>
      <c r="D58" s="15" t="s">
        <v>403</v>
      </c>
      <c r="E58" s="13" t="s">
        <v>78</v>
      </c>
      <c r="F58" s="13" t="s">
        <v>350</v>
      </c>
      <c r="G58" s="13" t="s">
        <v>430</v>
      </c>
      <c r="H58" s="13" t="s">
        <v>346</v>
      </c>
      <c r="I58" s="13" t="s">
        <v>431</v>
      </c>
      <c r="J58" s="13" t="s">
        <v>53</v>
      </c>
      <c r="K58" s="13" t="s">
        <v>432</v>
      </c>
      <c r="L58" s="16"/>
      <c r="M58" s="17" t="s">
        <v>30</v>
      </c>
      <c r="N58" s="16" t="s">
        <v>573</v>
      </c>
      <c r="O58" s="18">
        <v>46310</v>
      </c>
      <c r="P58" s="17"/>
      <c r="Q58" s="16"/>
    </row>
    <row r="59" spans="1:17" ht="39.6" customHeight="1" x14ac:dyDescent="0.3">
      <c r="A59" s="14" t="s">
        <v>433</v>
      </c>
      <c r="B59" s="13" t="s">
        <v>403</v>
      </c>
      <c r="C59" s="15" t="s">
        <v>76</v>
      </c>
      <c r="D59" s="15" t="s">
        <v>403</v>
      </c>
      <c r="E59" s="13" t="s">
        <v>434</v>
      </c>
      <c r="F59" s="13" t="s">
        <v>405</v>
      </c>
      <c r="G59" s="13" t="s">
        <v>435</v>
      </c>
      <c r="H59" s="13" t="s">
        <v>436</v>
      </c>
      <c r="I59" s="13" t="s">
        <v>437</v>
      </c>
      <c r="J59" s="13" t="s">
        <v>113</v>
      </c>
      <c r="K59" s="13" t="s">
        <v>438</v>
      </c>
      <c r="L59" s="16"/>
      <c r="M59" s="17" t="s">
        <v>30</v>
      </c>
      <c r="N59" s="16" t="s">
        <v>573</v>
      </c>
      <c r="O59" s="18">
        <v>46310</v>
      </c>
      <c r="P59" s="17"/>
      <c r="Q59" s="16"/>
    </row>
    <row r="60" spans="1:17" ht="26.4" customHeight="1" x14ac:dyDescent="0.3">
      <c r="A60" s="14" t="s">
        <v>439</v>
      </c>
      <c r="B60" s="13" t="s">
        <v>403</v>
      </c>
      <c r="C60" s="15" t="s">
        <v>76</v>
      </c>
      <c r="D60" s="15" t="s">
        <v>403</v>
      </c>
      <c r="E60" s="13" t="s">
        <v>128</v>
      </c>
      <c r="F60" s="13" t="s">
        <v>440</v>
      </c>
      <c r="G60" s="13" t="s">
        <v>441</v>
      </c>
      <c r="H60" s="13" t="s">
        <v>442</v>
      </c>
      <c r="I60" s="13" t="s">
        <v>443</v>
      </c>
      <c r="J60" s="13" t="s">
        <v>113</v>
      </c>
      <c r="K60" s="13" t="s">
        <v>444</v>
      </c>
      <c r="L60" s="16"/>
      <c r="M60" s="17" t="s">
        <v>30</v>
      </c>
      <c r="N60" s="16" t="s">
        <v>573</v>
      </c>
      <c r="O60" s="18">
        <v>46310</v>
      </c>
      <c r="P60" s="17"/>
      <c r="Q60" s="16"/>
    </row>
    <row r="61" spans="1:17" ht="26.4" customHeight="1" x14ac:dyDescent="0.3">
      <c r="A61" s="14" t="s">
        <v>445</v>
      </c>
      <c r="B61" s="13" t="s">
        <v>403</v>
      </c>
      <c r="C61" s="15" t="s">
        <v>76</v>
      </c>
      <c r="D61" s="15" t="s">
        <v>403</v>
      </c>
      <c r="E61" s="13" t="s">
        <v>78</v>
      </c>
      <c r="F61" s="13" t="s">
        <v>405</v>
      </c>
      <c r="G61" s="13" t="s">
        <v>446</v>
      </c>
      <c r="H61" s="13" t="s">
        <v>111</v>
      </c>
      <c r="I61" s="13" t="s">
        <v>447</v>
      </c>
      <c r="J61" s="13" t="s">
        <v>448</v>
      </c>
      <c r="K61" s="13" t="s">
        <v>449</v>
      </c>
      <c r="L61" s="16"/>
      <c r="M61" s="17" t="s">
        <v>30</v>
      </c>
      <c r="N61" s="16" t="s">
        <v>573</v>
      </c>
      <c r="O61" s="18">
        <v>46310</v>
      </c>
      <c r="P61" s="17"/>
      <c r="Q61" s="16"/>
    </row>
    <row r="62" spans="1:17" ht="26.4" customHeight="1" x14ac:dyDescent="0.3">
      <c r="A62" s="14" t="s">
        <v>450</v>
      </c>
      <c r="B62" s="13" t="s">
        <v>451</v>
      </c>
      <c r="C62" s="15" t="s">
        <v>51</v>
      </c>
      <c r="D62" s="15" t="s">
        <v>77</v>
      </c>
      <c r="E62" s="13" t="s">
        <v>452</v>
      </c>
      <c r="F62" s="13" t="s">
        <v>67</v>
      </c>
      <c r="G62" s="13" t="s">
        <v>453</v>
      </c>
      <c r="H62" s="13" t="s">
        <v>454</v>
      </c>
      <c r="I62" s="13" t="s">
        <v>455</v>
      </c>
      <c r="J62" s="13" t="s">
        <v>214</v>
      </c>
      <c r="K62" s="13" t="s">
        <v>456</v>
      </c>
      <c r="L62" s="16"/>
      <c r="M62" s="17"/>
      <c r="N62" s="16"/>
      <c r="O62" s="18"/>
      <c r="P62" s="17"/>
      <c r="Q62" s="16"/>
    </row>
    <row r="63" spans="1:17" ht="39.6" customHeight="1" x14ac:dyDescent="0.3">
      <c r="A63" s="14" t="s">
        <v>457</v>
      </c>
      <c r="B63" s="13" t="s">
        <v>451</v>
      </c>
      <c r="C63" s="15" t="s">
        <v>45</v>
      </c>
      <c r="D63" s="15" t="s">
        <v>77</v>
      </c>
      <c r="E63" s="13" t="s">
        <v>452</v>
      </c>
      <c r="F63" s="13" t="s">
        <v>67</v>
      </c>
      <c r="G63" s="13" t="s">
        <v>458</v>
      </c>
      <c r="H63" s="13" t="s">
        <v>111</v>
      </c>
      <c r="I63" s="13" t="s">
        <v>459</v>
      </c>
      <c r="J63" s="13" t="s">
        <v>113</v>
      </c>
      <c r="K63" s="13" t="s">
        <v>460</v>
      </c>
      <c r="L63" s="16"/>
      <c r="M63" s="17"/>
      <c r="N63" s="16"/>
      <c r="O63" s="18"/>
      <c r="P63" s="17"/>
      <c r="Q63" s="16"/>
    </row>
    <row r="64" spans="1:17" ht="26.4" customHeight="1" x14ac:dyDescent="0.3">
      <c r="A64" s="14" t="s">
        <v>461</v>
      </c>
      <c r="B64" s="13" t="s">
        <v>404</v>
      </c>
      <c r="C64" s="15" t="s">
        <v>76</v>
      </c>
      <c r="D64" s="15" t="s">
        <v>77</v>
      </c>
      <c r="E64" s="13" t="s">
        <v>404</v>
      </c>
      <c r="F64" s="13" t="s">
        <v>67</v>
      </c>
      <c r="G64" s="13" t="s">
        <v>462</v>
      </c>
      <c r="H64" s="13" t="s">
        <v>463</v>
      </c>
      <c r="I64" s="13" t="s">
        <v>464</v>
      </c>
      <c r="J64" s="13" t="s">
        <v>113</v>
      </c>
      <c r="K64" s="13" t="s">
        <v>465</v>
      </c>
      <c r="L64" s="16"/>
      <c r="M64" s="17" t="s">
        <v>30</v>
      </c>
      <c r="N64" s="16" t="s">
        <v>573</v>
      </c>
      <c r="O64" s="18">
        <v>46310</v>
      </c>
      <c r="P64" s="17"/>
      <c r="Q64" s="16"/>
    </row>
    <row r="65" spans="1:17" ht="26.4" customHeight="1" x14ac:dyDescent="0.3">
      <c r="A65" s="14" t="s">
        <v>466</v>
      </c>
      <c r="B65" s="13" t="s">
        <v>404</v>
      </c>
      <c r="C65" s="15" t="s">
        <v>76</v>
      </c>
      <c r="D65" s="15" t="s">
        <v>77</v>
      </c>
      <c r="E65" s="13" t="s">
        <v>404</v>
      </c>
      <c r="F65" s="13" t="s">
        <v>67</v>
      </c>
      <c r="G65" s="13" t="s">
        <v>467</v>
      </c>
      <c r="H65" s="13" t="s">
        <v>468</v>
      </c>
      <c r="I65" s="13" t="s">
        <v>469</v>
      </c>
      <c r="J65" s="13" t="s">
        <v>113</v>
      </c>
      <c r="K65" s="13" t="s">
        <v>470</v>
      </c>
      <c r="L65" s="16"/>
      <c r="M65" s="17" t="s">
        <v>30</v>
      </c>
      <c r="N65" s="16" t="s">
        <v>573</v>
      </c>
      <c r="O65" s="18">
        <v>46310</v>
      </c>
      <c r="P65" s="17"/>
      <c r="Q65" s="16"/>
    </row>
    <row r="66" spans="1:17" ht="26.4" customHeight="1" x14ac:dyDescent="0.3">
      <c r="A66" s="14" t="s">
        <v>471</v>
      </c>
      <c r="B66" s="13" t="s">
        <v>90</v>
      </c>
      <c r="C66" s="15" t="s">
        <v>76</v>
      </c>
      <c r="D66" s="15" t="s">
        <v>77</v>
      </c>
      <c r="E66" s="13" t="s">
        <v>90</v>
      </c>
      <c r="F66" s="13" t="s">
        <v>67</v>
      </c>
      <c r="G66" s="13" t="s">
        <v>472</v>
      </c>
      <c r="H66" s="13" t="s">
        <v>473</v>
      </c>
      <c r="I66" s="13" t="s">
        <v>474</v>
      </c>
      <c r="J66" s="13" t="s">
        <v>113</v>
      </c>
      <c r="K66" s="13" t="s">
        <v>475</v>
      </c>
      <c r="L66" s="16"/>
      <c r="M66" s="17" t="s">
        <v>30</v>
      </c>
      <c r="N66" s="16" t="s">
        <v>573</v>
      </c>
      <c r="O66" s="18">
        <v>46310</v>
      </c>
      <c r="P66" s="17"/>
      <c r="Q66" s="16"/>
    </row>
    <row r="67" spans="1:17" ht="26.4" customHeight="1" x14ac:dyDescent="0.3">
      <c r="A67" s="14" t="s">
        <v>476</v>
      </c>
      <c r="B67" s="13" t="s">
        <v>90</v>
      </c>
      <c r="C67" s="15" t="s">
        <v>76</v>
      </c>
      <c r="D67" s="15" t="s">
        <v>77</v>
      </c>
      <c r="E67" s="13" t="s">
        <v>90</v>
      </c>
      <c r="F67" s="13" t="s">
        <v>67</v>
      </c>
      <c r="G67" s="13" t="s">
        <v>477</v>
      </c>
      <c r="H67" s="13" t="s">
        <v>478</v>
      </c>
      <c r="I67" s="13" t="s">
        <v>479</v>
      </c>
      <c r="J67" s="13" t="s">
        <v>113</v>
      </c>
      <c r="K67" s="13" t="s">
        <v>480</v>
      </c>
      <c r="L67" s="16"/>
      <c r="M67" s="17" t="s">
        <v>30</v>
      </c>
      <c r="N67" s="16" t="s">
        <v>573</v>
      </c>
      <c r="O67" s="18">
        <v>46310</v>
      </c>
      <c r="P67" s="17"/>
      <c r="Q67" s="16"/>
    </row>
    <row r="68" spans="1:17" ht="26.4" customHeight="1" x14ac:dyDescent="0.3">
      <c r="A68" s="14" t="s">
        <v>481</v>
      </c>
      <c r="B68" s="13" t="s">
        <v>78</v>
      </c>
      <c r="C68" s="15" t="s">
        <v>76</v>
      </c>
      <c r="D68" s="15" t="s">
        <v>77</v>
      </c>
      <c r="E68" s="13" t="s">
        <v>78</v>
      </c>
      <c r="F68" s="13" t="s">
        <v>67</v>
      </c>
      <c r="G68" s="13" t="s">
        <v>482</v>
      </c>
      <c r="H68" s="13" t="s">
        <v>111</v>
      </c>
      <c r="I68" s="13" t="s">
        <v>483</v>
      </c>
      <c r="J68" s="13" t="s">
        <v>113</v>
      </c>
      <c r="K68" s="13" t="s">
        <v>484</v>
      </c>
      <c r="L68" s="16"/>
      <c r="M68" s="17"/>
      <c r="N68" s="16"/>
      <c r="O68" s="18"/>
      <c r="P68" s="17"/>
      <c r="Q68" s="16"/>
    </row>
    <row r="69" spans="1:17" ht="39.6" customHeight="1" x14ac:dyDescent="0.3">
      <c r="A69" s="14" t="s">
        <v>485</v>
      </c>
      <c r="B69" s="13" t="s">
        <v>209</v>
      </c>
      <c r="C69" s="15" t="s">
        <v>51</v>
      </c>
      <c r="D69" s="15" t="s">
        <v>77</v>
      </c>
      <c r="E69" s="13" t="s">
        <v>128</v>
      </c>
      <c r="F69" s="13" t="s">
        <v>486</v>
      </c>
      <c r="G69" s="13" t="s">
        <v>487</v>
      </c>
      <c r="H69" s="13" t="s">
        <v>488</v>
      </c>
      <c r="I69" s="13" t="s">
        <v>489</v>
      </c>
      <c r="J69" s="13" t="s">
        <v>490</v>
      </c>
      <c r="K69" s="13" t="s">
        <v>491</v>
      </c>
      <c r="L69" s="16"/>
      <c r="M69" s="17"/>
      <c r="N69" s="16"/>
      <c r="O69" s="18"/>
      <c r="P69" s="17"/>
      <c r="Q69" s="16"/>
    </row>
    <row r="70" spans="1:17" ht="79.2" customHeight="1" x14ac:dyDescent="0.3">
      <c r="A70" s="14" t="s">
        <v>492</v>
      </c>
      <c r="B70" s="13" t="s">
        <v>363</v>
      </c>
      <c r="C70" s="15" t="s">
        <v>45</v>
      </c>
      <c r="D70" s="15" t="s">
        <v>77</v>
      </c>
      <c r="E70" s="13" t="s">
        <v>128</v>
      </c>
      <c r="F70" s="13" t="s">
        <v>493</v>
      </c>
      <c r="G70" s="13" t="s">
        <v>494</v>
      </c>
      <c r="H70" s="13" t="s">
        <v>495</v>
      </c>
      <c r="I70" s="13" t="s">
        <v>496</v>
      </c>
      <c r="J70" s="13" t="s">
        <v>497</v>
      </c>
      <c r="K70" s="13" t="s">
        <v>498</v>
      </c>
      <c r="L70" s="16"/>
      <c r="M70" s="17"/>
      <c r="N70" s="16"/>
      <c r="O70" s="18"/>
      <c r="P70" s="17"/>
      <c r="Q70" s="16"/>
    </row>
    <row r="71" spans="1:17" ht="92.4" customHeight="1" x14ac:dyDescent="0.3">
      <c r="A71" s="14" t="s">
        <v>499</v>
      </c>
      <c r="B71" s="13" t="s">
        <v>363</v>
      </c>
      <c r="C71" s="15" t="s">
        <v>48</v>
      </c>
      <c r="D71" s="15" t="s">
        <v>77</v>
      </c>
      <c r="E71" s="13" t="s">
        <v>128</v>
      </c>
      <c r="F71" s="13" t="s">
        <v>377</v>
      </c>
      <c r="G71" s="13" t="s">
        <v>500</v>
      </c>
      <c r="H71" s="13" t="s">
        <v>501</v>
      </c>
      <c r="I71" s="13" t="s">
        <v>502</v>
      </c>
      <c r="J71" s="13" t="s">
        <v>503</v>
      </c>
      <c r="K71" s="13" t="s">
        <v>504</v>
      </c>
      <c r="L71" s="16"/>
      <c r="M71" s="17"/>
      <c r="N71" s="16"/>
      <c r="O71" s="18"/>
      <c r="P71" s="17"/>
      <c r="Q71" s="16"/>
    </row>
    <row r="72" spans="1:17" ht="52.8" customHeight="1" x14ac:dyDescent="0.3">
      <c r="A72" s="14" t="s">
        <v>505</v>
      </c>
      <c r="B72" s="13" t="s">
        <v>363</v>
      </c>
      <c r="C72" s="15" t="s">
        <v>48</v>
      </c>
      <c r="D72" s="15" t="s">
        <v>77</v>
      </c>
      <c r="E72" s="13" t="s">
        <v>78</v>
      </c>
      <c r="F72" s="13" t="s">
        <v>377</v>
      </c>
      <c r="G72" s="13" t="s">
        <v>506</v>
      </c>
      <c r="H72" s="13" t="s">
        <v>507</v>
      </c>
      <c r="I72" s="13" t="s">
        <v>508</v>
      </c>
      <c r="J72" s="13" t="s">
        <v>509</v>
      </c>
      <c r="K72" s="13" t="s">
        <v>510</v>
      </c>
      <c r="L72" s="16"/>
      <c r="M72" s="17"/>
      <c r="N72" s="16"/>
      <c r="O72" s="18"/>
      <c r="P72" s="17"/>
      <c r="Q72" s="16"/>
    </row>
    <row r="73" spans="1:17" ht="52.8" customHeight="1" x14ac:dyDescent="0.3">
      <c r="A73" s="14" t="s">
        <v>511</v>
      </c>
      <c r="B73" s="13" t="s">
        <v>145</v>
      </c>
      <c r="C73" s="15" t="s">
        <v>45</v>
      </c>
      <c r="D73" s="15" t="s">
        <v>77</v>
      </c>
      <c r="E73" s="13" t="s">
        <v>128</v>
      </c>
      <c r="F73" s="13" t="s">
        <v>512</v>
      </c>
      <c r="G73" s="13" t="s">
        <v>513</v>
      </c>
      <c r="H73" s="13" t="s">
        <v>186</v>
      </c>
      <c r="I73" s="13" t="s">
        <v>514</v>
      </c>
      <c r="J73" s="13" t="s">
        <v>515</v>
      </c>
      <c r="K73" s="13" t="s">
        <v>516</v>
      </c>
      <c r="L73" s="16"/>
      <c r="M73" s="17"/>
      <c r="N73" s="16"/>
      <c r="O73" s="18"/>
      <c r="P73" s="17"/>
      <c r="Q73" s="16"/>
    </row>
    <row r="74" spans="1:17" ht="66" customHeight="1" x14ac:dyDescent="0.3">
      <c r="A74" s="14" t="s">
        <v>517</v>
      </c>
      <c r="B74" s="13" t="s">
        <v>518</v>
      </c>
      <c r="C74" s="15" t="s">
        <v>54</v>
      </c>
      <c r="D74" s="15" t="s">
        <v>77</v>
      </c>
      <c r="E74" s="13" t="s">
        <v>128</v>
      </c>
      <c r="F74" s="13" t="s">
        <v>519</v>
      </c>
      <c r="G74" s="13" t="s">
        <v>520</v>
      </c>
      <c r="H74" s="13" t="s">
        <v>521</v>
      </c>
      <c r="I74" s="13" t="s">
        <v>522</v>
      </c>
      <c r="J74" s="13" t="s">
        <v>523</v>
      </c>
      <c r="K74" s="13" t="s">
        <v>524</v>
      </c>
      <c r="L74" s="16"/>
      <c r="M74" s="17"/>
      <c r="N74" s="16"/>
      <c r="O74" s="18"/>
      <c r="P74" s="17"/>
      <c r="Q74" s="16"/>
    </row>
    <row r="75" spans="1:17" ht="52.8" customHeight="1" x14ac:dyDescent="0.3">
      <c r="A75" s="14" t="s">
        <v>525</v>
      </c>
      <c r="B75" s="13" t="s">
        <v>518</v>
      </c>
      <c r="C75" s="15" t="s">
        <v>54</v>
      </c>
      <c r="D75" s="15" t="s">
        <v>77</v>
      </c>
      <c r="E75" s="13" t="s">
        <v>78</v>
      </c>
      <c r="F75" s="13" t="s">
        <v>512</v>
      </c>
      <c r="G75" s="13" t="s">
        <v>526</v>
      </c>
      <c r="H75" s="13" t="s">
        <v>527</v>
      </c>
      <c r="I75" s="13" t="s">
        <v>528</v>
      </c>
      <c r="J75" s="13" t="s">
        <v>529</v>
      </c>
      <c r="K75" s="13" t="s">
        <v>530</v>
      </c>
      <c r="L75" s="16"/>
      <c r="M75" s="17"/>
      <c r="N75" s="16"/>
      <c r="O75" s="18"/>
      <c r="P75" s="17"/>
      <c r="Q75" s="16"/>
    </row>
    <row r="76" spans="1:17" ht="66" customHeight="1" x14ac:dyDescent="0.3">
      <c r="A76" s="14" t="s">
        <v>531</v>
      </c>
      <c r="B76" s="13" t="s">
        <v>145</v>
      </c>
      <c r="C76" s="15" t="s">
        <v>45</v>
      </c>
      <c r="D76" s="15" t="s">
        <v>77</v>
      </c>
      <c r="E76" s="13" t="s">
        <v>128</v>
      </c>
      <c r="F76" s="13" t="s">
        <v>512</v>
      </c>
      <c r="G76" s="13" t="s">
        <v>532</v>
      </c>
      <c r="H76" s="13" t="s">
        <v>533</v>
      </c>
      <c r="I76" s="13" t="s">
        <v>534</v>
      </c>
      <c r="J76" s="13" t="s">
        <v>535</v>
      </c>
      <c r="K76" s="13" t="s">
        <v>536</v>
      </c>
      <c r="L76" s="16"/>
      <c r="M76" s="17"/>
      <c r="N76" s="16"/>
      <c r="O76" s="18"/>
      <c r="P76" s="17"/>
      <c r="Q76" s="16"/>
    </row>
    <row r="77" spans="1:17" ht="105.6" customHeight="1" x14ac:dyDescent="0.3">
      <c r="A77" s="14" t="s">
        <v>537</v>
      </c>
      <c r="B77" s="13" t="s">
        <v>75</v>
      </c>
      <c r="C77" s="15" t="s">
        <v>76</v>
      </c>
      <c r="D77" s="15" t="s">
        <v>77</v>
      </c>
      <c r="E77" s="13" t="s">
        <v>78</v>
      </c>
      <c r="F77" s="13" t="s">
        <v>512</v>
      </c>
      <c r="G77" s="13" t="s">
        <v>538</v>
      </c>
      <c r="H77" s="13" t="s">
        <v>539</v>
      </c>
      <c r="I77" s="13" t="s">
        <v>540</v>
      </c>
      <c r="J77" s="13" t="s">
        <v>156</v>
      </c>
      <c r="K77" s="13" t="s">
        <v>541</v>
      </c>
      <c r="L77" s="16"/>
      <c r="M77" s="17"/>
      <c r="N77" s="16"/>
      <c r="O77" s="18"/>
      <c r="P77" s="17"/>
      <c r="Q77" s="16"/>
    </row>
  </sheetData>
  <autoFilter ref="A1:Q68" xr:uid="{00000000-0009-0000-0000-000001000000}"/>
  <conditionalFormatting sqref="M2:M68">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"Not Run"</formula>
    </cfRule>
  </conditionalFormatting>
  <dataValidations count="2">
    <dataValidation type="list" allowBlank="1" errorTitle="Status" error="Choose Pass, Fail, Blocked or Not Run." sqref="M2:M77" xr:uid="{00000000-0002-0000-0100-000000000000}">
      <formula1>"Pass,Fail,Blocked,Not Run"</formula1>
    </dataValidation>
    <dataValidation type="date" operator="greaterThan" allowBlank="1" error="Enter a date (YYYY-MM-DD)." sqref="O2:O77" xr:uid="{00000000-0002-0000-0100-000001000000}">
      <formula1>DATE(2026,1,1)</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8"/>
  <sheetViews>
    <sheetView showGridLines="0" workbookViewId="0"/>
  </sheetViews>
  <sheetFormatPr defaultRowHeight="14.4" x14ac:dyDescent="0.3"/>
  <cols>
    <col min="1" max="1" width="30" customWidth="1"/>
    <col min="2" max="7" width="11" customWidth="1"/>
  </cols>
  <sheetData>
    <row r="1" spans="1:7" ht="21" customHeight="1" x14ac:dyDescent="0.4">
      <c r="A1" s="1" t="s">
        <v>542</v>
      </c>
    </row>
    <row r="2" spans="1:7" x14ac:dyDescent="0.3">
      <c r="A2" s="2" t="s">
        <v>543</v>
      </c>
    </row>
    <row r="4" spans="1:7" x14ac:dyDescent="0.3">
      <c r="A4" s="19" t="s">
        <v>544</v>
      </c>
    </row>
    <row r="5" spans="1:7" x14ac:dyDescent="0.3">
      <c r="A5" s="9" t="s">
        <v>545</v>
      </c>
      <c r="B5" s="20">
        <f>COUNTA('Test Cases'!$A$2:$A$77)</f>
        <v>76</v>
      </c>
    </row>
    <row r="6" spans="1:7" x14ac:dyDescent="0.3">
      <c r="A6" s="9" t="s">
        <v>30</v>
      </c>
      <c r="B6" s="20">
        <f>COUNTIF('Test Cases'!$M$2:$M$77,"Pass")</f>
        <v>13</v>
      </c>
    </row>
    <row r="7" spans="1:7" x14ac:dyDescent="0.3">
      <c r="A7" s="9" t="s">
        <v>546</v>
      </c>
      <c r="B7" s="20">
        <f>COUNTIF('Test Cases'!$M$2:$M$77,"Fail")</f>
        <v>0</v>
      </c>
    </row>
    <row r="8" spans="1:7" x14ac:dyDescent="0.3">
      <c r="A8" s="9" t="s">
        <v>547</v>
      </c>
      <c r="B8" s="20">
        <f>COUNTIF('Test Cases'!$M$2:$M$77,"Blocked")</f>
        <v>0</v>
      </c>
    </row>
    <row r="9" spans="1:7" x14ac:dyDescent="0.3">
      <c r="A9" s="9" t="s">
        <v>548</v>
      </c>
      <c r="B9" s="20">
        <f>B5-B6-B7-B8</f>
        <v>63</v>
      </c>
    </row>
    <row r="10" spans="1:7" x14ac:dyDescent="0.3">
      <c r="A10" s="9" t="s">
        <v>549</v>
      </c>
      <c r="B10" s="20">
        <f>B6+B7</f>
        <v>13</v>
      </c>
    </row>
    <row r="11" spans="1:7" x14ac:dyDescent="0.3">
      <c r="A11" s="9" t="s">
        <v>550</v>
      </c>
      <c r="B11" s="21">
        <f>IF(B10=0,"-",B6/B10)</f>
        <v>1</v>
      </c>
    </row>
    <row r="12" spans="1:7" x14ac:dyDescent="0.3">
      <c r="A12" s="9" t="s">
        <v>551</v>
      </c>
      <c r="B12" s="21">
        <f>IF(B5=0,"-",(B10+B8)/B5)</f>
        <v>0.17105263157894737</v>
      </c>
    </row>
    <row r="15" spans="1:7" x14ac:dyDescent="0.3">
      <c r="A15" s="19" t="s">
        <v>552</v>
      </c>
    </row>
    <row r="16" spans="1:7" x14ac:dyDescent="0.3">
      <c r="A16" s="11" t="s">
        <v>65</v>
      </c>
      <c r="B16" s="11" t="s">
        <v>553</v>
      </c>
      <c r="C16" s="11" t="s">
        <v>30</v>
      </c>
      <c r="D16" s="11" t="s">
        <v>546</v>
      </c>
      <c r="E16" s="11" t="s">
        <v>547</v>
      </c>
      <c r="F16" s="11" t="s">
        <v>554</v>
      </c>
      <c r="G16" s="11" t="s">
        <v>555</v>
      </c>
    </row>
    <row r="17" spans="1:7" x14ac:dyDescent="0.3">
      <c r="A17" s="12" t="s">
        <v>75</v>
      </c>
      <c r="B17" s="20">
        <f>COUNTIF('Test Cases'!$B$2:$B$77,A17)</f>
        <v>8</v>
      </c>
      <c r="C17" s="20">
        <f>COUNTIFS('Test Cases'!$B$2:$B$77,A17,'Test Cases'!$M$2:$M$77,"Pass")</f>
        <v>0</v>
      </c>
      <c r="D17" s="20">
        <f>COUNTIFS('Test Cases'!$B$2:$B$77,A17,'Test Cases'!$M$2:$M$77,"Fail")</f>
        <v>0</v>
      </c>
      <c r="E17" s="20">
        <f>COUNTIFS('Test Cases'!$B$2:$B$77,A17,'Test Cases'!$M$2:$M$77,"Blocked")</f>
        <v>0</v>
      </c>
      <c r="F17" s="20">
        <f t="shared" ref="F17:F38" si="0">B17-C17-D17-E17</f>
        <v>8</v>
      </c>
      <c r="G17" s="21" t="str">
        <f t="shared" ref="G17:G38" si="1">IF(C17+D17=0,"-",C17/(C17+D17))</f>
        <v>-</v>
      </c>
    </row>
    <row r="18" spans="1:7" x14ac:dyDescent="0.3">
      <c r="A18" s="12" t="s">
        <v>122</v>
      </c>
      <c r="B18" s="20">
        <f>COUNTIF('Test Cases'!$B$2:$B$77,A18)</f>
        <v>4</v>
      </c>
      <c r="C18" s="20">
        <f>COUNTIFS('Test Cases'!$B$2:$B$77,A18,'Test Cases'!$M$2:$M$77,"Pass")</f>
        <v>0</v>
      </c>
      <c r="D18" s="20">
        <f>COUNTIFS('Test Cases'!$B$2:$B$77,A18,'Test Cases'!$M$2:$M$77,"Fail")</f>
        <v>0</v>
      </c>
      <c r="E18" s="20">
        <f>COUNTIFS('Test Cases'!$B$2:$B$77,A18,'Test Cases'!$M$2:$M$77,"Blocked")</f>
        <v>0</v>
      </c>
      <c r="F18" s="20">
        <f t="shared" si="0"/>
        <v>4</v>
      </c>
      <c r="G18" s="21" t="str">
        <f t="shared" si="1"/>
        <v>-</v>
      </c>
    </row>
    <row r="19" spans="1:7" x14ac:dyDescent="0.3">
      <c r="A19" s="12" t="s">
        <v>145</v>
      </c>
      <c r="B19" s="20">
        <f>COUNTIF('Test Cases'!$B$2:$B$77,A19)</f>
        <v>7</v>
      </c>
      <c r="C19" s="20">
        <f>COUNTIFS('Test Cases'!$B$2:$B$77,A19,'Test Cases'!$M$2:$M$77,"Pass")</f>
        <v>0</v>
      </c>
      <c r="D19" s="20">
        <f>COUNTIFS('Test Cases'!$B$2:$B$77,A19,'Test Cases'!$M$2:$M$77,"Fail")</f>
        <v>0</v>
      </c>
      <c r="E19" s="20">
        <f>COUNTIFS('Test Cases'!$B$2:$B$77,A19,'Test Cases'!$M$2:$M$77,"Blocked")</f>
        <v>0</v>
      </c>
      <c r="F19" s="20">
        <f t="shared" si="0"/>
        <v>7</v>
      </c>
      <c r="G19" s="21" t="str">
        <f t="shared" si="1"/>
        <v>-</v>
      </c>
    </row>
    <row r="20" spans="1:7" x14ac:dyDescent="0.3">
      <c r="A20" s="12" t="s">
        <v>518</v>
      </c>
      <c r="B20" s="20">
        <f>COUNTIF('Test Cases'!$B$2:$B$77,A20)</f>
        <v>2</v>
      </c>
      <c r="C20" s="20">
        <f>COUNTIFS('Test Cases'!$B$2:$B$77,A20,'Test Cases'!$M$2:$M$77,"Pass")</f>
        <v>0</v>
      </c>
      <c r="D20" s="20">
        <f>COUNTIFS('Test Cases'!$B$2:$B$77,A20,'Test Cases'!$M$2:$M$77,"Fail")</f>
        <v>0</v>
      </c>
      <c r="E20" s="20">
        <f>COUNTIFS('Test Cases'!$B$2:$B$77,A20,'Test Cases'!$M$2:$M$77,"Blocked")</f>
        <v>0</v>
      </c>
      <c r="F20" s="20">
        <f t="shared" si="0"/>
        <v>2</v>
      </c>
      <c r="G20" s="21" t="str">
        <f t="shared" si="1"/>
        <v>-</v>
      </c>
    </row>
    <row r="21" spans="1:7" x14ac:dyDescent="0.3">
      <c r="A21" s="12" t="s">
        <v>177</v>
      </c>
      <c r="B21" s="20">
        <f>COUNTIF('Test Cases'!$B$2:$B$77,A21)</f>
        <v>4</v>
      </c>
      <c r="C21" s="20">
        <f>COUNTIFS('Test Cases'!$B$2:$B$77,A21,'Test Cases'!$M$2:$M$77,"Pass")</f>
        <v>0</v>
      </c>
      <c r="D21" s="20">
        <f>COUNTIFS('Test Cases'!$B$2:$B$77,A21,'Test Cases'!$M$2:$M$77,"Fail")</f>
        <v>0</v>
      </c>
      <c r="E21" s="20">
        <f>COUNTIFS('Test Cases'!$B$2:$B$77,A21,'Test Cases'!$M$2:$M$77,"Blocked")</f>
        <v>0</v>
      </c>
      <c r="F21" s="20">
        <f t="shared" si="0"/>
        <v>4</v>
      </c>
      <c r="G21" s="21" t="str">
        <f t="shared" si="1"/>
        <v>-</v>
      </c>
    </row>
    <row r="22" spans="1:7" x14ac:dyDescent="0.3">
      <c r="A22" s="12" t="s">
        <v>202</v>
      </c>
      <c r="B22" s="20">
        <f>COUNTIF('Test Cases'!$B$2:$B$77,A22)</f>
        <v>1</v>
      </c>
      <c r="C22" s="20">
        <f>COUNTIFS('Test Cases'!$B$2:$B$77,A22,'Test Cases'!$M$2:$M$77,"Pass")</f>
        <v>0</v>
      </c>
      <c r="D22" s="20">
        <f>COUNTIFS('Test Cases'!$B$2:$B$77,A22,'Test Cases'!$M$2:$M$77,"Fail")</f>
        <v>0</v>
      </c>
      <c r="E22" s="20">
        <f>COUNTIFS('Test Cases'!$B$2:$B$77,A22,'Test Cases'!$M$2:$M$77,"Blocked")</f>
        <v>0</v>
      </c>
      <c r="F22" s="20">
        <f t="shared" si="0"/>
        <v>1</v>
      </c>
      <c r="G22" s="21" t="str">
        <f t="shared" si="1"/>
        <v>-</v>
      </c>
    </row>
    <row r="23" spans="1:7" x14ac:dyDescent="0.3">
      <c r="A23" s="12" t="s">
        <v>209</v>
      </c>
      <c r="B23" s="20">
        <f>COUNTIF('Test Cases'!$B$2:$B$77,A23)</f>
        <v>7</v>
      </c>
      <c r="C23" s="20">
        <f>COUNTIFS('Test Cases'!$B$2:$B$77,A23,'Test Cases'!$M$2:$M$77,"Pass")</f>
        <v>0</v>
      </c>
      <c r="D23" s="20">
        <f>COUNTIFS('Test Cases'!$B$2:$B$77,A23,'Test Cases'!$M$2:$M$77,"Fail")</f>
        <v>0</v>
      </c>
      <c r="E23" s="20">
        <f>COUNTIFS('Test Cases'!$B$2:$B$77,A23,'Test Cases'!$M$2:$M$77,"Blocked")</f>
        <v>0</v>
      </c>
      <c r="F23" s="20">
        <f t="shared" si="0"/>
        <v>7</v>
      </c>
      <c r="G23" s="21" t="str">
        <f t="shared" si="1"/>
        <v>-</v>
      </c>
    </row>
    <row r="24" spans="1:7" x14ac:dyDescent="0.3">
      <c r="A24" s="12" t="s">
        <v>241</v>
      </c>
      <c r="B24" s="20">
        <f>COUNTIF('Test Cases'!$B$2:$B$77,A24)</f>
        <v>3</v>
      </c>
      <c r="C24" s="20">
        <f>COUNTIFS('Test Cases'!$B$2:$B$77,A24,'Test Cases'!$M$2:$M$77,"Pass")</f>
        <v>0</v>
      </c>
      <c r="D24" s="20">
        <f>COUNTIFS('Test Cases'!$B$2:$B$77,A24,'Test Cases'!$M$2:$M$77,"Fail")</f>
        <v>0</v>
      </c>
      <c r="E24" s="20">
        <f>COUNTIFS('Test Cases'!$B$2:$B$77,A24,'Test Cases'!$M$2:$M$77,"Blocked")</f>
        <v>0</v>
      </c>
      <c r="F24" s="20">
        <f t="shared" si="0"/>
        <v>3</v>
      </c>
      <c r="G24" s="21" t="str">
        <f t="shared" si="1"/>
        <v>-</v>
      </c>
    </row>
    <row r="25" spans="1:7" x14ac:dyDescent="0.3">
      <c r="A25" s="12" t="s">
        <v>268</v>
      </c>
      <c r="B25" s="20">
        <f>COUNTIF('Test Cases'!$B$2:$B$77,A25)</f>
        <v>4</v>
      </c>
      <c r="C25" s="20">
        <f>COUNTIFS('Test Cases'!$B$2:$B$77,A25,'Test Cases'!$M$2:$M$77,"Pass")</f>
        <v>0</v>
      </c>
      <c r="D25" s="20">
        <f>COUNTIFS('Test Cases'!$B$2:$B$77,A25,'Test Cases'!$M$2:$M$77,"Fail")</f>
        <v>0</v>
      </c>
      <c r="E25" s="20">
        <f>COUNTIFS('Test Cases'!$B$2:$B$77,A25,'Test Cases'!$M$2:$M$77,"Blocked")</f>
        <v>0</v>
      </c>
      <c r="F25" s="20">
        <f t="shared" si="0"/>
        <v>4</v>
      </c>
      <c r="G25" s="21" t="str">
        <f t="shared" si="1"/>
        <v>-</v>
      </c>
    </row>
    <row r="26" spans="1:7" x14ac:dyDescent="0.3">
      <c r="A26" s="12" t="s">
        <v>295</v>
      </c>
      <c r="B26" s="20">
        <f>COUNTIF('Test Cases'!$B$2:$B$77,A26)</f>
        <v>3</v>
      </c>
      <c r="C26" s="20">
        <f>COUNTIFS('Test Cases'!$B$2:$B$77,A26,'Test Cases'!$M$2:$M$77,"Pass")</f>
        <v>0</v>
      </c>
      <c r="D26" s="20">
        <f>COUNTIFS('Test Cases'!$B$2:$B$77,A26,'Test Cases'!$M$2:$M$77,"Fail")</f>
        <v>0</v>
      </c>
      <c r="E26" s="20">
        <f>COUNTIFS('Test Cases'!$B$2:$B$77,A26,'Test Cases'!$M$2:$M$77,"Blocked")</f>
        <v>0</v>
      </c>
      <c r="F26" s="20">
        <f t="shared" si="0"/>
        <v>3</v>
      </c>
      <c r="G26" s="21" t="str">
        <f t="shared" si="1"/>
        <v>-</v>
      </c>
    </row>
    <row r="27" spans="1:7" x14ac:dyDescent="0.3">
      <c r="A27" s="12" t="s">
        <v>313</v>
      </c>
      <c r="B27" s="20">
        <f>COUNTIF('Test Cases'!$B$2:$B$77,A27)</f>
        <v>1</v>
      </c>
      <c r="C27" s="20">
        <f>COUNTIFS('Test Cases'!$B$2:$B$77,A27,'Test Cases'!$M$2:$M$77,"Pass")</f>
        <v>0</v>
      </c>
      <c r="D27" s="20">
        <f>COUNTIFS('Test Cases'!$B$2:$B$77,A27,'Test Cases'!$M$2:$M$77,"Fail")</f>
        <v>0</v>
      </c>
      <c r="E27" s="20">
        <f>COUNTIFS('Test Cases'!$B$2:$B$77,A27,'Test Cases'!$M$2:$M$77,"Blocked")</f>
        <v>0</v>
      </c>
      <c r="F27" s="20">
        <f t="shared" si="0"/>
        <v>1</v>
      </c>
      <c r="G27" s="21" t="str">
        <f t="shared" si="1"/>
        <v>-</v>
      </c>
    </row>
    <row r="28" spans="1:7" x14ac:dyDescent="0.3">
      <c r="A28" s="12" t="s">
        <v>320</v>
      </c>
      <c r="B28" s="20">
        <f>COUNTIF('Test Cases'!$B$2:$B$77,A28)</f>
        <v>4</v>
      </c>
      <c r="C28" s="20">
        <f>COUNTIFS('Test Cases'!$B$2:$B$77,A28,'Test Cases'!$M$2:$M$77,"Pass")</f>
        <v>0</v>
      </c>
      <c r="D28" s="20">
        <f>COUNTIFS('Test Cases'!$B$2:$B$77,A28,'Test Cases'!$M$2:$M$77,"Fail")</f>
        <v>0</v>
      </c>
      <c r="E28" s="20">
        <f>COUNTIFS('Test Cases'!$B$2:$B$77,A28,'Test Cases'!$M$2:$M$77,"Blocked")</f>
        <v>0</v>
      </c>
      <c r="F28" s="20">
        <f t="shared" si="0"/>
        <v>4</v>
      </c>
      <c r="G28" s="21" t="str">
        <f t="shared" si="1"/>
        <v>-</v>
      </c>
    </row>
    <row r="29" spans="1:7" x14ac:dyDescent="0.3">
      <c r="A29" s="12" t="s">
        <v>54</v>
      </c>
      <c r="B29" s="20">
        <f>COUNTIF('Test Cases'!$B$2:$B$77,A29)</f>
        <v>2</v>
      </c>
      <c r="C29" s="20">
        <f>COUNTIFS('Test Cases'!$B$2:$B$77,A29,'Test Cases'!$M$2:$M$77,"Pass")</f>
        <v>0</v>
      </c>
      <c r="D29" s="20">
        <f>COUNTIFS('Test Cases'!$B$2:$B$77,A29,'Test Cases'!$M$2:$M$77,"Fail")</f>
        <v>0</v>
      </c>
      <c r="E29" s="20">
        <f>COUNTIFS('Test Cases'!$B$2:$B$77,A29,'Test Cases'!$M$2:$M$77,"Blocked")</f>
        <v>0</v>
      </c>
      <c r="F29" s="20">
        <f t="shared" si="0"/>
        <v>2</v>
      </c>
      <c r="G29" s="21" t="str">
        <f t="shared" si="1"/>
        <v>-</v>
      </c>
    </row>
    <row r="30" spans="1:7" x14ac:dyDescent="0.3">
      <c r="A30" s="12" t="s">
        <v>355</v>
      </c>
      <c r="B30" s="20">
        <f>COUNTIF('Test Cases'!$B$2:$B$77,A30)</f>
        <v>1</v>
      </c>
      <c r="C30" s="20">
        <f>COUNTIFS('Test Cases'!$B$2:$B$77,A30,'Test Cases'!$M$2:$M$77,"Pass")</f>
        <v>0</v>
      </c>
      <c r="D30" s="20">
        <f>COUNTIFS('Test Cases'!$B$2:$B$77,A30,'Test Cases'!$M$2:$M$77,"Fail")</f>
        <v>0</v>
      </c>
      <c r="E30" s="20">
        <f>COUNTIFS('Test Cases'!$B$2:$B$77,A30,'Test Cases'!$M$2:$M$77,"Blocked")</f>
        <v>0</v>
      </c>
      <c r="F30" s="20">
        <f t="shared" si="0"/>
        <v>1</v>
      </c>
      <c r="G30" s="21" t="str">
        <f t="shared" si="1"/>
        <v>-</v>
      </c>
    </row>
    <row r="31" spans="1:7" x14ac:dyDescent="0.3">
      <c r="A31" s="12" t="s">
        <v>363</v>
      </c>
      <c r="B31" s="20">
        <f>COUNTIF('Test Cases'!$B$2:$B$77,A31)</f>
        <v>7</v>
      </c>
      <c r="C31" s="20">
        <f>COUNTIFS('Test Cases'!$B$2:$B$77,A31,'Test Cases'!$M$2:$M$77,"Pass")</f>
        <v>0</v>
      </c>
      <c r="D31" s="20">
        <f>COUNTIFS('Test Cases'!$B$2:$B$77,A31,'Test Cases'!$M$2:$M$77,"Fail")</f>
        <v>0</v>
      </c>
      <c r="E31" s="20">
        <f>COUNTIFS('Test Cases'!$B$2:$B$77,A31,'Test Cases'!$M$2:$M$77,"Blocked")</f>
        <v>0</v>
      </c>
      <c r="F31" s="20">
        <f t="shared" si="0"/>
        <v>7</v>
      </c>
      <c r="G31" s="21" t="str">
        <f t="shared" si="1"/>
        <v>-</v>
      </c>
    </row>
    <row r="32" spans="1:7" x14ac:dyDescent="0.3">
      <c r="A32" s="12" t="s">
        <v>390</v>
      </c>
      <c r="B32" s="20">
        <f>COUNTIF('Test Cases'!$B$2:$B$77,A32)</f>
        <v>1</v>
      </c>
      <c r="C32" s="20">
        <f>COUNTIFS('Test Cases'!$B$2:$B$77,A32,'Test Cases'!$M$2:$M$77,"Pass")</f>
        <v>0</v>
      </c>
      <c r="D32" s="20">
        <f>COUNTIFS('Test Cases'!$B$2:$B$77,A32,'Test Cases'!$M$2:$M$77,"Fail")</f>
        <v>0</v>
      </c>
      <c r="E32" s="20">
        <f>COUNTIFS('Test Cases'!$B$2:$B$77,A32,'Test Cases'!$M$2:$M$77,"Blocked")</f>
        <v>0</v>
      </c>
      <c r="F32" s="20">
        <f t="shared" si="0"/>
        <v>1</v>
      </c>
      <c r="G32" s="21" t="str">
        <f t="shared" si="1"/>
        <v>-</v>
      </c>
    </row>
    <row r="33" spans="1:7" x14ac:dyDescent="0.3">
      <c r="A33" s="12" t="s">
        <v>397</v>
      </c>
      <c r="B33" s="20">
        <f>COUNTIF('Test Cases'!$B$2:$B$77,A33)</f>
        <v>1</v>
      </c>
      <c r="C33" s="20">
        <f>COUNTIFS('Test Cases'!$B$2:$B$77,A33,'Test Cases'!$M$2:$M$77,"Pass")</f>
        <v>0</v>
      </c>
      <c r="D33" s="20">
        <f>COUNTIFS('Test Cases'!$B$2:$B$77,A33,'Test Cases'!$M$2:$M$77,"Fail")</f>
        <v>0</v>
      </c>
      <c r="E33" s="20">
        <f>COUNTIFS('Test Cases'!$B$2:$B$77,A33,'Test Cases'!$M$2:$M$77,"Blocked")</f>
        <v>0</v>
      </c>
      <c r="F33" s="20">
        <f t="shared" si="0"/>
        <v>1</v>
      </c>
      <c r="G33" s="21" t="str">
        <f t="shared" si="1"/>
        <v>-</v>
      </c>
    </row>
    <row r="34" spans="1:7" x14ac:dyDescent="0.3">
      <c r="A34" s="12" t="s">
        <v>403</v>
      </c>
      <c r="B34" s="20">
        <f>COUNTIF('Test Cases'!$B$2:$B$77,A34)</f>
        <v>9</v>
      </c>
      <c r="C34" s="20">
        <f>COUNTIFS('Test Cases'!$B$2:$B$77,A34,'Test Cases'!$M$2:$M$77,"Pass")</f>
        <v>9</v>
      </c>
      <c r="D34" s="20">
        <f>COUNTIFS('Test Cases'!$B$2:$B$77,A34,'Test Cases'!$M$2:$M$77,"Fail")</f>
        <v>0</v>
      </c>
      <c r="E34" s="20">
        <f>COUNTIFS('Test Cases'!$B$2:$B$77,A34,'Test Cases'!$M$2:$M$77,"Blocked")</f>
        <v>0</v>
      </c>
      <c r="F34" s="20">
        <f t="shared" si="0"/>
        <v>0</v>
      </c>
      <c r="G34" s="21">
        <f t="shared" si="1"/>
        <v>1</v>
      </c>
    </row>
    <row r="35" spans="1:7" x14ac:dyDescent="0.3">
      <c r="A35" s="12" t="s">
        <v>451</v>
      </c>
      <c r="B35" s="20">
        <f>COUNTIF('Test Cases'!$B$2:$B$77,A35)</f>
        <v>2</v>
      </c>
      <c r="C35" s="20">
        <f>COUNTIFS('Test Cases'!$B$2:$B$77,A35,'Test Cases'!$M$2:$M$77,"Pass")</f>
        <v>0</v>
      </c>
      <c r="D35" s="20">
        <f>COUNTIFS('Test Cases'!$B$2:$B$77,A35,'Test Cases'!$M$2:$M$77,"Fail")</f>
        <v>0</v>
      </c>
      <c r="E35" s="20">
        <f>COUNTIFS('Test Cases'!$B$2:$B$77,A35,'Test Cases'!$M$2:$M$77,"Blocked")</f>
        <v>0</v>
      </c>
      <c r="F35" s="20">
        <f t="shared" si="0"/>
        <v>2</v>
      </c>
      <c r="G35" s="21" t="str">
        <f t="shared" si="1"/>
        <v>-</v>
      </c>
    </row>
    <row r="36" spans="1:7" x14ac:dyDescent="0.3">
      <c r="A36" s="12" t="s">
        <v>404</v>
      </c>
      <c r="B36" s="20">
        <f>COUNTIF('Test Cases'!$B$2:$B$77,A36)</f>
        <v>2</v>
      </c>
      <c r="C36" s="20">
        <f>COUNTIFS('Test Cases'!$B$2:$B$77,A36,'Test Cases'!$M$2:$M$77,"Pass")</f>
        <v>2</v>
      </c>
      <c r="D36" s="20">
        <f>COUNTIFS('Test Cases'!$B$2:$B$77,A36,'Test Cases'!$M$2:$M$77,"Fail")</f>
        <v>0</v>
      </c>
      <c r="E36" s="20">
        <f>COUNTIFS('Test Cases'!$B$2:$B$77,A36,'Test Cases'!$M$2:$M$77,"Blocked")</f>
        <v>0</v>
      </c>
      <c r="F36" s="20">
        <f t="shared" si="0"/>
        <v>0</v>
      </c>
      <c r="G36" s="21">
        <f t="shared" si="1"/>
        <v>1</v>
      </c>
    </row>
    <row r="37" spans="1:7" x14ac:dyDescent="0.3">
      <c r="A37" s="12" t="s">
        <v>90</v>
      </c>
      <c r="B37" s="20">
        <f>COUNTIF('Test Cases'!$B$2:$B$77,A37)</f>
        <v>2</v>
      </c>
      <c r="C37" s="20">
        <f>COUNTIFS('Test Cases'!$B$2:$B$77,A37,'Test Cases'!$M$2:$M$77,"Pass")</f>
        <v>2</v>
      </c>
      <c r="D37" s="20">
        <f>COUNTIFS('Test Cases'!$B$2:$B$77,A37,'Test Cases'!$M$2:$M$77,"Fail")</f>
        <v>0</v>
      </c>
      <c r="E37" s="20">
        <f>COUNTIFS('Test Cases'!$B$2:$B$77,A37,'Test Cases'!$M$2:$M$77,"Blocked")</f>
        <v>0</v>
      </c>
      <c r="F37" s="20">
        <f t="shared" si="0"/>
        <v>0</v>
      </c>
      <c r="G37" s="21">
        <f t="shared" si="1"/>
        <v>1</v>
      </c>
    </row>
    <row r="38" spans="1:7" x14ac:dyDescent="0.3">
      <c r="A38" s="12" t="s">
        <v>78</v>
      </c>
      <c r="B38" s="20">
        <f>COUNTIF('Test Cases'!$B$2:$B$77,A38)</f>
        <v>1</v>
      </c>
      <c r="C38" s="20">
        <f>COUNTIFS('Test Cases'!$B$2:$B$77,A38,'Test Cases'!$M$2:$M$77,"Pass")</f>
        <v>0</v>
      </c>
      <c r="D38" s="20">
        <f>COUNTIFS('Test Cases'!$B$2:$B$77,A38,'Test Cases'!$M$2:$M$77,"Fail")</f>
        <v>0</v>
      </c>
      <c r="E38" s="20">
        <f>COUNTIFS('Test Cases'!$B$2:$B$77,A38,'Test Cases'!$M$2:$M$77,"Blocked")</f>
        <v>0</v>
      </c>
      <c r="F38" s="20">
        <f t="shared" si="0"/>
        <v>1</v>
      </c>
      <c r="G38" s="21" t="str">
        <f t="shared" si="1"/>
        <v>-</v>
      </c>
    </row>
    <row r="41" spans="1:7" x14ac:dyDescent="0.3">
      <c r="A41" s="19" t="s">
        <v>556</v>
      </c>
    </row>
    <row r="42" spans="1:7" x14ac:dyDescent="0.3">
      <c r="A42" s="11" t="s">
        <v>557</v>
      </c>
      <c r="B42" s="11" t="s">
        <v>553</v>
      </c>
      <c r="C42" s="11" t="s">
        <v>30</v>
      </c>
      <c r="D42" s="11" t="s">
        <v>546</v>
      </c>
      <c r="E42" s="11" t="s">
        <v>547</v>
      </c>
      <c r="F42" s="11" t="s">
        <v>554</v>
      </c>
      <c r="G42" s="11" t="s">
        <v>555</v>
      </c>
    </row>
    <row r="43" spans="1:7" x14ac:dyDescent="0.3">
      <c r="A43" s="12" t="s">
        <v>78</v>
      </c>
      <c r="B43" s="20">
        <f>COUNTIF('Test Cases'!$E$2:$E$77,A43)</f>
        <v>19</v>
      </c>
      <c r="C43" s="20">
        <f>COUNTIFS('Test Cases'!$E$2:$E$77,A43,'Test Cases'!$M$2:$M$77,"Pass")</f>
        <v>2</v>
      </c>
      <c r="D43" s="20">
        <f>COUNTIFS('Test Cases'!$E$2:$E$77,A43,'Test Cases'!$M$2:$M$77,"Fail")</f>
        <v>0</v>
      </c>
      <c r="E43" s="20">
        <f>COUNTIFS('Test Cases'!$E$2:$E$77,A43,'Test Cases'!$M$2:$M$77,"Blocked")</f>
        <v>0</v>
      </c>
      <c r="F43" s="20">
        <f t="shared" ref="F43:F48" si="2">B43-C43-D43-E43</f>
        <v>17</v>
      </c>
      <c r="G43" s="21">
        <f t="shared" ref="G43:G48" si="3">IF(C43+D43=0,"-",C43/(C43+D43))</f>
        <v>1</v>
      </c>
    </row>
    <row r="44" spans="1:7" x14ac:dyDescent="0.3">
      <c r="A44" s="12" t="s">
        <v>90</v>
      </c>
      <c r="B44" s="20">
        <f>COUNTIF('Test Cases'!$E$2:$E$77,A44)</f>
        <v>4</v>
      </c>
      <c r="C44" s="20">
        <f>COUNTIFS('Test Cases'!$E$2:$E$77,A44,'Test Cases'!$M$2:$M$77,"Pass")</f>
        <v>2</v>
      </c>
      <c r="D44" s="20">
        <f>COUNTIFS('Test Cases'!$E$2:$E$77,A44,'Test Cases'!$M$2:$M$77,"Fail")</f>
        <v>0</v>
      </c>
      <c r="E44" s="20">
        <f>COUNTIFS('Test Cases'!$E$2:$E$77,A44,'Test Cases'!$M$2:$M$77,"Blocked")</f>
        <v>0</v>
      </c>
      <c r="F44" s="20">
        <f t="shared" si="2"/>
        <v>2</v>
      </c>
      <c r="G44" s="21">
        <f t="shared" si="3"/>
        <v>1</v>
      </c>
    </row>
    <row r="45" spans="1:7" x14ac:dyDescent="0.3">
      <c r="A45" s="12" t="s">
        <v>128</v>
      </c>
      <c r="B45" s="20">
        <f>COUNTIF('Test Cases'!$E$2:$E$77,A45)</f>
        <v>47</v>
      </c>
      <c r="C45" s="20">
        <f>COUNTIFS('Test Cases'!$E$2:$E$77,A45,'Test Cases'!$M$2:$M$77,"Pass")</f>
        <v>5</v>
      </c>
      <c r="D45" s="20">
        <f>COUNTIFS('Test Cases'!$E$2:$E$77,A45,'Test Cases'!$M$2:$M$77,"Fail")</f>
        <v>0</v>
      </c>
      <c r="E45" s="20">
        <f>COUNTIFS('Test Cases'!$E$2:$E$77,A45,'Test Cases'!$M$2:$M$77,"Blocked")</f>
        <v>0</v>
      </c>
      <c r="F45" s="20">
        <f t="shared" si="2"/>
        <v>42</v>
      </c>
      <c r="G45" s="21">
        <f t="shared" si="3"/>
        <v>1</v>
      </c>
    </row>
    <row r="46" spans="1:7" x14ac:dyDescent="0.3">
      <c r="A46" s="12" t="s">
        <v>404</v>
      </c>
      <c r="B46" s="20">
        <f>COUNTIF('Test Cases'!$E$2:$E$77,A46)</f>
        <v>3</v>
      </c>
      <c r="C46" s="20">
        <f>COUNTIFS('Test Cases'!$E$2:$E$77,A46,'Test Cases'!$M$2:$M$77,"Pass")</f>
        <v>3</v>
      </c>
      <c r="D46" s="20">
        <f>COUNTIFS('Test Cases'!$E$2:$E$77,A46,'Test Cases'!$M$2:$M$77,"Fail")</f>
        <v>0</v>
      </c>
      <c r="E46" s="20">
        <f>COUNTIFS('Test Cases'!$E$2:$E$77,A46,'Test Cases'!$M$2:$M$77,"Blocked")</f>
        <v>0</v>
      </c>
      <c r="F46" s="20">
        <f t="shared" si="2"/>
        <v>0</v>
      </c>
      <c r="G46" s="21">
        <f t="shared" si="3"/>
        <v>1</v>
      </c>
    </row>
    <row r="47" spans="1:7" x14ac:dyDescent="0.3">
      <c r="A47" s="12" t="s">
        <v>434</v>
      </c>
      <c r="B47" s="20">
        <f>COUNTIF('Test Cases'!$E$2:$E$77,A47)</f>
        <v>1</v>
      </c>
      <c r="C47" s="20">
        <f>COUNTIFS('Test Cases'!$E$2:$E$77,A47,'Test Cases'!$M$2:$M$77,"Pass")</f>
        <v>1</v>
      </c>
      <c r="D47" s="20">
        <f>COUNTIFS('Test Cases'!$E$2:$E$77,A47,'Test Cases'!$M$2:$M$77,"Fail")</f>
        <v>0</v>
      </c>
      <c r="E47" s="20">
        <f>COUNTIFS('Test Cases'!$E$2:$E$77,A47,'Test Cases'!$M$2:$M$77,"Blocked")</f>
        <v>0</v>
      </c>
      <c r="F47" s="20">
        <f t="shared" si="2"/>
        <v>0</v>
      </c>
      <c r="G47" s="21">
        <f t="shared" si="3"/>
        <v>1</v>
      </c>
    </row>
    <row r="48" spans="1:7" x14ac:dyDescent="0.3">
      <c r="A48" s="12" t="s">
        <v>452</v>
      </c>
      <c r="B48" s="20">
        <f>COUNTIF('Test Cases'!$E$2:$E$77,A48)</f>
        <v>2</v>
      </c>
      <c r="C48" s="20">
        <f>COUNTIFS('Test Cases'!$E$2:$E$77,A48,'Test Cases'!$M$2:$M$77,"Pass")</f>
        <v>0</v>
      </c>
      <c r="D48" s="20">
        <f>COUNTIFS('Test Cases'!$E$2:$E$77,A48,'Test Cases'!$M$2:$M$77,"Fail")</f>
        <v>0</v>
      </c>
      <c r="E48" s="20">
        <f>COUNTIFS('Test Cases'!$E$2:$E$77,A48,'Test Cases'!$M$2:$M$77,"Blocked")</f>
        <v>0</v>
      </c>
      <c r="F48" s="20">
        <f t="shared" si="2"/>
        <v>2</v>
      </c>
      <c r="G48" s="21" t="str">
        <f t="shared" si="3"/>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11" customWidth="1"/>
    <col min="4" max="4" width="30" customWidth="1"/>
    <col min="5" max="5" width="40" customWidth="1"/>
    <col min="6" max="7" width="28" customWidth="1"/>
    <col min="8" max="8" width="14" customWidth="1"/>
    <col min="9" max="10" width="12" customWidth="1"/>
    <col min="11" max="11" width="16" customWidth="1"/>
    <col min="12" max="12" width="12" customWidth="1"/>
    <col min="13" max="13" width="24" customWidth="1"/>
  </cols>
  <sheetData>
    <row r="1" spans="1:13" ht="30" customHeight="1" x14ac:dyDescent="0.3">
      <c r="A1" s="11" t="s">
        <v>35</v>
      </c>
      <c r="B1" s="11" t="s">
        <v>25</v>
      </c>
      <c r="C1" s="11" t="s">
        <v>558</v>
      </c>
      <c r="D1" s="11" t="s">
        <v>559</v>
      </c>
      <c r="E1" s="11" t="s">
        <v>560</v>
      </c>
      <c r="F1" s="11" t="s">
        <v>561</v>
      </c>
      <c r="G1" s="11" t="s">
        <v>562</v>
      </c>
      <c r="H1" s="11" t="s">
        <v>563</v>
      </c>
      <c r="I1" s="11" t="s">
        <v>564</v>
      </c>
      <c r="J1" s="11" t="s">
        <v>29</v>
      </c>
      <c r="K1" s="11" t="s">
        <v>565</v>
      </c>
      <c r="L1" s="11" t="s">
        <v>566</v>
      </c>
      <c r="M1" s="11" t="s">
        <v>37</v>
      </c>
    </row>
    <row r="2" spans="1:13" ht="92.4" x14ac:dyDescent="0.3">
      <c r="A2" s="14" t="s">
        <v>567</v>
      </c>
      <c r="B2" s="16" t="s">
        <v>152</v>
      </c>
      <c r="C2" s="16" t="s">
        <v>568</v>
      </c>
      <c r="D2" s="16" t="s">
        <v>569</v>
      </c>
      <c r="E2" s="16" t="s">
        <v>570</v>
      </c>
      <c r="F2" s="16" t="s">
        <v>571</v>
      </c>
      <c r="G2" s="16" t="s">
        <v>572</v>
      </c>
      <c r="H2" s="16" t="s">
        <v>573</v>
      </c>
      <c r="I2" s="22">
        <v>46315</v>
      </c>
      <c r="J2" s="16" t="s">
        <v>574</v>
      </c>
      <c r="K2" s="16" t="s">
        <v>575</v>
      </c>
      <c r="L2" s="16"/>
      <c r="M2" s="16" t="s">
        <v>576</v>
      </c>
    </row>
    <row r="3" spans="1:13" ht="105.6" x14ac:dyDescent="0.3">
      <c r="A3" s="14" t="s">
        <v>577</v>
      </c>
      <c r="B3" s="16" t="s">
        <v>208</v>
      </c>
      <c r="C3" s="16" t="s">
        <v>578</v>
      </c>
      <c r="D3" s="16" t="s">
        <v>579</v>
      </c>
      <c r="E3" s="16" t="s">
        <v>580</v>
      </c>
      <c r="F3" s="16" t="s">
        <v>581</v>
      </c>
      <c r="G3" s="16" t="s">
        <v>582</v>
      </c>
      <c r="H3" s="16" t="s">
        <v>573</v>
      </c>
      <c r="I3" s="22">
        <v>46317</v>
      </c>
      <c r="J3" s="16" t="s">
        <v>574</v>
      </c>
      <c r="K3" s="16" t="s">
        <v>583</v>
      </c>
      <c r="L3" s="16"/>
      <c r="M3" s="16" t="s">
        <v>584</v>
      </c>
    </row>
    <row r="4" spans="1:13" ht="132" x14ac:dyDescent="0.3">
      <c r="A4" s="14" t="s">
        <v>585</v>
      </c>
      <c r="B4" s="16" t="s">
        <v>457</v>
      </c>
      <c r="C4" s="16" t="s">
        <v>568</v>
      </c>
      <c r="D4" s="16" t="s">
        <v>586</v>
      </c>
      <c r="E4" s="16" t="s">
        <v>587</v>
      </c>
      <c r="F4" s="16" t="s">
        <v>588</v>
      </c>
      <c r="G4" s="16" t="s">
        <v>589</v>
      </c>
      <c r="H4" s="16" t="s">
        <v>573</v>
      </c>
      <c r="I4" s="22">
        <v>46317</v>
      </c>
      <c r="J4" s="16" t="s">
        <v>590</v>
      </c>
      <c r="K4" s="16" t="s">
        <v>583</v>
      </c>
      <c r="L4" s="16"/>
      <c r="M4" s="16" t="s">
        <v>591</v>
      </c>
    </row>
    <row r="5" spans="1:13" ht="118.8" x14ac:dyDescent="0.3">
      <c r="A5" s="14" t="s">
        <v>592</v>
      </c>
      <c r="B5" s="16" t="s">
        <v>471</v>
      </c>
      <c r="C5" s="16" t="s">
        <v>578</v>
      </c>
      <c r="D5" s="16" t="s">
        <v>593</v>
      </c>
      <c r="E5" s="16" t="s">
        <v>594</v>
      </c>
      <c r="F5" s="16" t="s">
        <v>595</v>
      </c>
      <c r="G5" s="16" t="s">
        <v>596</v>
      </c>
      <c r="H5" s="16" t="s">
        <v>573</v>
      </c>
      <c r="I5" s="22">
        <v>46317</v>
      </c>
      <c r="J5" s="16" t="s">
        <v>574</v>
      </c>
      <c r="K5" s="16" t="s">
        <v>583</v>
      </c>
      <c r="L5" s="16"/>
      <c r="M5" s="16" t="s">
        <v>597</v>
      </c>
    </row>
    <row r="6" spans="1:13" ht="66" x14ac:dyDescent="0.3">
      <c r="A6" s="14" t="s">
        <v>598</v>
      </c>
      <c r="B6" s="16" t="s">
        <v>319</v>
      </c>
      <c r="C6" s="16" t="s">
        <v>578</v>
      </c>
      <c r="D6" s="16" t="s">
        <v>599</v>
      </c>
      <c r="E6" s="16" t="s">
        <v>600</v>
      </c>
      <c r="F6" s="16" t="s">
        <v>601</v>
      </c>
      <c r="G6" s="16" t="s">
        <v>602</v>
      </c>
      <c r="H6" s="16" t="s">
        <v>573</v>
      </c>
      <c r="I6" s="22">
        <v>46317</v>
      </c>
      <c r="J6" s="16" t="s">
        <v>574</v>
      </c>
      <c r="K6" s="16" t="s">
        <v>603</v>
      </c>
      <c r="L6" s="16"/>
      <c r="M6" s="16" t="s">
        <v>604</v>
      </c>
    </row>
    <row r="7" spans="1:13" x14ac:dyDescent="0.3">
      <c r="A7" s="14" t="s">
        <v>605</v>
      </c>
      <c r="B7" s="16"/>
      <c r="C7" s="16"/>
      <c r="D7" s="16"/>
      <c r="E7" s="16"/>
      <c r="F7" s="16"/>
      <c r="G7" s="16"/>
      <c r="H7" s="16"/>
      <c r="I7" s="22"/>
      <c r="J7" s="16"/>
      <c r="K7" s="16"/>
      <c r="L7" s="16"/>
      <c r="M7" s="16"/>
    </row>
    <row r="8" spans="1:13" x14ac:dyDescent="0.3">
      <c r="A8" s="14" t="s">
        <v>606</v>
      </c>
      <c r="B8" s="16"/>
      <c r="C8" s="16"/>
      <c r="D8" s="16"/>
      <c r="E8" s="16"/>
      <c r="F8" s="16"/>
      <c r="G8" s="16"/>
      <c r="H8" s="16"/>
      <c r="I8" s="22"/>
      <c r="J8" s="16"/>
      <c r="K8" s="16"/>
      <c r="L8" s="16"/>
      <c r="M8" s="16"/>
    </row>
    <row r="9" spans="1:13" x14ac:dyDescent="0.3">
      <c r="A9" s="14" t="s">
        <v>607</v>
      </c>
      <c r="B9" s="16"/>
      <c r="C9" s="16"/>
      <c r="D9" s="16"/>
      <c r="E9" s="16"/>
      <c r="F9" s="16"/>
      <c r="G9" s="16"/>
      <c r="H9" s="16"/>
      <c r="I9" s="22"/>
      <c r="J9" s="16"/>
      <c r="K9" s="16"/>
      <c r="L9" s="16"/>
      <c r="M9" s="16"/>
    </row>
    <row r="10" spans="1:13" x14ac:dyDescent="0.3">
      <c r="A10" s="14" t="s">
        <v>608</v>
      </c>
      <c r="B10" s="16"/>
      <c r="C10" s="16"/>
      <c r="D10" s="16"/>
      <c r="E10" s="16"/>
      <c r="F10" s="16"/>
      <c r="G10" s="16"/>
      <c r="H10" s="16"/>
      <c r="I10" s="22"/>
      <c r="J10" s="16"/>
      <c r="K10" s="16"/>
      <c r="L10" s="16"/>
      <c r="M10" s="16"/>
    </row>
    <row r="11" spans="1:13" x14ac:dyDescent="0.3">
      <c r="A11" s="14" t="s">
        <v>609</v>
      </c>
      <c r="B11" s="16"/>
      <c r="C11" s="16"/>
      <c r="D11" s="16"/>
      <c r="E11" s="16"/>
      <c r="F11" s="16"/>
      <c r="G11" s="16"/>
      <c r="H11" s="16"/>
      <c r="I11" s="22"/>
      <c r="J11" s="16"/>
      <c r="K11" s="16"/>
      <c r="L11" s="16"/>
      <c r="M11" s="16"/>
    </row>
    <row r="12" spans="1:13" x14ac:dyDescent="0.3">
      <c r="A12" s="14" t="s">
        <v>610</v>
      </c>
      <c r="B12" s="16"/>
      <c r="C12" s="16"/>
      <c r="D12" s="16"/>
      <c r="E12" s="16"/>
      <c r="F12" s="16"/>
      <c r="G12" s="16"/>
      <c r="H12" s="16"/>
      <c r="I12" s="22"/>
      <c r="J12" s="16"/>
      <c r="K12" s="16"/>
      <c r="L12" s="16"/>
      <c r="M12" s="16"/>
    </row>
    <row r="13" spans="1:13" x14ac:dyDescent="0.3">
      <c r="A13" s="14" t="s">
        <v>611</v>
      </c>
      <c r="B13" s="16"/>
      <c r="C13" s="16"/>
      <c r="D13" s="16"/>
      <c r="E13" s="16"/>
      <c r="F13" s="16"/>
      <c r="G13" s="16"/>
      <c r="H13" s="16"/>
      <c r="I13" s="22"/>
      <c r="J13" s="16"/>
      <c r="K13" s="16"/>
      <c r="L13" s="16"/>
      <c r="M13" s="16"/>
    </row>
    <row r="14" spans="1:13" x14ac:dyDescent="0.3">
      <c r="A14" s="14" t="s">
        <v>612</v>
      </c>
      <c r="B14" s="16"/>
      <c r="C14" s="16"/>
      <c r="D14" s="16"/>
      <c r="E14" s="16"/>
      <c r="F14" s="16"/>
      <c r="G14" s="16"/>
      <c r="H14" s="16"/>
      <c r="I14" s="22"/>
      <c r="J14" s="16"/>
      <c r="K14" s="16"/>
      <c r="L14" s="16"/>
      <c r="M14" s="16"/>
    </row>
    <row r="15" spans="1:13" x14ac:dyDescent="0.3">
      <c r="A15" s="14" t="s">
        <v>613</v>
      </c>
      <c r="B15" s="16"/>
      <c r="C15" s="16"/>
      <c r="D15" s="16"/>
      <c r="E15" s="16"/>
      <c r="F15" s="16"/>
      <c r="G15" s="16"/>
      <c r="H15" s="16"/>
      <c r="I15" s="22"/>
      <c r="J15" s="16"/>
      <c r="K15" s="16"/>
      <c r="L15" s="16"/>
      <c r="M15" s="16"/>
    </row>
    <row r="16" spans="1:13" x14ac:dyDescent="0.3">
      <c r="A16" s="14" t="s">
        <v>614</v>
      </c>
      <c r="B16" s="16"/>
      <c r="C16" s="16"/>
      <c r="D16" s="16"/>
      <c r="E16" s="16"/>
      <c r="F16" s="16"/>
      <c r="G16" s="16"/>
      <c r="H16" s="16"/>
      <c r="I16" s="22"/>
      <c r="J16" s="16"/>
      <c r="K16" s="16"/>
      <c r="L16" s="16"/>
      <c r="M16" s="16"/>
    </row>
    <row r="17" spans="1:13" x14ac:dyDescent="0.3">
      <c r="A17" s="14" t="s">
        <v>615</v>
      </c>
      <c r="B17" s="16"/>
      <c r="C17" s="16"/>
      <c r="D17" s="16"/>
      <c r="E17" s="16"/>
      <c r="F17" s="16"/>
      <c r="G17" s="16"/>
      <c r="H17" s="16"/>
      <c r="I17" s="22"/>
      <c r="J17" s="16"/>
      <c r="K17" s="16"/>
      <c r="L17" s="16"/>
      <c r="M17" s="16"/>
    </row>
    <row r="18" spans="1:13" x14ac:dyDescent="0.3">
      <c r="A18" s="14" t="s">
        <v>616</v>
      </c>
      <c r="B18" s="16"/>
      <c r="C18" s="16"/>
      <c r="D18" s="16"/>
      <c r="E18" s="16"/>
      <c r="F18" s="16"/>
      <c r="G18" s="16"/>
      <c r="H18" s="16"/>
      <c r="I18" s="22"/>
      <c r="J18" s="16"/>
      <c r="K18" s="16"/>
      <c r="L18" s="16"/>
      <c r="M18" s="16"/>
    </row>
    <row r="19" spans="1:13" x14ac:dyDescent="0.3">
      <c r="A19" s="14" t="s">
        <v>617</v>
      </c>
      <c r="B19" s="16"/>
      <c r="C19" s="16"/>
      <c r="D19" s="16"/>
      <c r="E19" s="16"/>
      <c r="F19" s="16"/>
      <c r="G19" s="16"/>
      <c r="H19" s="16"/>
      <c r="I19" s="22"/>
      <c r="J19" s="16"/>
      <c r="K19" s="16"/>
      <c r="L19" s="16"/>
      <c r="M19" s="16"/>
    </row>
    <row r="20" spans="1:13" x14ac:dyDescent="0.3">
      <c r="A20" s="14" t="s">
        <v>618</v>
      </c>
      <c r="B20" s="16"/>
      <c r="C20" s="16"/>
      <c r="D20" s="16"/>
      <c r="E20" s="16"/>
      <c r="F20" s="16"/>
      <c r="G20" s="16"/>
      <c r="H20" s="16"/>
      <c r="I20" s="22"/>
      <c r="J20" s="16"/>
      <c r="K20" s="16"/>
      <c r="L20" s="16"/>
      <c r="M20" s="16"/>
    </row>
    <row r="21" spans="1:13" x14ac:dyDescent="0.3">
      <c r="A21" s="14" t="s">
        <v>619</v>
      </c>
      <c r="B21" s="16"/>
      <c r="C21" s="16"/>
      <c r="D21" s="16"/>
      <c r="E21" s="16"/>
      <c r="F21" s="16"/>
      <c r="G21" s="16"/>
      <c r="H21" s="16"/>
      <c r="I21" s="22"/>
      <c r="J21" s="16"/>
      <c r="K21" s="16"/>
      <c r="L21" s="16"/>
      <c r="M21" s="16"/>
    </row>
    <row r="22" spans="1:13" x14ac:dyDescent="0.3">
      <c r="A22" s="14" t="s">
        <v>620</v>
      </c>
      <c r="B22" s="16"/>
      <c r="C22" s="16"/>
      <c r="D22" s="16"/>
      <c r="E22" s="16"/>
      <c r="F22" s="16"/>
      <c r="G22" s="16"/>
      <c r="H22" s="16"/>
      <c r="I22" s="22"/>
      <c r="J22" s="16"/>
      <c r="K22" s="16"/>
      <c r="L22" s="16"/>
      <c r="M22" s="16"/>
    </row>
    <row r="23" spans="1:13" x14ac:dyDescent="0.3">
      <c r="A23" s="14" t="s">
        <v>621</v>
      </c>
      <c r="B23" s="16"/>
      <c r="C23" s="16"/>
      <c r="D23" s="16"/>
      <c r="E23" s="16"/>
      <c r="F23" s="16"/>
      <c r="G23" s="16"/>
      <c r="H23" s="16"/>
      <c r="I23" s="22"/>
      <c r="J23" s="16"/>
      <c r="K23" s="16"/>
      <c r="L23" s="16"/>
      <c r="M23" s="16"/>
    </row>
    <row r="24" spans="1:13" x14ac:dyDescent="0.3">
      <c r="A24" s="14" t="s">
        <v>622</v>
      </c>
      <c r="B24" s="16"/>
      <c r="C24" s="16"/>
      <c r="D24" s="16"/>
      <c r="E24" s="16"/>
      <c r="F24" s="16"/>
      <c r="G24" s="16"/>
      <c r="H24" s="16"/>
      <c r="I24" s="22"/>
      <c r="J24" s="16"/>
      <c r="K24" s="16"/>
      <c r="L24" s="16"/>
      <c r="M24" s="16"/>
    </row>
    <row r="25" spans="1:13" x14ac:dyDescent="0.3">
      <c r="A25" s="14" t="s">
        <v>623</v>
      </c>
      <c r="B25" s="16"/>
      <c r="C25" s="16"/>
      <c r="D25" s="16"/>
      <c r="E25" s="16"/>
      <c r="F25" s="16"/>
      <c r="G25" s="16"/>
      <c r="H25" s="16"/>
      <c r="I25" s="22"/>
      <c r="J25" s="16"/>
      <c r="K25" s="16"/>
      <c r="L25" s="16"/>
      <c r="M25" s="16"/>
    </row>
    <row r="26" spans="1:13" x14ac:dyDescent="0.3">
      <c r="A26" s="14" t="s">
        <v>624</v>
      </c>
      <c r="B26" s="16"/>
      <c r="C26" s="16"/>
      <c r="D26" s="16"/>
      <c r="E26" s="16"/>
      <c r="F26" s="16"/>
      <c r="G26" s="16"/>
      <c r="H26" s="16"/>
      <c r="I26" s="22"/>
      <c r="J26" s="16"/>
      <c r="K26" s="16"/>
      <c r="L26" s="16"/>
      <c r="M26" s="16"/>
    </row>
    <row r="27" spans="1:13" x14ac:dyDescent="0.3">
      <c r="A27" s="14" t="s">
        <v>625</v>
      </c>
      <c r="B27" s="16"/>
      <c r="C27" s="16"/>
      <c r="D27" s="16"/>
      <c r="E27" s="16"/>
      <c r="F27" s="16"/>
      <c r="G27" s="16"/>
      <c r="H27" s="16"/>
      <c r="I27" s="22"/>
      <c r="J27" s="16"/>
      <c r="K27" s="16"/>
      <c r="L27" s="16"/>
      <c r="M27" s="16"/>
    </row>
    <row r="28" spans="1:13" x14ac:dyDescent="0.3">
      <c r="A28" s="14" t="s">
        <v>626</v>
      </c>
      <c r="B28" s="16"/>
      <c r="C28" s="16"/>
      <c r="D28" s="16"/>
      <c r="E28" s="16"/>
      <c r="F28" s="16"/>
      <c r="G28" s="16"/>
      <c r="H28" s="16"/>
      <c r="I28" s="22"/>
      <c r="J28" s="16"/>
      <c r="K28" s="16"/>
      <c r="L28" s="16"/>
      <c r="M28" s="16"/>
    </row>
    <row r="29" spans="1:13" x14ac:dyDescent="0.3">
      <c r="A29" s="14" t="s">
        <v>627</v>
      </c>
      <c r="B29" s="16"/>
      <c r="C29" s="16"/>
      <c r="D29" s="16"/>
      <c r="E29" s="16"/>
      <c r="F29" s="16"/>
      <c r="G29" s="16"/>
      <c r="H29" s="16"/>
      <c r="I29" s="22"/>
      <c r="J29" s="16"/>
      <c r="K29" s="16"/>
      <c r="L29" s="16"/>
      <c r="M29" s="16"/>
    </row>
    <row r="30" spans="1:13" x14ac:dyDescent="0.3">
      <c r="A30" s="14" t="s">
        <v>628</v>
      </c>
      <c r="B30" s="16"/>
      <c r="C30" s="16"/>
      <c r="D30" s="16"/>
      <c r="E30" s="16"/>
      <c r="F30" s="16"/>
      <c r="G30" s="16"/>
      <c r="H30" s="16"/>
      <c r="I30" s="22"/>
      <c r="J30" s="16"/>
      <c r="K30" s="16"/>
      <c r="L30" s="16"/>
      <c r="M30" s="16"/>
    </row>
    <row r="31" spans="1:13" x14ac:dyDescent="0.3">
      <c r="A31" s="14" t="s">
        <v>629</v>
      </c>
      <c r="B31" s="16"/>
      <c r="C31" s="16"/>
      <c r="D31" s="16"/>
      <c r="E31" s="16"/>
      <c r="F31" s="16"/>
      <c r="G31" s="16"/>
      <c r="H31" s="16"/>
      <c r="I31" s="22"/>
      <c r="J31" s="16"/>
      <c r="K31" s="16"/>
      <c r="L31" s="16"/>
      <c r="M31" s="16"/>
    </row>
    <row r="32" spans="1:13" x14ac:dyDescent="0.3">
      <c r="A32" s="14" t="s">
        <v>630</v>
      </c>
      <c r="B32" s="16"/>
      <c r="C32" s="16"/>
      <c r="D32" s="16"/>
      <c r="E32" s="16"/>
      <c r="F32" s="16"/>
      <c r="G32" s="16"/>
      <c r="H32" s="16"/>
      <c r="I32" s="22"/>
      <c r="J32" s="16"/>
      <c r="K32" s="16"/>
      <c r="L32" s="16"/>
      <c r="M32" s="16"/>
    </row>
    <row r="33" spans="1:13" x14ac:dyDescent="0.3">
      <c r="A33" s="14" t="s">
        <v>631</v>
      </c>
      <c r="B33" s="16"/>
      <c r="C33" s="16"/>
      <c r="D33" s="16"/>
      <c r="E33" s="16"/>
      <c r="F33" s="16"/>
      <c r="G33" s="16"/>
      <c r="H33" s="16"/>
      <c r="I33" s="22"/>
      <c r="J33" s="16"/>
      <c r="K33" s="16"/>
      <c r="L33" s="16"/>
      <c r="M33" s="16"/>
    </row>
    <row r="34" spans="1:13" x14ac:dyDescent="0.3">
      <c r="A34" s="14" t="s">
        <v>632</v>
      </c>
      <c r="B34" s="16"/>
      <c r="C34" s="16"/>
      <c r="D34" s="16"/>
      <c r="E34" s="16"/>
      <c r="F34" s="16"/>
      <c r="G34" s="16"/>
      <c r="H34" s="16"/>
      <c r="I34" s="22"/>
      <c r="J34" s="16"/>
      <c r="K34" s="16"/>
      <c r="L34" s="16"/>
      <c r="M34" s="16"/>
    </row>
    <row r="35" spans="1:13" x14ac:dyDescent="0.3">
      <c r="A35" s="14" t="s">
        <v>633</v>
      </c>
      <c r="B35" s="16"/>
      <c r="C35" s="16"/>
      <c r="D35" s="16"/>
      <c r="E35" s="16"/>
      <c r="F35" s="16"/>
      <c r="G35" s="16"/>
      <c r="H35" s="16"/>
      <c r="I35" s="22"/>
      <c r="J35" s="16"/>
      <c r="K35" s="16"/>
      <c r="L35" s="16"/>
      <c r="M35" s="16"/>
    </row>
    <row r="36" spans="1:13" x14ac:dyDescent="0.3">
      <c r="A36" s="14" t="s">
        <v>634</v>
      </c>
      <c r="B36" s="16"/>
      <c r="C36" s="16"/>
      <c r="D36" s="16"/>
      <c r="E36" s="16"/>
      <c r="F36" s="16"/>
      <c r="G36" s="16"/>
      <c r="H36" s="16"/>
      <c r="I36" s="22"/>
      <c r="J36" s="16"/>
      <c r="K36" s="16"/>
      <c r="L36" s="16"/>
      <c r="M36" s="16"/>
    </row>
    <row r="37" spans="1:13" x14ac:dyDescent="0.3">
      <c r="A37" s="14" t="s">
        <v>635</v>
      </c>
      <c r="B37" s="16"/>
      <c r="C37" s="16"/>
      <c r="D37" s="16"/>
      <c r="E37" s="16"/>
      <c r="F37" s="16"/>
      <c r="G37" s="16"/>
      <c r="H37" s="16"/>
      <c r="I37" s="22"/>
      <c r="J37" s="16"/>
      <c r="K37" s="16"/>
      <c r="L37" s="16"/>
      <c r="M37" s="16"/>
    </row>
    <row r="38" spans="1:13" x14ac:dyDescent="0.3">
      <c r="A38" s="14" t="s">
        <v>636</v>
      </c>
      <c r="B38" s="16"/>
      <c r="C38" s="16"/>
      <c r="D38" s="16"/>
      <c r="E38" s="16"/>
      <c r="F38" s="16"/>
      <c r="G38" s="16"/>
      <c r="H38" s="16"/>
      <c r="I38" s="22"/>
      <c r="J38" s="16"/>
      <c r="K38" s="16"/>
      <c r="L38" s="16"/>
      <c r="M38" s="16"/>
    </row>
    <row r="39" spans="1:13" x14ac:dyDescent="0.3">
      <c r="A39" s="14" t="s">
        <v>637</v>
      </c>
      <c r="B39" s="16"/>
      <c r="C39" s="16"/>
      <c r="D39" s="16"/>
      <c r="E39" s="16"/>
      <c r="F39" s="16"/>
      <c r="G39" s="16"/>
      <c r="H39" s="16"/>
      <c r="I39" s="22"/>
      <c r="J39" s="16"/>
      <c r="K39" s="16"/>
      <c r="L39" s="16"/>
      <c r="M39" s="16"/>
    </row>
    <row r="40" spans="1:13" x14ac:dyDescent="0.3">
      <c r="A40" s="14" t="s">
        <v>638</v>
      </c>
      <c r="B40" s="16"/>
      <c r="C40" s="16"/>
      <c r="D40" s="16"/>
      <c r="E40" s="16"/>
      <c r="F40" s="16"/>
      <c r="G40" s="16"/>
      <c r="H40" s="16"/>
      <c r="I40" s="22"/>
      <c r="J40" s="16"/>
      <c r="K40" s="16"/>
      <c r="L40" s="16"/>
      <c r="M40" s="16"/>
    </row>
    <row r="41" spans="1:13" x14ac:dyDescent="0.3">
      <c r="A41" s="14" t="s">
        <v>639</v>
      </c>
      <c r="B41" s="16"/>
      <c r="C41" s="16"/>
      <c r="D41" s="16"/>
      <c r="E41" s="16"/>
      <c r="F41" s="16"/>
      <c r="G41" s="16"/>
      <c r="H41" s="16"/>
      <c r="I41" s="22"/>
      <c r="J41" s="16"/>
      <c r="K41" s="16"/>
      <c r="L41" s="16"/>
      <c r="M41" s="16"/>
    </row>
    <row r="42" spans="1:13" x14ac:dyDescent="0.3">
      <c r="A42" s="14" t="s">
        <v>640</v>
      </c>
      <c r="B42" s="16"/>
      <c r="C42" s="16"/>
      <c r="D42" s="16"/>
      <c r="E42" s="16"/>
      <c r="F42" s="16"/>
      <c r="G42" s="16"/>
      <c r="H42" s="16"/>
      <c r="I42" s="22"/>
      <c r="J42" s="16"/>
      <c r="K42" s="16"/>
      <c r="L42" s="16"/>
      <c r="M42" s="16"/>
    </row>
    <row r="43" spans="1:13" x14ac:dyDescent="0.3">
      <c r="A43" s="14" t="s">
        <v>641</v>
      </c>
      <c r="B43" s="16"/>
      <c r="C43" s="16"/>
      <c r="D43" s="16"/>
      <c r="E43" s="16"/>
      <c r="F43" s="16"/>
      <c r="G43" s="16"/>
      <c r="H43" s="16"/>
      <c r="I43" s="22"/>
      <c r="J43" s="16"/>
      <c r="K43" s="16"/>
      <c r="L43" s="16"/>
      <c r="M43" s="16"/>
    </row>
    <row r="44" spans="1:13" x14ac:dyDescent="0.3">
      <c r="A44" s="14" t="s">
        <v>642</v>
      </c>
      <c r="B44" s="16"/>
      <c r="C44" s="16"/>
      <c r="D44" s="16"/>
      <c r="E44" s="16"/>
      <c r="F44" s="16"/>
      <c r="G44" s="16"/>
      <c r="H44" s="16"/>
      <c r="I44" s="22"/>
      <c r="J44" s="16"/>
      <c r="K44" s="16"/>
      <c r="L44" s="16"/>
      <c r="M44" s="16"/>
    </row>
    <row r="45" spans="1:13" x14ac:dyDescent="0.3">
      <c r="A45" s="14" t="s">
        <v>643</v>
      </c>
      <c r="B45" s="16"/>
      <c r="C45" s="16"/>
      <c r="D45" s="16"/>
      <c r="E45" s="16"/>
      <c r="F45" s="16"/>
      <c r="G45" s="16"/>
      <c r="H45" s="16"/>
      <c r="I45" s="22"/>
      <c r="J45" s="16"/>
      <c r="K45" s="16"/>
      <c r="L45" s="16"/>
      <c r="M45" s="16"/>
    </row>
    <row r="46" spans="1:13" x14ac:dyDescent="0.3">
      <c r="A46" s="14" t="s">
        <v>644</v>
      </c>
      <c r="B46" s="16"/>
      <c r="C46" s="16"/>
      <c r="D46" s="16"/>
      <c r="E46" s="16"/>
      <c r="F46" s="16"/>
      <c r="G46" s="16"/>
      <c r="H46" s="16"/>
      <c r="I46" s="22"/>
      <c r="J46" s="16"/>
      <c r="K46" s="16"/>
      <c r="L46" s="16"/>
      <c r="M46" s="16"/>
    </row>
    <row r="47" spans="1:13" x14ac:dyDescent="0.3">
      <c r="A47" s="14" t="s">
        <v>645</v>
      </c>
      <c r="B47" s="16"/>
      <c r="C47" s="16"/>
      <c r="D47" s="16"/>
      <c r="E47" s="16"/>
      <c r="F47" s="16"/>
      <c r="G47" s="16"/>
      <c r="H47" s="16"/>
      <c r="I47" s="22"/>
      <c r="J47" s="16"/>
      <c r="K47" s="16"/>
      <c r="L47" s="16"/>
      <c r="M47" s="16"/>
    </row>
    <row r="48" spans="1:13" x14ac:dyDescent="0.3">
      <c r="A48" s="14" t="s">
        <v>646</v>
      </c>
      <c r="B48" s="16"/>
      <c r="C48" s="16"/>
      <c r="D48" s="16"/>
      <c r="E48" s="16"/>
      <c r="F48" s="16"/>
      <c r="G48" s="16"/>
      <c r="H48" s="16"/>
      <c r="I48" s="22"/>
      <c r="J48" s="16"/>
      <c r="K48" s="16"/>
      <c r="L48" s="16"/>
      <c r="M48" s="16"/>
    </row>
    <row r="49" spans="1:13" x14ac:dyDescent="0.3">
      <c r="A49" s="14" t="s">
        <v>647</v>
      </c>
      <c r="B49" s="16"/>
      <c r="C49" s="16"/>
      <c r="D49" s="16"/>
      <c r="E49" s="16"/>
      <c r="F49" s="16"/>
      <c r="G49" s="16"/>
      <c r="H49" s="16"/>
      <c r="I49" s="22"/>
      <c r="J49" s="16"/>
      <c r="K49" s="16"/>
      <c r="L49" s="16"/>
      <c r="M49" s="16"/>
    </row>
    <row r="50" spans="1:13" x14ac:dyDescent="0.3">
      <c r="A50" s="14" t="s">
        <v>648</v>
      </c>
      <c r="B50" s="16"/>
      <c r="C50" s="16"/>
      <c r="D50" s="16"/>
      <c r="E50" s="16"/>
      <c r="F50" s="16"/>
      <c r="G50" s="16"/>
      <c r="H50" s="16"/>
      <c r="I50" s="22"/>
      <c r="J50" s="16"/>
      <c r="K50" s="16"/>
      <c r="L50" s="16"/>
      <c r="M50" s="16"/>
    </row>
    <row r="51" spans="1:13" x14ac:dyDescent="0.3">
      <c r="A51" s="14" t="s">
        <v>649</v>
      </c>
      <c r="B51" s="16"/>
      <c r="C51" s="16"/>
      <c r="D51" s="16"/>
      <c r="E51" s="16"/>
      <c r="F51" s="16"/>
      <c r="G51" s="16"/>
      <c r="H51" s="16"/>
      <c r="I51" s="22"/>
      <c r="J51" s="16"/>
      <c r="K51" s="16"/>
      <c r="L51" s="16"/>
      <c r="M51" s="16"/>
    </row>
    <row r="52" spans="1:13" x14ac:dyDescent="0.3">
      <c r="A52" s="14" t="s">
        <v>650</v>
      </c>
      <c r="B52" s="16"/>
      <c r="C52" s="16"/>
      <c r="D52" s="16"/>
      <c r="E52" s="16"/>
      <c r="F52" s="16"/>
      <c r="G52" s="16"/>
      <c r="H52" s="16"/>
      <c r="I52" s="22"/>
      <c r="J52" s="16"/>
      <c r="K52" s="16"/>
      <c r="L52" s="16"/>
      <c r="M52" s="16"/>
    </row>
    <row r="53" spans="1:13" x14ac:dyDescent="0.3">
      <c r="A53" s="14" t="s">
        <v>651</v>
      </c>
      <c r="B53" s="16"/>
      <c r="C53" s="16"/>
      <c r="D53" s="16"/>
      <c r="E53" s="16"/>
      <c r="F53" s="16"/>
      <c r="G53" s="16"/>
      <c r="H53" s="16"/>
      <c r="I53" s="22"/>
      <c r="J53" s="16"/>
      <c r="K53" s="16"/>
      <c r="L53" s="16"/>
      <c r="M53" s="16"/>
    </row>
    <row r="54" spans="1:13" x14ac:dyDescent="0.3">
      <c r="A54" s="14" t="s">
        <v>652</v>
      </c>
      <c r="B54" s="16"/>
      <c r="C54" s="16"/>
      <c r="D54" s="16"/>
      <c r="E54" s="16"/>
      <c r="F54" s="16"/>
      <c r="G54" s="16"/>
      <c r="H54" s="16"/>
      <c r="I54" s="22"/>
      <c r="J54" s="16"/>
      <c r="K54" s="16"/>
      <c r="L54" s="16"/>
      <c r="M54" s="16"/>
    </row>
    <row r="55" spans="1:13" x14ac:dyDescent="0.3">
      <c r="A55" s="14" t="s">
        <v>653</v>
      </c>
      <c r="B55" s="16"/>
      <c r="C55" s="16"/>
      <c r="D55" s="16"/>
      <c r="E55" s="16"/>
      <c r="F55" s="16"/>
      <c r="G55" s="16"/>
      <c r="H55" s="16"/>
      <c r="I55" s="22"/>
      <c r="J55" s="16"/>
      <c r="K55" s="16"/>
      <c r="L55" s="16"/>
      <c r="M55" s="16"/>
    </row>
    <row r="56" spans="1:13" x14ac:dyDescent="0.3">
      <c r="A56" s="14" t="s">
        <v>654</v>
      </c>
      <c r="B56" s="16"/>
      <c r="C56" s="16"/>
      <c r="D56" s="16"/>
      <c r="E56" s="16"/>
      <c r="F56" s="16"/>
      <c r="G56" s="16"/>
      <c r="H56" s="16"/>
      <c r="I56" s="22"/>
      <c r="J56" s="16"/>
      <c r="K56" s="16"/>
      <c r="L56" s="16"/>
      <c r="M56" s="16"/>
    </row>
    <row r="57" spans="1:13" x14ac:dyDescent="0.3">
      <c r="A57" s="14" t="s">
        <v>655</v>
      </c>
      <c r="B57" s="16"/>
      <c r="C57" s="16"/>
      <c r="D57" s="16"/>
      <c r="E57" s="16"/>
      <c r="F57" s="16"/>
      <c r="G57" s="16"/>
      <c r="H57" s="16"/>
      <c r="I57" s="22"/>
      <c r="J57" s="16"/>
      <c r="K57" s="16"/>
      <c r="L57" s="16"/>
      <c r="M57" s="16"/>
    </row>
    <row r="58" spans="1:13" x14ac:dyDescent="0.3">
      <c r="A58" s="14" t="s">
        <v>656</v>
      </c>
      <c r="B58" s="16"/>
      <c r="C58" s="16"/>
      <c r="D58" s="16"/>
      <c r="E58" s="16"/>
      <c r="F58" s="16"/>
      <c r="G58" s="16"/>
      <c r="H58" s="16"/>
      <c r="I58" s="22"/>
      <c r="J58" s="16"/>
      <c r="K58" s="16"/>
      <c r="L58" s="16"/>
      <c r="M58" s="16"/>
    </row>
    <row r="59" spans="1:13" x14ac:dyDescent="0.3">
      <c r="A59" s="14" t="s">
        <v>657</v>
      </c>
      <c r="B59" s="16"/>
      <c r="C59" s="16"/>
      <c r="D59" s="16"/>
      <c r="E59" s="16"/>
      <c r="F59" s="16"/>
      <c r="G59" s="16"/>
      <c r="H59" s="16"/>
      <c r="I59" s="22"/>
      <c r="J59" s="16"/>
      <c r="K59" s="16"/>
      <c r="L59" s="16"/>
      <c r="M59" s="16"/>
    </row>
    <row r="60" spans="1:13" x14ac:dyDescent="0.3">
      <c r="A60" s="14" t="s">
        <v>658</v>
      </c>
      <c r="B60" s="16"/>
      <c r="C60" s="16"/>
      <c r="D60" s="16"/>
      <c r="E60" s="16"/>
      <c r="F60" s="16"/>
      <c r="G60" s="16"/>
      <c r="H60" s="16"/>
      <c r="I60" s="22"/>
      <c r="J60" s="16"/>
      <c r="K60" s="16"/>
      <c r="L60" s="16"/>
      <c r="M60" s="16"/>
    </row>
    <row r="61" spans="1:13" x14ac:dyDescent="0.3">
      <c r="A61" s="14" t="s">
        <v>659</v>
      </c>
      <c r="B61" s="16"/>
      <c r="C61" s="16"/>
      <c r="D61" s="16"/>
      <c r="E61" s="16"/>
      <c r="F61" s="16"/>
      <c r="G61" s="16"/>
      <c r="H61" s="16"/>
      <c r="I61" s="22"/>
      <c r="J61" s="16"/>
      <c r="K61" s="16"/>
      <c r="L61" s="16"/>
      <c r="M61" s="16"/>
    </row>
    <row r="63" spans="1:13" x14ac:dyDescent="0.3">
      <c r="A63" s="23" t="s">
        <v>660</v>
      </c>
    </row>
    <row r="64" spans="1:13" x14ac:dyDescent="0.3">
      <c r="A64" s="5" t="s">
        <v>661</v>
      </c>
      <c r="B64" s="26" t="s">
        <v>662</v>
      </c>
      <c r="C64" s="25"/>
      <c r="D64" s="25"/>
      <c r="E64" s="25"/>
      <c r="F64" s="25"/>
    </row>
    <row r="65" spans="1:6" x14ac:dyDescent="0.3">
      <c r="A65" s="5" t="s">
        <v>663</v>
      </c>
      <c r="B65" s="26" t="s">
        <v>664</v>
      </c>
      <c r="C65" s="25"/>
      <c r="D65" s="25"/>
      <c r="E65" s="25"/>
      <c r="F65" s="25"/>
    </row>
    <row r="66" spans="1:6" x14ac:dyDescent="0.3">
      <c r="A66" s="5" t="s">
        <v>568</v>
      </c>
      <c r="B66" s="26" t="s">
        <v>665</v>
      </c>
      <c r="C66" s="25"/>
      <c r="D66" s="25"/>
      <c r="E66" s="25"/>
      <c r="F66" s="25"/>
    </row>
    <row r="67" spans="1:6" x14ac:dyDescent="0.3">
      <c r="A67" s="5" t="s">
        <v>578</v>
      </c>
      <c r="B67" s="26" t="s">
        <v>666</v>
      </c>
      <c r="C67" s="25"/>
      <c r="D67" s="25"/>
      <c r="E67" s="25"/>
      <c r="F67" s="25"/>
    </row>
  </sheetData>
  <mergeCells count="4">
    <mergeCell ref="B65:F65"/>
    <mergeCell ref="B64:F64"/>
    <mergeCell ref="B67:F67"/>
    <mergeCell ref="B66:F66"/>
  </mergeCells>
  <dataValidations count="3">
    <dataValidation type="list" allowBlank="1" sqref="C2:C61" xr:uid="{00000000-0002-0000-0300-000000000000}">
      <formula1>"Critical,High,Medium,Low"</formula1>
    </dataValidation>
    <dataValidation type="list" allowBlank="1" sqref="J2:J61" xr:uid="{00000000-0002-0000-0300-000001000000}">
      <formula1>"Open,In Progress,Fixed,Closed,Won't Fix"</formula1>
    </dataValidation>
    <dataValidation type="list" allowBlank="1" sqref="L2:L61" xr:uid="{00000000-0002-0000-0300-000002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Instructions</vt:lpstr>
      <vt:lpstr>Test Cases</vt:lpstr>
      <vt:lpstr>Summary</vt:lpstr>
      <vt:lpstr>Defect Log</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Shaine Ella Pines</cp:lastModifiedBy>
  <dcterms:created xsi:type="dcterms:W3CDTF">2026-10-10T13:13:05Z</dcterms:created>
  <dcterms:modified xsi:type="dcterms:W3CDTF">2026-10-23T02:40:51Z</dcterms:modified>
</cp:coreProperties>
</file>