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328" yWindow="0" windowWidth="11712" windowHeight="12240" tabRatio="600" firstSheet="0" activeTab="0" autoFilterDateGrouping="1"/>
  </bookViews>
  <sheets>
    <sheet xmlns:r="http://schemas.openxmlformats.org/officeDocument/2006/relationships" name="Instructions" sheetId="1" state="visible" r:id="rId1"/>
    <sheet xmlns:r="http://schemas.openxmlformats.org/officeDocument/2006/relationships" name="Test Cases" sheetId="2" state="visible" r:id="rId2"/>
    <sheet xmlns:r="http://schemas.openxmlformats.org/officeDocument/2006/relationships" name="Summary" sheetId="3" state="visible" r:id="rId3"/>
    <sheet xmlns:r="http://schemas.openxmlformats.org/officeDocument/2006/relationships" name="Defect Log" sheetId="4" state="visible" r:id="rId4"/>
  </sheets>
  <definedNames>
    <definedName name="_xlnm._FilterDatabase" localSheetId="1" hidden="1">'Test Cases'!$A$1:$Q$68</definedName>
    <definedName name="_xlnm.Print_Titles" localSheetId="1">'Test Cases'!$1:$1</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9">
    <font>
      <name val="Calibri"/>
      <family val="2"/>
      <color theme="1"/>
      <sz val="11"/>
      <scheme val="minor"/>
    </font>
    <font>
      <name val="Arial"/>
      <b val="1"/>
      <color rgb="FF1F3A5F"/>
      <sz val="16"/>
    </font>
    <font>
      <name val="Arial"/>
      <i val="1"/>
      <color rgb="FF595959"/>
      <sz val="10"/>
    </font>
    <font>
      <name val="Arial"/>
      <b val="1"/>
      <color rgb="FF1F3A5F"/>
      <sz val="11"/>
    </font>
    <font>
      <name val="Arial"/>
      <b val="1"/>
      <sz val="10"/>
    </font>
    <font>
      <name val="Arial"/>
      <sz val="10"/>
    </font>
    <font>
      <name val="Arial"/>
      <b val="1"/>
      <color rgb="FFFFFFFF"/>
      <sz val="10"/>
    </font>
    <font>
      <name val="Arial"/>
      <i val="1"/>
      <sz val="10"/>
    </font>
    <font>
      <name val="Arial"/>
      <b val="1"/>
      <color rgb="FF1F3A5F"/>
      <sz val="10"/>
    </font>
  </fonts>
  <fills count="5">
    <fill>
      <patternFill/>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3" borderId="1" pivotButton="0" quotePrefix="0" xfId="0"/>
    <xf numFmtId="0" fontId="4" fillId="0" borderId="0" applyAlignment="1" pivotButton="0" quotePrefix="0" xfId="0">
      <alignment horizontal="right" vertical="top"/>
    </xf>
    <xf numFmtId="0" fontId="6" fillId="4" borderId="1" pivotButton="0" quotePrefix="0" xfId="0"/>
    <xf numFmtId="0" fontId="4" fillId="0" borderId="1" pivotButton="0" quotePrefix="0" xfId="0"/>
    <xf numFmtId="0" fontId="7" fillId="0" borderId="1" pivotButton="0" quotePrefix="0" xfId="0"/>
    <xf numFmtId="0" fontId="6" fillId="4" borderId="1" applyAlignment="1" pivotButton="0" quotePrefix="0" xfId="0">
      <alignment horizontal="center" vertical="top" wrapText="1"/>
    </xf>
    <xf numFmtId="0" fontId="5" fillId="0" borderId="1" pivotButton="0" quotePrefix="0" xfId="0"/>
    <xf numFmtId="0" fontId="5"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3" borderId="1" applyAlignment="1" pivotButton="0" quotePrefix="0" xfId="0">
      <alignment vertical="top" wrapText="1"/>
    </xf>
    <xf numFmtId="0" fontId="5" fillId="3" borderId="1" applyAlignment="1" pivotButton="0" quotePrefix="0" xfId="0">
      <alignment horizontal="center" vertical="top" wrapText="1"/>
    </xf>
    <xf numFmtId="164" fontId="5" fillId="3" borderId="1" applyAlignment="1" pivotButton="0" quotePrefix="0" xfId="0">
      <alignment horizontal="center" vertical="top" wrapText="1"/>
    </xf>
    <xf numFmtId="0" fontId="3" fillId="0" borderId="0" pivotButton="0" quotePrefix="0" xfId="0"/>
    <xf numFmtId="0" fontId="5" fillId="0" borderId="1" applyAlignment="1" pivotButton="0" quotePrefix="0" xfId="0">
      <alignment horizontal="right"/>
    </xf>
    <xf numFmtId="165" fontId="5" fillId="0" borderId="1" applyAlignment="1" pivotButton="0" quotePrefix="0" xfId="0">
      <alignment horizontal="right"/>
    </xf>
    <xf numFmtId="164" fontId="5" fillId="3" borderId="1" applyAlignment="1" pivotButton="0" quotePrefix="0" xfId="0">
      <alignment vertical="top" wrapText="1"/>
    </xf>
    <xf numFmtId="0" fontId="8" fillId="0" borderId="0" pivotButton="0" quotePrefix="0" xfId="0"/>
    <xf numFmtId="0" fontId="5" fillId="0" borderId="0" applyAlignment="1" pivotButton="0" quotePrefix="0" xfId="0">
      <alignment vertical="top" wrapText="1"/>
    </xf>
    <xf numFmtId="0" fontId="0" fillId="0" borderId="0" pivotButton="0" quotePrefix="0" xfId="0"/>
    <xf numFmtId="0" fontId="5" fillId="0" borderId="0" pivotButton="0" quotePrefix="0" xfId="0"/>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tabSelected="1" workbookViewId="0">
      <selection activeCell="A1" sqref="A1"/>
    </sheetView>
  </sheetViews>
  <sheetFormatPr baseColWidth="8" defaultRowHeight="14.4"/>
  <cols>
    <col width="26" customWidth="1" style="25" min="1" max="1"/>
    <col width="40" customWidth="1" style="25" min="2" max="2"/>
    <col width="30" customWidth="1" style="25" min="3" max="3"/>
    <col width="44" customWidth="1" style="25" min="4" max="4"/>
  </cols>
  <sheetData>
    <row r="1" ht="21" customHeight="1" s="25">
      <c r="A1" s="1" t="inlineStr">
        <is>
          <t>EduCheck - User Acceptance Test Cases</t>
        </is>
      </c>
    </row>
    <row r="2">
      <c r="A2" s="2" t="inlineStr">
        <is>
          <t>Formal testing and UAT, ISO/IEC 25010. Read 03-Testing/EduCheck_Known_Limitations.md first: items listed there are not defects.</t>
        </is>
      </c>
    </row>
    <row r="4">
      <c r="A4" s="3" t="inlineStr">
        <is>
          <t>Test session</t>
        </is>
      </c>
      <c r="B4" s="4" t="n"/>
      <c r="C4" s="4" t="n"/>
      <c r="D4" s="4" t="n"/>
    </row>
    <row r="5">
      <c r="A5" s="5" t="inlineStr">
        <is>
          <t>Tester name(s)</t>
        </is>
      </c>
      <c r="B5" s="6" t="n"/>
    </row>
    <row r="6">
      <c r="A6" s="5" t="inlineStr">
        <is>
          <t>Date(s) tested</t>
        </is>
      </c>
      <c r="B6" s="6" t="n"/>
    </row>
    <row r="7">
      <c r="A7" s="5" t="inlineStr">
        <is>
          <t>Server address (web)</t>
        </is>
      </c>
      <c r="B7" s="6" t="n"/>
    </row>
    <row r="8">
      <c r="A8" s="5" t="inlineStr">
        <is>
          <t>Web browser(s) and version</t>
        </is>
      </c>
      <c r="B8" s="6" t="n"/>
    </row>
    <row r="9">
      <c r="A9" s="5" t="inlineStr">
        <is>
          <t>Android phone model / version</t>
        </is>
      </c>
      <c r="B9" s="6" t="n"/>
    </row>
    <row r="10">
      <c r="A10" s="5" t="inlineStr">
        <is>
          <t>Build / commit tested</t>
        </is>
      </c>
      <c r="B10" s="6" t="n"/>
    </row>
    <row r="12">
      <c r="A12" s="3" t="inlineStr">
        <is>
          <t>How to fill in</t>
        </is>
      </c>
      <c r="B12" s="4" t="n"/>
      <c r="C12" s="4" t="n"/>
      <c r="D12" s="4" t="n"/>
    </row>
    <row r="13" ht="28.05" customHeight="1" s="25">
      <c r="A13" s="7" t="inlineStr">
        <is>
          <t>1.</t>
        </is>
      </c>
      <c r="B13" s="24" t="inlineStr">
        <is>
          <t>Yellow cells are the only cells to fill in. All other cells are the test design; do not change them.</t>
        </is>
      </c>
    </row>
    <row r="14" ht="28.05" customHeight="1" s="25">
      <c r="A14" s="7" t="inlineStr">
        <is>
          <t>2.</t>
        </is>
      </c>
      <c r="B14" s="24" t="inlineStr">
        <is>
          <t>Run each case in the Test Cases sheet in order. Follow the Steps exactly and compare with Expected Result.</t>
        </is>
      </c>
    </row>
    <row r="15" ht="28.05" customHeight="1" s="25">
      <c r="A15" s="7" t="inlineStr">
        <is>
          <t>3.</t>
        </is>
      </c>
      <c r="B15" s="24" t="inlineStr">
        <is>
          <t>Actual Result: write what really happened, in a few words (or the time taken for performance cases).</t>
        </is>
      </c>
    </row>
    <row r="16" ht="28.05" customHeight="1" s="25">
      <c r="A16" s="7" t="inlineStr">
        <is>
          <t>4.</t>
        </is>
      </c>
      <c r="B16" s="24" t="inlineStr">
        <is>
          <t>Status: choose Pass, Fail, Blocked (could not run because of another problem) or Not Run.</t>
        </is>
      </c>
    </row>
    <row r="17" ht="28.05" customHeight="1" s="25">
      <c r="A17" s="7" t="inlineStr">
        <is>
          <t>5.</t>
        </is>
      </c>
      <c r="B17" s="24" t="inlineStr">
        <is>
          <t>For every Fail, add a row in the Defect Log and put its Defect ID on the test case.</t>
        </is>
      </c>
    </row>
    <row r="18" ht="28.05" customHeight="1" s="25">
      <c r="A18" s="7" t="inlineStr">
        <is>
          <t>6.</t>
        </is>
      </c>
      <c r="B18" s="24" t="inlineStr">
        <is>
          <t>The Summary sheet counts results automatically.</t>
        </is>
      </c>
    </row>
    <row r="20">
      <c r="A20" s="3" t="inlineStr">
        <is>
          <t>Example of a filled-in test case</t>
        </is>
      </c>
      <c r="B20" s="4" t="n"/>
      <c r="C20" s="4" t="n"/>
      <c r="D20" s="4" t="n"/>
    </row>
    <row r="21">
      <c r="A21" s="8" t="inlineStr">
        <is>
          <t>Field</t>
        </is>
      </c>
      <c r="B21" s="8" t="inlineStr">
        <is>
          <t>Example value</t>
        </is>
      </c>
    </row>
    <row r="22">
      <c r="A22" s="9" t="inlineStr">
        <is>
          <t>TC ID</t>
        </is>
      </c>
      <c r="B22" s="10" t="inlineStr">
        <is>
          <t>TC-002</t>
        </is>
      </c>
    </row>
    <row r="23">
      <c r="A23" s="9" t="inlineStr">
        <is>
          <t>Actual Result</t>
        </is>
      </c>
      <c r="B23" s="10" t="inlineStr">
        <is>
          <t>Login failed; message "Invalid username or password." shown.</t>
        </is>
      </c>
    </row>
    <row r="24">
      <c r="A24" s="9" t="inlineStr">
        <is>
          <t>Status</t>
        </is>
      </c>
      <c r="B24" s="10" t="inlineStr">
        <is>
          <t>Pass</t>
        </is>
      </c>
    </row>
    <row r="25">
      <c r="A25" s="9" t="inlineStr">
        <is>
          <t>Tester</t>
        </is>
      </c>
      <c r="B25" s="10" t="inlineStr">
        <is>
          <t>J. Dela Cruz</t>
        </is>
      </c>
    </row>
    <row r="26">
      <c r="A26" s="9" t="inlineStr">
        <is>
          <t>Date</t>
        </is>
      </c>
      <c r="B26" s="10" t="inlineStr">
        <is>
          <t>2026-10-15</t>
        </is>
      </c>
    </row>
    <row r="27">
      <c r="A27" s="9" t="inlineStr">
        <is>
          <t>Defect ID</t>
        </is>
      </c>
      <c r="B27" s="10" t="inlineStr">
        <is>
          <t>(blank - only for Fail)</t>
        </is>
      </c>
    </row>
    <row r="28">
      <c r="A28" s="9" t="inlineStr">
        <is>
          <t>Remarks</t>
        </is>
      </c>
      <c r="B28" s="10" t="inlineStr">
        <is>
          <t>Chrome 141</t>
        </is>
      </c>
    </row>
    <row r="30">
      <c r="A30" s="3" t="inlineStr">
        <is>
          <t>Test accounts</t>
        </is>
      </c>
      <c r="B30" s="4" t="n"/>
      <c r="C30" s="4" t="n"/>
      <c r="D30" s="4" t="n"/>
    </row>
    <row r="31" ht="26.4" customHeight="1" s="25">
      <c r="A31" s="11" t="inlineStr">
        <is>
          <t>Username</t>
        </is>
      </c>
      <c r="B31" s="11" t="inlineStr">
        <is>
          <t>Role</t>
        </is>
      </c>
      <c r="C31" s="11" t="inlineStr">
        <is>
          <t>Password (fill in; do not share outside the team)</t>
        </is>
      </c>
      <c r="D31" s="11" t="inlineStr">
        <is>
          <t>Notes</t>
        </is>
      </c>
    </row>
    <row r="32">
      <c r="A32" s="12" t="inlineStr">
        <is>
          <t>admin.educheck</t>
        </is>
      </c>
      <c r="B32" s="12" t="inlineStr">
        <is>
          <t>Admin</t>
        </is>
      </c>
      <c r="C32" s="6" t="n"/>
      <c r="D32" s="13" t="inlineStr">
        <is>
          <t>Reviews and approves records; manages users.</t>
        </is>
      </c>
    </row>
    <row r="33">
      <c r="A33" s="12" t="inlineStr">
        <is>
          <t>adviser.grade6a</t>
        </is>
      </c>
      <c r="B33" s="12" t="inlineStr">
        <is>
          <t>Adviser</t>
        </is>
      </c>
      <c r="C33" s="6" t="n"/>
      <c r="D33" s="13" t="inlineStr">
        <is>
          <t>Maria Teresa Santos (fictitious name). Class Adviser of Rizal (Grade 6, Departmentalized); teaches English, ESP, Filipino and Science.</t>
        </is>
      </c>
    </row>
    <row r="34">
      <c r="A34" s="12" t="inlineStr">
        <is>
          <t>subject.grade6a</t>
        </is>
      </c>
      <c r="B34" s="12" t="inlineStr">
        <is>
          <t>Subject Teacher</t>
        </is>
      </c>
      <c r="C34" s="6" t="n"/>
      <c r="D34" s="13" t="inlineStr">
        <is>
          <t>Jose Miguel Reyes (fictitious name). Teaches Araling Panlipunan, MAPEH, Mathematics and TLE in Rizal.</t>
        </is>
      </c>
    </row>
    <row r="35">
      <c r="A35" s="12" t="inlineStr">
        <is>
          <t>principal.educheck</t>
        </is>
      </c>
      <c r="B35" s="12" t="inlineStr">
        <is>
          <t>Principal</t>
        </is>
      </c>
      <c r="C35" s="6" t="n"/>
      <c r="D35" s="13" t="inlineStr">
        <is>
          <t>View-only.</t>
        </is>
      </c>
    </row>
    <row r="37">
      <c r="A37" s="3" t="inlineStr">
        <is>
          <t>Test data</t>
        </is>
      </c>
      <c r="B37" s="4" t="n"/>
      <c r="C37" s="4" t="n"/>
      <c r="D37" s="4" t="n"/>
    </row>
    <row r="38" ht="28.05" customHeight="1" s="25">
      <c r="A38" s="5" t="inlineStr">
        <is>
          <t>Sections</t>
        </is>
      </c>
      <c r="B38" s="24" t="inlineStr">
        <is>
          <t>Rizal (Grade 6, Departmentalized, 100 learners). Mabini (Grade 3, Self-Contained, 5 learners LRN 300000000001-005, no Class Adviser). School year 2025-2026. Pending Approval at start: LRN 100000000004-015. Incomplete (no TLE grade): LRN 100000000099 and 100000000100. No Approved records at start.</t>
        </is>
      </c>
    </row>
    <row r="39" ht="28.05" customHeight="1" s="25">
      <c r="A39" s="5" t="inlineStr">
        <is>
          <t>SF10 demo learner</t>
        </is>
      </c>
      <c r="B39" s="24" t="inlineStr">
        <is>
          <t>LRN 100000000001 (Adrian Aguilar). Sample Grade 4 and 5 history; readiness PARTIAL. Grade 6 prints as Terms 1-3 only after approval (D-05).</t>
        </is>
      </c>
    </row>
    <row r="40" ht="28.05" customHeight="1" s="25">
      <c r="A40" s="5" t="inlineStr">
        <is>
          <t>Sample e-class record</t>
        </is>
      </c>
      <c r="B40" s="24" t="inlineStr">
        <is>
          <t>03-Testing/UAT-files/ - one ready-made file per test case; the file name starts with the TC ID (see README.md in that folder).</t>
        </is>
      </c>
    </row>
    <row r="41" ht="28.05" customHeight="1" s="25">
      <c r="A41" s="5" t="inlineStr">
        <is>
          <t>Before starting</t>
        </is>
      </c>
      <c r="B41" s="24" t="inlineStr">
        <is>
          <t>Back up the database so testing can be repeated from the same state.</t>
        </is>
      </c>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7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4"/>
  <cols>
    <col width="9" customWidth="1" style="25" min="1" max="1"/>
    <col width="16" customWidth="1" style="25" min="2" max="2"/>
    <col width="14" customWidth="1" style="25" min="3" max="3"/>
    <col width="9" customWidth="1" style="25" min="4" max="4"/>
    <col width="16" customWidth="1" style="25" min="5" max="5"/>
    <col width="14" customWidth="1" style="25" min="6" max="6"/>
    <col width="30" customWidth="1" style="25" min="7" max="7"/>
    <col width="28" customWidth="1" style="25" min="8" max="8"/>
    <col width="44" customWidth="1" style="25" min="9" max="9"/>
    <col width="20" customWidth="1" style="25" min="10" max="10"/>
    <col width="44" customWidth="1" style="25" min="11" max="11"/>
    <col width="34" customWidth="1" style="25" min="12" max="12"/>
    <col width="11" customWidth="1" style="25" min="13" max="13"/>
    <col width="14" customWidth="1" style="25" min="14" max="14"/>
    <col width="12" customWidth="1" style="25" min="15" max="15"/>
    <col width="11" customWidth="1" style="25" min="16" max="16"/>
    <col width="24" customWidth="1" style="25" min="17" max="17"/>
  </cols>
  <sheetData>
    <row r="1" ht="30" customHeight="1" s="25">
      <c r="A1" s="11" t="inlineStr">
        <is>
          <t>TC ID</t>
        </is>
      </c>
      <c r="B1" s="11" t="inlineStr">
        <is>
          <t>Module</t>
        </is>
      </c>
      <c r="C1" s="11" t="inlineStr">
        <is>
          <t>Role</t>
        </is>
      </c>
      <c r="D1" s="11" t="inlineStr">
        <is>
          <t>Platform</t>
        </is>
      </c>
      <c r="E1" s="11" t="inlineStr">
        <is>
          <t>ISO 25010</t>
        </is>
      </c>
      <c r="F1" s="11" t="inlineStr">
        <is>
          <t>SPMP / Ref</t>
        </is>
      </c>
      <c r="G1" s="11" t="inlineStr">
        <is>
          <t>Test Case</t>
        </is>
      </c>
      <c r="H1" s="11" t="inlineStr">
        <is>
          <t>Preconditions</t>
        </is>
      </c>
      <c r="I1" s="11" t="inlineStr">
        <is>
          <t>Steps</t>
        </is>
      </c>
      <c r="J1" s="11" t="inlineStr">
        <is>
          <t>Test Data</t>
        </is>
      </c>
      <c r="K1" s="11" t="inlineStr">
        <is>
          <t>Expected Result</t>
        </is>
      </c>
      <c r="L1" s="11" t="inlineStr">
        <is>
          <t>Actual Result</t>
        </is>
      </c>
      <c r="M1" s="11" t="inlineStr">
        <is>
          <t>Status</t>
        </is>
      </c>
      <c r="N1" s="11" t="inlineStr">
        <is>
          <t>Tester</t>
        </is>
      </c>
      <c r="O1" s="11" t="inlineStr">
        <is>
          <t>Date</t>
        </is>
      </c>
      <c r="P1" s="11" t="inlineStr">
        <is>
          <t>Defect ID</t>
        </is>
      </c>
      <c r="Q1" s="11" t="inlineStr">
        <is>
          <t>Remarks</t>
        </is>
      </c>
    </row>
    <row r="2" ht="46.5" customHeight="1" s="25">
      <c r="A2" s="14" t="inlineStr">
        <is>
          <t>TC-001</t>
        </is>
      </c>
      <c r="B2" s="13" t="inlineStr">
        <is>
          <t>Authentication</t>
        </is>
      </c>
      <c r="C2" s="15" t="inlineStr">
        <is>
          <t>All</t>
        </is>
      </c>
      <c r="D2" s="15" t="inlineStr">
        <is>
          <t>Web</t>
        </is>
      </c>
      <c r="E2" s="13" t="inlineStr">
        <is>
          <t>Security</t>
        </is>
      </c>
      <c r="F2" s="13" t="inlineStr">
        <is>
          <t>EPIC-01, US-001</t>
        </is>
      </c>
      <c r="G2" s="13" t="inlineStr">
        <is>
          <t>Log in with valid credentials</t>
        </is>
      </c>
      <c r="H2" s="13" t="inlineStr">
        <is>
          <t>Active account exists.</t>
        </is>
      </c>
      <c r="I2" s="13" t="inlineStr">
        <is>
          <t>1. Open the login page.
2. Enter a valid username and password.
3. Click Sign in.</t>
        </is>
      </c>
      <c r="J2" s="13" t="inlineStr">
        <is>
          <t>Any test account</t>
        </is>
      </c>
      <c r="K2" s="13" t="inlineStr">
        <is>
          <t>The user lands on the Dashboard for their role. The sidebar shows only that role's menu items.</t>
        </is>
      </c>
      <c r="L2" s="16" t="n"/>
      <c r="M2" s="17" t="n"/>
      <c r="N2" s="16" t="n"/>
      <c r="O2" s="18" t="n"/>
      <c r="P2" s="17" t="n"/>
      <c r="Q2" s="16" t="n"/>
    </row>
    <row r="3" ht="46.5" customHeight="1" s="25">
      <c r="A3" s="14" t="inlineStr">
        <is>
          <t>TC-002</t>
        </is>
      </c>
      <c r="B3" s="13" t="inlineStr">
        <is>
          <t>Authentication</t>
        </is>
      </c>
      <c r="C3" s="15" t="inlineStr">
        <is>
          <t>All</t>
        </is>
      </c>
      <c r="D3" s="15" t="inlineStr">
        <is>
          <t>Web</t>
        </is>
      </c>
      <c r="E3" s="13" t="inlineStr">
        <is>
          <t>Security</t>
        </is>
      </c>
      <c r="F3" s="13" t="inlineStr">
        <is>
          <t>EPIC-01, US-001</t>
        </is>
      </c>
      <c r="G3" s="13" t="inlineStr">
        <is>
          <t>Log in with a wrong password</t>
        </is>
      </c>
      <c r="H3" s="13" t="inlineStr">
        <is>
          <t>Active account exists.</t>
        </is>
      </c>
      <c r="I3" s="13" t="inlineStr">
        <is>
          <t>1. Enter a valid username and a wrong password.
2. Click Sign in.</t>
        </is>
      </c>
      <c r="J3" s="13" t="inlineStr">
        <is>
          <t>Valid username, wrong password</t>
        </is>
      </c>
      <c r="K3" s="13" t="inlineStr">
        <is>
          <t>Login fails with "Invalid username or password." The message does not say which field was wrong.</t>
        </is>
      </c>
      <c r="L3" s="16" t="n"/>
      <c r="M3" s="17" t="n"/>
      <c r="N3" s="16" t="n"/>
      <c r="O3" s="18" t="n"/>
      <c r="P3" s="17" t="n"/>
      <c r="Q3" s="16" t="n"/>
    </row>
    <row r="4" ht="33" customHeight="1" s="25">
      <c r="A4" s="14" t="inlineStr">
        <is>
          <t>TC-003</t>
        </is>
      </c>
      <c r="B4" s="13" t="inlineStr">
        <is>
          <t>Authentication</t>
        </is>
      </c>
      <c r="C4" s="15" t="inlineStr">
        <is>
          <t>All</t>
        </is>
      </c>
      <c r="D4" s="15" t="inlineStr">
        <is>
          <t>Web</t>
        </is>
      </c>
      <c r="E4" s="13" t="inlineStr">
        <is>
          <t>Usability</t>
        </is>
      </c>
      <c r="F4" s="13" t="inlineStr">
        <is>
          <t>EPIC-01</t>
        </is>
      </c>
      <c r="G4" s="13" t="inlineStr">
        <is>
          <t>Log in with empty fields</t>
        </is>
      </c>
      <c r="H4" s="13" t="inlineStr">
        <is>
          <t>None.</t>
        </is>
      </c>
      <c r="I4" s="13" t="inlineStr">
        <is>
          <t>1. Leave username and/or password empty.
2. Click Sign in.</t>
        </is>
      </c>
      <c r="J4" s="13" t="inlineStr">
        <is>
          <t>Blank fields</t>
        </is>
      </c>
      <c r="K4" s="13" t="inlineStr">
        <is>
          <t>Login is not attempted. The user is asked to fill in both fields.</t>
        </is>
      </c>
      <c r="L4" s="16" t="n"/>
      <c r="M4" s="17" t="n"/>
      <c r="N4" s="16" t="n"/>
      <c r="O4" s="18" t="n"/>
      <c r="P4" s="17" t="n"/>
      <c r="Q4" s="16" t="n"/>
    </row>
    <row r="5" ht="46.5" customHeight="1" s="25">
      <c r="A5" s="14" t="inlineStr">
        <is>
          <t>TC-004</t>
        </is>
      </c>
      <c r="B5" s="13" t="inlineStr">
        <is>
          <t>Authentication</t>
        </is>
      </c>
      <c r="C5" s="15" t="inlineStr">
        <is>
          <t>Admin</t>
        </is>
      </c>
      <c r="D5" s="15" t="inlineStr">
        <is>
          <t>Web</t>
        </is>
      </c>
      <c r="E5" s="13" t="inlineStr">
        <is>
          <t>Security</t>
        </is>
      </c>
      <c r="F5" s="13" t="inlineStr">
        <is>
          <t>EPIC-01, US-001</t>
        </is>
      </c>
      <c r="G5" s="13" t="inlineStr">
        <is>
          <t>Inactive account cannot log in</t>
        </is>
      </c>
      <c r="H5" s="13" t="inlineStr">
        <is>
          <t>Admin has set a test account to Inactive in User Management.</t>
        </is>
      </c>
      <c r="I5" s="13" t="inlineStr">
        <is>
          <t>1. Log in with the inactive account's correct password.</t>
        </is>
      </c>
      <c r="J5" s="13" t="inlineStr">
        <is>
          <t>Inactive test account</t>
        </is>
      </c>
      <c r="K5" s="13" t="inlineStr">
        <is>
          <t>Login fails with "This account is inactive."</t>
        </is>
      </c>
      <c r="L5" s="16" t="n"/>
      <c r="M5" s="17" t="n"/>
      <c r="N5" s="16" t="n"/>
      <c r="O5" s="18" t="n"/>
      <c r="P5" s="17" t="n"/>
      <c r="Q5" s="16" t="n"/>
    </row>
    <row r="6" ht="46.5" customHeight="1" s="25">
      <c r="A6" s="14" t="inlineStr">
        <is>
          <t>TC-005</t>
        </is>
      </c>
      <c r="B6" s="13" t="inlineStr">
        <is>
          <t>Authentication</t>
        </is>
      </c>
      <c r="C6" s="15" t="inlineStr">
        <is>
          <t>All</t>
        </is>
      </c>
      <c r="D6" s="15" t="inlineStr">
        <is>
          <t>Web</t>
        </is>
      </c>
      <c r="E6" s="13" t="inlineStr">
        <is>
          <t>Security</t>
        </is>
      </c>
      <c r="F6" s="13" t="inlineStr">
        <is>
          <t>EPIC-01 / ISO 25010</t>
        </is>
      </c>
      <c r="G6" s="13" t="inlineStr">
        <is>
          <t>Repeated failed logins are locked out</t>
        </is>
      </c>
      <c r="H6" s="13" t="inlineStr">
        <is>
          <t>None.</t>
        </is>
      </c>
      <c r="I6" s="13" t="inlineStr">
        <is>
          <t>1. Enter a wrong password 11 times in a row within 15 minutes.</t>
        </is>
      </c>
      <c r="J6" s="13" t="inlineStr">
        <is>
          <t>Valid username, wrong password</t>
        </is>
      </c>
      <c r="K6" s="13" t="inlineStr">
        <is>
          <t>After 10 failures the page shows "Too many login attempts. Please try again in a few minutes." (see Known Limitations D-07).</t>
        </is>
      </c>
      <c r="L6" s="16" t="n"/>
      <c r="M6" s="17" t="n"/>
      <c r="N6" s="16" t="n"/>
      <c r="O6" s="18" t="n"/>
      <c r="P6" s="17" t="n"/>
      <c r="Q6" s="16" t="n"/>
    </row>
    <row r="7" ht="46.5" customHeight="1" s="25">
      <c r="A7" s="14" t="inlineStr">
        <is>
          <t>TC-006</t>
        </is>
      </c>
      <c r="B7" s="13" t="inlineStr">
        <is>
          <t>Authentication</t>
        </is>
      </c>
      <c r="C7" s="15" t="inlineStr">
        <is>
          <t>All</t>
        </is>
      </c>
      <c r="D7" s="15" t="inlineStr">
        <is>
          <t>Web</t>
        </is>
      </c>
      <c r="E7" s="13" t="inlineStr">
        <is>
          <t>Security</t>
        </is>
      </c>
      <c r="F7" s="13" t="inlineStr">
        <is>
          <t>§6.2</t>
        </is>
      </c>
      <c r="G7" s="13" t="inlineStr">
        <is>
          <t>Log out ends the session</t>
        </is>
      </c>
      <c r="H7" s="13" t="inlineStr">
        <is>
          <t>Logged in.</t>
        </is>
      </c>
      <c r="I7" s="13" t="inlineStr">
        <is>
          <t>1. Click Log out.
2. Press the browser Back button.
3. Try to open /dashboard directly.</t>
        </is>
      </c>
      <c r="J7" s="13" t="inlineStr">
        <is>
          <t>-</t>
        </is>
      </c>
      <c r="K7" s="13" t="inlineStr">
        <is>
          <t>The user is returned to the login page and cannot reach any protected page without logging in again.</t>
        </is>
      </c>
      <c r="L7" s="16" t="n"/>
      <c r="M7" s="17" t="n"/>
      <c r="N7" s="16" t="n"/>
      <c r="O7" s="18" t="n"/>
      <c r="P7" s="17" t="n"/>
      <c r="Q7" s="16" t="n"/>
    </row>
    <row r="8" ht="46.5" customHeight="1" s="25">
      <c r="A8" s="14" t="inlineStr">
        <is>
          <t>TC-007</t>
        </is>
      </c>
      <c r="B8" s="13" t="inlineStr">
        <is>
          <t>Authentication</t>
        </is>
      </c>
      <c r="C8" s="15" t="inlineStr">
        <is>
          <t>Subject Teacher</t>
        </is>
      </c>
      <c r="D8" s="15" t="inlineStr">
        <is>
          <t>Web</t>
        </is>
      </c>
      <c r="E8" s="13" t="inlineStr">
        <is>
          <t>Security</t>
        </is>
      </c>
      <c r="F8" s="13" t="inlineStr">
        <is>
          <t>§6.2, US-011</t>
        </is>
      </c>
      <c r="G8" s="13" t="inlineStr">
        <is>
          <t>A role cannot open another role's page by URL</t>
        </is>
      </c>
      <c r="H8" s="13" t="inlineStr">
        <is>
          <t>Logged in as Subject Teacher.</t>
        </is>
      </c>
      <c r="I8" s="13" t="inlineStr">
        <is>
          <t>1. Type /users in the address bar.
2. Type /audit-log.
3. Type /consolidated-records.</t>
        </is>
      </c>
      <c r="J8" s="13" t="inlineStr">
        <is>
          <t>subject.grade6a</t>
        </is>
      </c>
      <c r="K8" s="13" t="inlineStr">
        <is>
          <t>Each attempt redirects to the user's own Dashboard. No Admin or Adviser data is shown.</t>
        </is>
      </c>
      <c r="L8" s="16" t="n"/>
      <c r="M8" s="17" t="n"/>
      <c r="N8" s="16" t="n"/>
      <c r="O8" s="18" t="n"/>
      <c r="P8" s="17" t="n"/>
      <c r="Q8" s="16" t="n"/>
    </row>
    <row r="9" ht="60" customHeight="1" s="25">
      <c r="A9" s="14" t="inlineStr">
        <is>
          <t>TC-008</t>
        </is>
      </c>
      <c r="B9" s="13" t="inlineStr">
        <is>
          <t>Account</t>
        </is>
      </c>
      <c r="C9" s="15" t="inlineStr">
        <is>
          <t>All</t>
        </is>
      </c>
      <c r="D9" s="15" t="inlineStr">
        <is>
          <t>Web</t>
        </is>
      </c>
      <c r="E9" s="13" t="inlineStr">
        <is>
          <t>Security</t>
        </is>
      </c>
      <c r="F9" s="13" t="inlineStr">
        <is>
          <t>EPIC-01</t>
        </is>
      </c>
      <c r="G9" s="13" t="inlineStr">
        <is>
          <t>Change own password</t>
        </is>
      </c>
      <c r="H9" s="13" t="inlineStr">
        <is>
          <t>Logged in.</t>
        </is>
      </c>
      <c r="I9" s="13" t="inlineStr">
        <is>
          <t>1. Open Settings.
2. Enter the current password and a new password with at least 8 characters, a letter and a number.
3. Save.
4. Log out and log in with the new password.</t>
        </is>
      </c>
      <c r="J9" s="13" t="inlineStr">
        <is>
          <t>New password e.g. Educheck2026</t>
        </is>
      </c>
      <c r="K9" s="13" t="inlineStr">
        <is>
          <t>Password is changed. The old password no longer works and the new one does.</t>
        </is>
      </c>
      <c r="L9" s="16" t="n"/>
      <c r="M9" s="17" t="n"/>
      <c r="N9" s="16" t="n"/>
      <c r="O9" s="18" t="n"/>
      <c r="P9" s="17" t="n"/>
      <c r="Q9" s="16" t="n"/>
    </row>
    <row r="10" ht="87" customHeight="1" s="25">
      <c r="A10" s="14" t="inlineStr">
        <is>
          <t>TC-009</t>
        </is>
      </c>
      <c r="B10" s="13" t="inlineStr">
        <is>
          <t>Account</t>
        </is>
      </c>
      <c r="C10" s="15" t="inlineStr">
        <is>
          <t>Subject Teacher</t>
        </is>
      </c>
      <c r="D10" s="15" t="inlineStr">
        <is>
          <t>Web</t>
        </is>
      </c>
      <c r="E10" s="13" t="inlineStr">
        <is>
          <t>Functional suitability</t>
        </is>
      </c>
      <c r="F10" s="13" t="inlineStr">
        <is>
          <t>EPIC-01</t>
        </is>
      </c>
      <c r="G10" s="13" t="inlineStr">
        <is>
          <t>Settings shows own profile and assignments</t>
        </is>
      </c>
      <c r="H10" s="13" t="inlineStr">
        <is>
          <t>Teacher profile and assignments exist.</t>
        </is>
      </c>
      <c r="I10" s="13" t="inlineStr">
        <is>
          <t>1. Open Settings.
2. Check Account Information and My Assignments.
3. Open the Dashboard.</t>
        </is>
      </c>
      <c r="J10" s="13" t="inlineStr">
        <is>
          <t>subject.grade6a</t>
        </is>
      </c>
      <c r="K10" s="13" t="inlineStr">
        <is>
          <t>Full name, employee no. and contact number are shown read-only, with a note to ask the Administrator for changes. My Assignments lists only this teacher's sections and subjects with the school year. The Dashboard header shows the full name.</t>
        </is>
      </c>
      <c r="L10" s="16" t="n"/>
      <c r="M10" s="17" t="n"/>
      <c r="N10" s="16" t="n"/>
      <c r="O10" s="18" t="n"/>
      <c r="P10" s="17" t="n"/>
      <c r="Q10" s="16" t="n"/>
    </row>
    <row r="11" ht="46.5" customHeight="1" s="25">
      <c r="A11" s="14" t="inlineStr">
        <is>
          <t>TC-010</t>
        </is>
      </c>
      <c r="B11" s="13" t="inlineStr">
        <is>
          <t>Account</t>
        </is>
      </c>
      <c r="C11" s="15" t="inlineStr">
        <is>
          <t>Principal</t>
        </is>
      </c>
      <c r="D11" s="15" t="inlineStr">
        <is>
          <t>Web</t>
        </is>
      </c>
      <c r="E11" s="13" t="inlineStr">
        <is>
          <t>Functional suitability</t>
        </is>
      </c>
      <c r="F11" s="13" t="inlineStr">
        <is>
          <t>L-05</t>
        </is>
      </c>
      <c r="G11" s="13" t="inlineStr">
        <is>
          <t>Account without a teacher profile</t>
        </is>
      </c>
      <c r="H11" s="13" t="inlineStr">
        <is>
          <t>Logged in as Principal or Admin.</t>
        </is>
      </c>
      <c r="I11" s="13" t="inlineStr">
        <is>
          <t>1. Open Settings.</t>
        </is>
      </c>
      <c r="J11" s="13" t="inlineStr">
        <is>
          <t>principal.educheck</t>
        </is>
      </c>
      <c r="K11" s="13" t="inlineStr">
        <is>
          <t>Username, email, role and status are shown. No name rows and no My Assignments card appear. Nothing is broken or blank.</t>
        </is>
      </c>
      <c r="L11" s="16" t="n"/>
      <c r="M11" s="17" t="n"/>
      <c r="N11" s="16" t="n"/>
      <c r="O11" s="18" t="n"/>
      <c r="P11" s="17" t="n"/>
      <c r="Q11" s="16" t="n"/>
    </row>
    <row r="12" ht="33" customHeight="1" s="25">
      <c r="A12" s="14" t="inlineStr">
        <is>
          <t>TC-011</t>
        </is>
      </c>
      <c r="B12" s="13" t="inlineStr">
        <is>
          <t>Account</t>
        </is>
      </c>
      <c r="C12" s="15" t="inlineStr">
        <is>
          <t>All</t>
        </is>
      </c>
      <c r="D12" s="15" t="inlineStr">
        <is>
          <t>Web</t>
        </is>
      </c>
      <c r="E12" s="13" t="inlineStr">
        <is>
          <t>Security</t>
        </is>
      </c>
      <c r="F12" s="13" t="inlineStr">
        <is>
          <t>EPIC-01</t>
        </is>
      </c>
      <c r="G12" s="13" t="inlineStr">
        <is>
          <t>Weak new password is rejected</t>
        </is>
      </c>
      <c r="H12" s="13" t="inlineStr">
        <is>
          <t>Logged in.</t>
        </is>
      </c>
      <c r="I12" s="13" t="inlineStr">
        <is>
          <t>1. Open Settings.
2. Try a new password with fewer than 8 characters or no number.</t>
        </is>
      </c>
      <c r="J12" s="13" t="inlineStr">
        <is>
          <t>e.g. abcdefg</t>
        </is>
      </c>
      <c r="K12" s="13" t="inlineStr">
        <is>
          <t>The change is refused with a message explaining the password rule.</t>
        </is>
      </c>
      <c r="L12" s="16" t="n"/>
      <c r="M12" s="17" t="n"/>
      <c r="N12" s="16" t="n"/>
      <c r="O12" s="18" t="n"/>
      <c r="P12" s="17" t="n"/>
      <c r="Q12" s="16" t="n"/>
    </row>
    <row r="13" ht="46.5" customHeight="1" s="25">
      <c r="A13" s="14" t="inlineStr">
        <is>
          <t>TC-012</t>
        </is>
      </c>
      <c r="B13" s="13" t="inlineStr">
        <is>
          <t>User Management</t>
        </is>
      </c>
      <c r="C13" s="15" t="inlineStr">
        <is>
          <t>Admin</t>
        </is>
      </c>
      <c r="D13" s="15" t="inlineStr">
        <is>
          <t>Web</t>
        </is>
      </c>
      <c r="E13" s="13" t="inlineStr">
        <is>
          <t>Functional suitability</t>
        </is>
      </c>
      <c r="F13" s="13" t="inlineStr">
        <is>
          <t>§6.2</t>
        </is>
      </c>
      <c r="G13" s="13" t="inlineStr">
        <is>
          <t>Create a user account</t>
        </is>
      </c>
      <c r="H13" s="13" t="inlineStr">
        <is>
          <t>Logged in as Admin.</t>
        </is>
      </c>
      <c r="I13" s="13" t="inlineStr">
        <is>
          <t>1. Open User Management.
2. Click Add User and fill in username, email, password and role.
3. Save.</t>
        </is>
      </c>
      <c r="J13" s="13" t="inlineStr">
        <is>
          <t>New test user</t>
        </is>
      </c>
      <c r="K13" s="13" t="inlineStr">
        <is>
          <t>The user appears in the list with the chosen role and Active status, and can log in.</t>
        </is>
      </c>
      <c r="L13" s="16" t="n"/>
      <c r="M13" s="17" t="n"/>
      <c r="N13" s="16" t="n"/>
      <c r="O13" s="18" t="n"/>
      <c r="P13" s="17" t="n"/>
      <c r="Q13" s="16" t="n"/>
    </row>
    <row r="14" ht="46.5" customHeight="1" s="25">
      <c r="A14" s="14" t="inlineStr">
        <is>
          <t>TC-013</t>
        </is>
      </c>
      <c r="B14" s="13" t="inlineStr">
        <is>
          <t>User Management</t>
        </is>
      </c>
      <c r="C14" s="15" t="inlineStr">
        <is>
          <t>Admin</t>
        </is>
      </c>
      <c r="D14" s="15" t="inlineStr">
        <is>
          <t>Web</t>
        </is>
      </c>
      <c r="E14" s="13" t="inlineStr">
        <is>
          <t>Functional suitability</t>
        </is>
      </c>
      <c r="F14" s="13" t="inlineStr">
        <is>
          <t>§6.2</t>
        </is>
      </c>
      <c r="G14" s="13" t="inlineStr">
        <is>
          <t>Edit a user and deactivate it</t>
        </is>
      </c>
      <c r="H14" s="13" t="inlineStr">
        <is>
          <t>A test user exists.</t>
        </is>
      </c>
      <c r="I14" s="13" t="inlineStr">
        <is>
          <t>1. Edit the user and change the role or email.
2. Set Status to Inactive and save.</t>
        </is>
      </c>
      <c r="J14" s="13" t="inlineStr">
        <is>
          <t>Test user</t>
        </is>
      </c>
      <c r="K14" s="13" t="inlineStr">
        <is>
          <t>Changes are saved and shown in the list. The inactive user can no longer log in (see TC for inactive login).</t>
        </is>
      </c>
      <c r="L14" s="16" t="n"/>
      <c r="M14" s="17" t="n"/>
      <c r="N14" s="16" t="n"/>
      <c r="O14" s="18" t="n"/>
      <c r="P14" s="17" t="n"/>
      <c r="Q14" s="16" t="n"/>
    </row>
    <row r="15" ht="46.5" customHeight="1" s="25">
      <c r="A15" s="14" t="inlineStr">
        <is>
          <t>TC-014</t>
        </is>
      </c>
      <c r="B15" s="13" t="inlineStr">
        <is>
          <t>User Management</t>
        </is>
      </c>
      <c r="C15" s="15" t="inlineStr">
        <is>
          <t>Admin</t>
        </is>
      </c>
      <c r="D15" s="15" t="inlineStr">
        <is>
          <t>Web</t>
        </is>
      </c>
      <c r="E15" s="13" t="inlineStr">
        <is>
          <t>Functional suitability</t>
        </is>
      </c>
      <c r="F15" s="13" t="inlineStr">
        <is>
          <t>L-02</t>
        </is>
      </c>
      <c r="G15" s="13" t="inlineStr">
        <is>
          <t>Admin resets a user's password</t>
        </is>
      </c>
      <c r="H15" s="13" t="inlineStr">
        <is>
          <t>A test user exists.</t>
        </is>
      </c>
      <c r="I15" s="13" t="inlineStr">
        <is>
          <t>1. Edit the user and set a new password.
2. Log in as that user with it.</t>
        </is>
      </c>
      <c r="J15" s="13" t="inlineStr">
        <is>
          <t>Test user</t>
        </is>
      </c>
      <c r="K15" s="13" t="inlineStr">
        <is>
          <t>The user can log in with the new password (this is the password-recovery path, see Known Limitations L-02).</t>
        </is>
      </c>
      <c r="L15" s="16" t="n"/>
      <c r="M15" s="17" t="n"/>
      <c r="N15" s="16" t="n"/>
      <c r="O15" s="18" t="n"/>
      <c r="P15" s="17" t="n"/>
      <c r="Q15" s="16" t="n"/>
    </row>
    <row r="16" ht="30" customHeight="1" s="25">
      <c r="A16" s="14" t="inlineStr">
        <is>
          <t>TC-015</t>
        </is>
      </c>
      <c r="B16" s="13" t="inlineStr">
        <is>
          <t>User Management</t>
        </is>
      </c>
      <c r="C16" s="15" t="inlineStr">
        <is>
          <t>Admin</t>
        </is>
      </c>
      <c r="D16" s="15" t="inlineStr">
        <is>
          <t>Web</t>
        </is>
      </c>
      <c r="E16" s="13" t="inlineStr">
        <is>
          <t>Usability</t>
        </is>
      </c>
      <c r="F16" s="13" t="inlineStr">
        <is>
          <t>§6.2</t>
        </is>
      </c>
      <c r="G16" s="13" t="inlineStr">
        <is>
          <t>Search users</t>
        </is>
      </c>
      <c r="H16" s="13" t="inlineStr">
        <is>
          <t>Several users exist.</t>
        </is>
      </c>
      <c r="I16" s="13" t="inlineStr">
        <is>
          <t>1. Type part of a username in the search box.</t>
        </is>
      </c>
      <c r="J16" s="13" t="inlineStr">
        <is>
          <t>e.g. grade6</t>
        </is>
      </c>
      <c r="K16" s="13" t="inlineStr">
        <is>
          <t>Only matching users are listed.</t>
        </is>
      </c>
      <c r="L16" s="16" t="n"/>
      <c r="M16" s="17" t="n"/>
      <c r="N16" s="16" t="n"/>
      <c r="O16" s="18" t="n"/>
      <c r="P16" s="17" t="n"/>
      <c r="Q16" s="16" t="n"/>
    </row>
    <row r="17" ht="46.5" customHeight="1" s="25">
      <c r="A17" s="14" t="inlineStr">
        <is>
          <t>TC-016</t>
        </is>
      </c>
      <c r="B17" s="13" t="inlineStr">
        <is>
          <t>Teacher Management</t>
        </is>
      </c>
      <c r="C17" s="15" t="inlineStr">
        <is>
          <t>Admin</t>
        </is>
      </c>
      <c r="D17" s="15" t="inlineStr">
        <is>
          <t>Web</t>
        </is>
      </c>
      <c r="E17" s="13" t="inlineStr">
        <is>
          <t>Functional suitability</t>
        </is>
      </c>
      <c r="F17" s="13" t="inlineStr">
        <is>
          <t>§6.2</t>
        </is>
      </c>
      <c r="G17" s="13" t="inlineStr">
        <is>
          <t>Add and edit a teacher profile</t>
        </is>
      </c>
      <c r="H17" s="13" t="inlineStr">
        <is>
          <t>Logged in as Admin.</t>
        </is>
      </c>
      <c r="I17" s="13" t="inlineStr">
        <is>
          <t>1. Open Teacher Management.
2. Add a teacher linked to a user account.
3. Edit the teacher's details.</t>
        </is>
      </c>
      <c r="J17" s="13" t="inlineStr">
        <is>
          <t>Test teacher</t>
        </is>
      </c>
      <c r="K17" s="13" t="inlineStr">
        <is>
          <t>The teacher is saved and the changes appear in the list.</t>
        </is>
      </c>
      <c r="L17" s="16" t="n"/>
      <c r="M17" s="17" t="n"/>
      <c r="N17" s="16" t="n"/>
      <c r="O17" s="18" t="n"/>
      <c r="P17" s="17" t="n"/>
      <c r="Q17" s="16" t="n"/>
    </row>
    <row r="18" ht="46.5" customHeight="1" s="25">
      <c r="A18" s="14" t="inlineStr">
        <is>
          <t>TC-017</t>
        </is>
      </c>
      <c r="B18" s="13" t="inlineStr">
        <is>
          <t>Section &amp; Assignments</t>
        </is>
      </c>
      <c r="C18" s="15" t="inlineStr">
        <is>
          <t>Admin</t>
        </is>
      </c>
      <c r="D18" s="15" t="inlineStr">
        <is>
          <t>Web</t>
        </is>
      </c>
      <c r="E18" s="13" t="inlineStr">
        <is>
          <t>Functional suitability</t>
        </is>
      </c>
      <c r="F18" s="13" t="inlineStr">
        <is>
          <t>§6.2, US-009</t>
        </is>
      </c>
      <c r="G18" s="13" t="inlineStr">
        <is>
          <t>Assign a teacher to several subjects of a section in one save</t>
        </is>
      </c>
      <c r="H18" s="13" t="inlineStr">
        <is>
          <t>A section, a teacher, and subjects of the section's grade level not yet assigned.</t>
        </is>
      </c>
      <c r="I18" s="13" t="inlineStr">
        <is>
          <t>1. Open Section &amp; Teacher Assignments and click Add Assignment.
2. Choose the teacher, section and school year.
3. Tick two or more subjects and save.</t>
        </is>
      </c>
      <c r="J18" s="13" t="inlineStr">
        <is>
          <t>e.g. Grade 6 English and Science to Rizal</t>
        </is>
      </c>
      <c r="K18" s="13" t="inlineStr">
        <is>
          <t>One save creates every ticked assignment, each listed separately. Subjects already held by another teacher show who holds them and cannot be ticked. The teacher now sees those subjects for that section on the upload page.</t>
        </is>
      </c>
      <c r="L18" s="16" t="n"/>
      <c r="M18" s="17" t="n"/>
      <c r="N18" s="16" t="n"/>
      <c r="O18" s="18" t="n"/>
      <c r="P18" s="17" t="n"/>
      <c r="Q18" s="16" t="n"/>
    </row>
    <row r="19" ht="33" customHeight="1" s="25">
      <c r="A19" s="14" t="inlineStr">
        <is>
          <t>TC-018</t>
        </is>
      </c>
      <c r="B19" s="13" t="inlineStr">
        <is>
          <t>Section &amp; Assignments</t>
        </is>
      </c>
      <c r="C19" s="15" t="inlineStr">
        <is>
          <t>Admin</t>
        </is>
      </c>
      <c r="D19" s="15" t="inlineStr">
        <is>
          <t>Web</t>
        </is>
      </c>
      <c r="E19" s="13" t="inlineStr">
        <is>
          <t>Functional suitability</t>
        </is>
      </c>
      <c r="F19" s="13" t="inlineStr">
        <is>
          <t>§6.2, US-009</t>
        </is>
      </c>
      <c r="G19" s="13" t="inlineStr">
        <is>
          <t>Only the section's own grade-level subjects are offered</t>
        </is>
      </c>
      <c r="H19" s="13" t="inlineStr">
        <is>
          <t>Logged in as Admin.</t>
        </is>
      </c>
      <c r="I19" s="13" t="inlineStr">
        <is>
          <t>1. Open Add Assignment and choose a Grade 6 section.
2. Look at the subject checklist.</t>
        </is>
      </c>
      <c r="J19" s="13" t="inlineStr">
        <is>
          <t>Rizal (Grade 6)</t>
        </is>
      </c>
      <c r="K19" s="13" t="inlineStr">
        <is>
          <t>Only Grade 6 subjects are listed, so a subject from another grade level cannot be chosen.</t>
        </is>
      </c>
      <c r="L19" s="16" t="n"/>
      <c r="M19" s="17" t="n"/>
      <c r="N19" s="16" t="n"/>
      <c r="O19" s="18" t="n"/>
      <c r="P19" s="17" t="n"/>
      <c r="Q19" s="16" t="n"/>
    </row>
    <row r="20" ht="60" customHeight="1" s="25">
      <c r="A20" s="14" t="inlineStr">
        <is>
          <t>TC-019</t>
        </is>
      </c>
      <c r="B20" s="13" t="inlineStr">
        <is>
          <t>Section &amp; Assignments</t>
        </is>
      </c>
      <c r="C20" s="15" t="inlineStr">
        <is>
          <t>Admin</t>
        </is>
      </c>
      <c r="D20" s="15" t="inlineStr">
        <is>
          <t>Web</t>
        </is>
      </c>
      <c r="E20" s="13" t="inlineStr">
        <is>
          <t>Security</t>
        </is>
      </c>
      <c r="F20" s="13" t="inlineStr">
        <is>
          <t>§6.2</t>
        </is>
      </c>
      <c r="G20" s="13" t="inlineStr">
        <is>
          <t>Subject Teacher account cannot be Class Adviser</t>
        </is>
      </c>
      <c r="H20" s="13" t="inlineStr">
        <is>
          <t>A section without a Class Adviser.</t>
        </is>
      </c>
      <c r="I20" s="13" t="inlineStr">
        <is>
          <t>1. Open Add Assignment.
2. Choose a teacher with a Subject Teacher account and a section without a Class Adviser.
3. Look at the Class Adviser box.</t>
        </is>
      </c>
      <c r="J20" s="13" t="inlineStr">
        <is>
          <t>subject.grade6a</t>
        </is>
      </c>
      <c r="K20" s="13" t="inlineStr">
        <is>
          <t>The Class Adviser box cannot be ticked and says it needs an Adviser account. The section's Adviser slot stays free.</t>
        </is>
      </c>
      <c r="L20" s="16" t="n"/>
      <c r="M20" s="17" t="n"/>
      <c r="N20" s="16" t="n"/>
      <c r="O20" s="18" t="n"/>
      <c r="P20" s="17" t="n"/>
      <c r="Q20" s="16" t="n"/>
    </row>
    <row r="21" ht="46.5" customHeight="1" s="25">
      <c r="A21" s="14" t="inlineStr">
        <is>
          <t>TC-020</t>
        </is>
      </c>
      <c r="B21" s="13" t="inlineStr">
        <is>
          <t>Section &amp; Assignments</t>
        </is>
      </c>
      <c r="C21" s="15" t="inlineStr">
        <is>
          <t>Admin</t>
        </is>
      </c>
      <c r="D21" s="15" t="inlineStr">
        <is>
          <t>Web</t>
        </is>
      </c>
      <c r="E21" s="13" t="inlineStr">
        <is>
          <t>Functional suitability</t>
        </is>
      </c>
      <c r="F21" s="13" t="inlineStr">
        <is>
          <t>§6.2</t>
        </is>
      </c>
      <c r="G21" s="13" t="inlineStr">
        <is>
          <t>Set section staffing mode</t>
        </is>
      </c>
      <c r="H21" s="13" t="inlineStr">
        <is>
          <t>A section whose Adviser has no subject assignment.</t>
        </is>
      </c>
      <c r="I21" s="13" t="inlineStr">
        <is>
          <t>1. Set a section to Self-Contained, then to Departmentalized.</t>
        </is>
      </c>
      <c r="J21" s="13" t="inlineStr">
        <is>
          <t>Mabini or Rizal</t>
        </is>
      </c>
      <c r="K21" s="13" t="inlineStr">
        <is>
          <t>Self-Contained: the Adviser can upload every subject of the section. Departmentalized: the Adviser can upload only subjects assigned to them; with none, the upload menu is hidden. Switch the section back afterwards.</t>
        </is>
      </c>
      <c r="L21" s="16" t="n"/>
      <c r="M21" s="17" t="n"/>
      <c r="N21" s="16" t="n"/>
      <c r="O21" s="18" t="n"/>
      <c r="P21" s="17" t="n"/>
      <c r="Q21" s="16" t="n"/>
    </row>
    <row r="22" ht="46.5" customHeight="1" s="25">
      <c r="A22" s="14" t="inlineStr">
        <is>
          <t>TC-021</t>
        </is>
      </c>
      <c r="B22" s="13" t="inlineStr">
        <is>
          <t>Audit Log</t>
        </is>
      </c>
      <c r="C22" s="15" t="inlineStr">
        <is>
          <t>Admin</t>
        </is>
      </c>
      <c r="D22" s="15" t="inlineStr">
        <is>
          <t>Web</t>
        </is>
      </c>
      <c r="E22" s="13" t="inlineStr">
        <is>
          <t>Functional suitability</t>
        </is>
      </c>
      <c r="F22" s="13" t="inlineStr">
        <is>
          <t>EPIC-07</t>
        </is>
      </c>
      <c r="G22" s="13" t="inlineStr">
        <is>
          <t>Actions are recorded in the audit log</t>
        </is>
      </c>
      <c r="H22" s="13" t="inlineStr">
        <is>
          <t>Logged in as Admin. Some uploads, approvals or edits were done.</t>
        </is>
      </c>
      <c r="I22" s="13" t="inlineStr">
        <is>
          <t>1. Open Audit Log.
2. Filter or search for a recent action.</t>
        </is>
      </c>
      <c r="J22" s="13" t="inlineStr">
        <is>
          <t>-</t>
        </is>
      </c>
      <c r="K22" s="13" t="inlineStr">
        <is>
          <t>Each action shows who did it, what was done and when.</t>
        </is>
      </c>
      <c r="L22" s="16" t="n"/>
      <c r="M22" s="17" t="n"/>
      <c r="N22" s="16" t="n"/>
      <c r="O22" s="18" t="n"/>
      <c r="P22" s="17" t="n"/>
      <c r="Q22" s="16" t="n"/>
    </row>
    <row r="23" ht="46.5" customHeight="1" s="25">
      <c r="A23" s="14" t="inlineStr">
        <is>
          <t>TC-022</t>
        </is>
      </c>
      <c r="B23" s="13" t="inlineStr">
        <is>
          <t>Upload</t>
        </is>
      </c>
      <c r="C23" s="15" t="inlineStr">
        <is>
          <t>Subject Teacher</t>
        </is>
      </c>
      <c r="D23" s="15" t="inlineStr">
        <is>
          <t>Web</t>
        </is>
      </c>
      <c r="E23" s="13" t="inlineStr">
        <is>
          <t>Functional suitability</t>
        </is>
      </c>
      <c r="F23" s="13" t="inlineStr">
        <is>
          <t>EPIC-02, US-002</t>
        </is>
      </c>
      <c r="G23" s="13" t="inlineStr">
        <is>
          <t>Upload a valid e-class record</t>
        </is>
      </c>
      <c r="H23" s="13" t="inlineStr">
        <is>
          <t>Teacher is assigned to the subject and section.</t>
        </is>
      </c>
      <c r="I23" s="13" t="inlineStr">
        <is>
          <t>1. Open Upload e-Class Record.
2. Select the subject, section and school year.
3. Choose the Excel file and upload.</t>
        </is>
      </c>
      <c r="J23" s="13" t="inlineStr">
        <is>
          <t>UAT-files/TC-022_valid-ecr-rizal.xlsx</t>
        </is>
      </c>
      <c r="K23" s="13" t="inlineStr">
        <is>
          <t>Upload succeeds. The record shows as Validated with 0 errors and appears in the teacher's upload list.</t>
        </is>
      </c>
      <c r="L23" s="16" t="n"/>
      <c r="M23" s="17" t="n"/>
      <c r="N23" s="16" t="n"/>
      <c r="O23" s="18" t="n"/>
      <c r="P23" s="17" t="n"/>
      <c r="Q23" s="16" t="n"/>
    </row>
    <row r="24" ht="33" customHeight="1" s="25">
      <c r="A24" s="14" t="inlineStr">
        <is>
          <t>TC-023</t>
        </is>
      </c>
      <c r="B24" s="13" t="inlineStr">
        <is>
          <t>Upload</t>
        </is>
      </c>
      <c r="C24" s="15" t="inlineStr">
        <is>
          <t>Subject Teacher</t>
        </is>
      </c>
      <c r="D24" s="15" t="inlineStr">
        <is>
          <t>Web</t>
        </is>
      </c>
      <c r="E24" s="13" t="inlineStr">
        <is>
          <t>Functional suitability</t>
        </is>
      </c>
      <c r="F24" s="13" t="inlineStr">
        <is>
          <t>EPIC-02, US-002</t>
        </is>
      </c>
      <c r="G24" s="13" t="inlineStr">
        <is>
          <t>Only assigned subjects and sections are offered</t>
        </is>
      </c>
      <c r="H24" s="13" t="inlineStr">
        <is>
          <t>Teacher has at least one assignment.</t>
        </is>
      </c>
      <c r="I24" s="13" t="inlineStr">
        <is>
          <t>1. Open the upload page and look at the subject and section choices.</t>
        </is>
      </c>
      <c r="J24" s="13" t="inlineStr">
        <is>
          <t>-</t>
        </is>
      </c>
      <c r="K24" s="13" t="inlineStr">
        <is>
          <t>Only the teacher's own assigned subject/section pairs are listed.</t>
        </is>
      </c>
      <c r="L24" s="16" t="n"/>
      <c r="M24" s="17" t="n"/>
      <c r="N24" s="16" t="n"/>
      <c r="O24" s="18" t="n"/>
      <c r="P24" s="17" t="n"/>
      <c r="Q24" s="16" t="n"/>
    </row>
    <row r="25" ht="33" customHeight="1" s="25">
      <c r="A25" s="14" t="inlineStr">
        <is>
          <t>TC-024</t>
        </is>
      </c>
      <c r="B25" s="13" t="inlineStr">
        <is>
          <t>Upload</t>
        </is>
      </c>
      <c r="C25" s="15" t="inlineStr">
        <is>
          <t>Subject Teacher</t>
        </is>
      </c>
      <c r="D25" s="15" t="inlineStr">
        <is>
          <t>Web</t>
        </is>
      </c>
      <c r="E25" s="13" t="inlineStr">
        <is>
          <t>Security</t>
        </is>
      </c>
      <c r="F25" s="13" t="inlineStr">
        <is>
          <t>EPIC-02</t>
        </is>
      </c>
      <c r="G25" s="13" t="inlineStr">
        <is>
          <t>Non-Excel file is rejected</t>
        </is>
      </c>
      <c r="H25" s="13" t="inlineStr">
        <is>
          <t>Logged in as Subject Teacher.</t>
        </is>
      </c>
      <c r="I25" s="13" t="inlineStr">
        <is>
          <t>1. Try to upload a .pdf or .txt file.</t>
        </is>
      </c>
      <c r="J25" s="13" t="inlineStr">
        <is>
          <t>UAT-files/TC-024_not-excel.txt</t>
        </is>
      </c>
      <c r="K25" s="13" t="inlineStr">
        <is>
          <t>The upload is refused with a message that only Excel files are accepted.</t>
        </is>
      </c>
      <c r="L25" s="16" t="n"/>
      <c r="M25" s="17" t="n"/>
      <c r="N25" s="16" t="n"/>
      <c r="O25" s="18" t="n"/>
      <c r="P25" s="17" t="n"/>
      <c r="Q25" s="16" t="n"/>
    </row>
    <row r="26" ht="33" customHeight="1" s="25">
      <c r="A26" s="14" t="inlineStr">
        <is>
          <t>TC-025</t>
        </is>
      </c>
      <c r="B26" s="13" t="inlineStr">
        <is>
          <t>Upload</t>
        </is>
      </c>
      <c r="C26" s="15" t="inlineStr">
        <is>
          <t>Subject Teacher</t>
        </is>
      </c>
      <c r="D26" s="15" t="inlineStr">
        <is>
          <t>Web</t>
        </is>
      </c>
      <c r="E26" s="13" t="inlineStr">
        <is>
          <t>Security</t>
        </is>
      </c>
      <c r="F26" s="13" t="inlineStr">
        <is>
          <t>D-06</t>
        </is>
      </c>
      <c r="G26" s="13" t="inlineStr">
        <is>
          <t>File over 10 MB is rejected</t>
        </is>
      </c>
      <c r="H26" s="13" t="inlineStr">
        <is>
          <t>Logged in as Subject Teacher.</t>
        </is>
      </c>
      <c r="I26" s="13" t="inlineStr">
        <is>
          <t>1. Try to upload an .xlsx file larger than 10 MB.</t>
        </is>
      </c>
      <c r="J26" s="13" t="inlineStr">
        <is>
          <t>UAT-files/TC-025_oversized-11MB.xlsx</t>
        </is>
      </c>
      <c r="K26" s="13" t="inlineStr">
        <is>
          <t>The upload is refused with "The file is larger than 10 MB..."</t>
        </is>
      </c>
      <c r="L26" s="16" t="n"/>
      <c r="M26" s="17" t="n"/>
      <c r="N26" s="16" t="n"/>
      <c r="O26" s="18" t="n"/>
      <c r="P26" s="17" t="n"/>
      <c r="Q26" s="16" t="n"/>
    </row>
    <row r="27" ht="46.5" customHeight="1" s="25">
      <c r="A27" s="14" t="inlineStr">
        <is>
          <t>TC-026</t>
        </is>
      </c>
      <c r="B27" s="13" t="inlineStr">
        <is>
          <t>Upload</t>
        </is>
      </c>
      <c r="C27" s="15" t="inlineStr">
        <is>
          <t>Subject Teacher</t>
        </is>
      </c>
      <c r="D27" s="15" t="inlineStr">
        <is>
          <t>Web</t>
        </is>
      </c>
      <c r="E27" s="13" t="inlineStr">
        <is>
          <t>Functional suitability</t>
        </is>
      </c>
      <c r="F27" s="13" t="inlineStr">
        <is>
          <t>EPIC-02/03</t>
        </is>
      </c>
      <c r="G27" s="13" t="inlineStr">
        <is>
          <t>Wrong-section roster is rejected</t>
        </is>
      </c>
      <c r="H27" s="13" t="inlineStr">
        <is>
          <t>The section already has a roster from an earlier upload.</t>
        </is>
      </c>
      <c r="I27" s="13" t="inlineStr">
        <is>
          <t>1. Upload a file whose learners belong to a different section.</t>
        </is>
      </c>
      <c r="J27" s="13" t="inlineStr">
        <is>
          <t>UAT-files/TC-026_ecr-other-section.xlsx (Mabini learners), uploaded to Rizal</t>
        </is>
      </c>
      <c r="K27" s="13" t="inlineStr">
        <is>
          <t>The upload is refused with a message that the learners do not match the section's roster.</t>
        </is>
      </c>
      <c r="L27" s="16" t="n"/>
      <c r="M27" s="17" t="n"/>
      <c r="N27" s="16" t="n"/>
      <c r="O27" s="18" t="n"/>
      <c r="P27" s="17" t="n"/>
      <c r="Q27" s="16" t="n"/>
    </row>
    <row r="28" ht="60" customHeight="1" s="25">
      <c r="A28" s="14" t="inlineStr">
        <is>
          <t>TC-027</t>
        </is>
      </c>
      <c r="B28" s="13" t="inlineStr">
        <is>
          <t>Validation</t>
        </is>
      </c>
      <c r="C28" s="15" t="inlineStr">
        <is>
          <t>Subject Teacher</t>
        </is>
      </c>
      <c r="D28" s="15" t="inlineStr">
        <is>
          <t>Web</t>
        </is>
      </c>
      <c r="E28" s="13" t="inlineStr">
        <is>
          <t>Functional suitability</t>
        </is>
      </c>
      <c r="F28" s="13" t="inlineStr">
        <is>
          <t>EPIC-04, US-004</t>
        </is>
      </c>
      <c r="G28" s="13" t="inlineStr">
        <is>
          <t>Validation errors are listed per learner</t>
        </is>
      </c>
      <c r="H28" s="13" t="inlineStr">
        <is>
          <t>A file with grade errors (e.g. a final grade that does not match the terms).</t>
        </is>
      </c>
      <c r="I28" s="13" t="inlineStr">
        <is>
          <t>1. Upload the file.
2. Open its Validation Results.</t>
        </is>
      </c>
      <c r="J28" s="13" t="inlineStr">
        <is>
          <t>UAT-files/TC-027_ecr-with-errors.xlsx (3 scores above the highest possible score)</t>
        </is>
      </c>
      <c r="K28" s="13" t="inlineStr">
        <is>
          <t>Status is Needs Attention. Each issue lists the learner, term, rule and a readable message, with errors and warnings told apart.</t>
        </is>
      </c>
      <c r="L28" s="16" t="n"/>
      <c r="M28" s="17" t="n"/>
      <c r="N28" s="16" t="n"/>
      <c r="O28" s="18" t="n"/>
      <c r="P28" s="17" t="n"/>
      <c r="Q28" s="16" t="n"/>
    </row>
    <row r="29" ht="33" customHeight="1" s="25">
      <c r="A29" s="14" t="inlineStr">
        <is>
          <t>TC-028</t>
        </is>
      </c>
      <c r="B29" s="13" t="inlineStr">
        <is>
          <t>Validation</t>
        </is>
      </c>
      <c r="C29" s="15" t="inlineStr">
        <is>
          <t>Subject Teacher</t>
        </is>
      </c>
      <c r="D29" s="15" t="inlineStr">
        <is>
          <t>Web</t>
        </is>
      </c>
      <c r="E29" s="13" t="inlineStr">
        <is>
          <t>Functional suitability</t>
        </is>
      </c>
      <c r="F29" s="13" t="inlineStr">
        <is>
          <t>EPIC-04, D-02</t>
        </is>
      </c>
      <c r="G29" s="13" t="inlineStr">
        <is>
          <t>Correct by re-upload</t>
        </is>
      </c>
      <c r="H29" s="13" t="inlineStr">
        <is>
          <t>A record is in Needs Attention.</t>
        </is>
      </c>
      <c r="I29" s="13" t="inlineStr">
        <is>
          <t>1. Fix the errors in Excel.
2. Upload the corrected file for the same subject and section.</t>
        </is>
      </c>
      <c r="J29" s="13" t="inlineStr">
        <is>
          <t>UAT-files/TC-022_valid-ecr-rizal.xlsx (the corrected version of the TC-027 file)</t>
        </is>
      </c>
      <c r="K29" s="13" t="inlineStr">
        <is>
          <t>The new upload is Validated and replaces the earlier grades for that subject.</t>
        </is>
      </c>
      <c r="L29" s="16" t="n"/>
      <c r="M29" s="17" t="n"/>
      <c r="N29" s="16" t="n"/>
      <c r="O29" s="18" t="n"/>
      <c r="P29" s="17" t="n"/>
      <c r="Q29" s="16" t="n"/>
    </row>
    <row r="30" ht="46.5" customHeight="1" s="25">
      <c r="A30" s="14" t="inlineStr">
        <is>
          <t>TC-029</t>
        </is>
      </c>
      <c r="B30" s="13" t="inlineStr">
        <is>
          <t>Validation</t>
        </is>
      </c>
      <c r="C30" s="15" t="inlineStr">
        <is>
          <t>Admin</t>
        </is>
      </c>
      <c r="D30" s="15" t="inlineStr">
        <is>
          <t>Web</t>
        </is>
      </c>
      <c r="E30" s="13" t="inlineStr">
        <is>
          <t>Functional suitability</t>
        </is>
      </c>
      <c r="F30" s="13" t="inlineStr">
        <is>
          <t>D-01</t>
        </is>
      </c>
      <c r="G30" s="13" t="inlineStr">
        <is>
          <t>Validation rules are read-only</t>
        </is>
      </c>
      <c r="H30" s="13" t="inlineStr">
        <is>
          <t>Logged in as Admin.</t>
        </is>
      </c>
      <c r="I30" s="13" t="inlineStr">
        <is>
          <t>1. Open Settings and find the validation rules card.</t>
        </is>
      </c>
      <c r="J30" s="13" t="inlineStr">
        <is>
          <t>-</t>
        </is>
      </c>
      <c r="K30" s="13" t="inlineStr">
        <is>
          <t>The DepEd rules are listed for reference. There is no way to edit or switch them off.</t>
        </is>
      </c>
      <c r="L30" s="16" t="n"/>
      <c r="M30" s="17" t="n"/>
      <c r="N30" s="16" t="n"/>
      <c r="O30" s="18" t="n"/>
      <c r="P30" s="17" t="n"/>
      <c r="Q30" s="16" t="n"/>
    </row>
    <row r="31" ht="33" customHeight="1" s="25">
      <c r="A31" s="14" t="inlineStr">
        <is>
          <t>TC-030</t>
        </is>
      </c>
      <c r="B31" s="13" t="inlineStr">
        <is>
          <t>Upload</t>
        </is>
      </c>
      <c r="C31" s="15" t="inlineStr">
        <is>
          <t>Adviser</t>
        </is>
      </c>
      <c r="D31" s="15" t="inlineStr">
        <is>
          <t>Web</t>
        </is>
      </c>
      <c r="E31" s="13" t="inlineStr">
        <is>
          <t>Functional suitability</t>
        </is>
      </c>
      <c r="F31" s="13" t="inlineStr">
        <is>
          <t>US-011</t>
        </is>
      </c>
      <c r="G31" s="13" t="inlineStr">
        <is>
          <t>Adviser uploads their own assigned subject</t>
        </is>
      </c>
      <c r="H31" s="13" t="inlineStr">
        <is>
          <t>Rizal is Departmentalized and the Adviser is assigned at least one of its subjects.</t>
        </is>
      </c>
      <c r="I31" s="13" t="inlineStr">
        <is>
          <t>1. Open Upload Files.
2. Check which subjects are offered for Rizal.
3. Upload the file for one of the Adviser's own subjects.</t>
        </is>
      </c>
      <c r="J31" s="13" t="inlineStr">
        <is>
          <t>adviser.grade6a, Rizal, the matching file from UAT-files/per-subject/</t>
        </is>
      </c>
      <c r="K31" s="13" t="inlineStr">
        <is>
          <t>Only the Adviser's own subjects are offered. The upload succeeds as for a Subject Teacher.</t>
        </is>
      </c>
      <c r="L31" s="16" t="n"/>
      <c r="M31" s="17" t="n"/>
      <c r="N31" s="16" t="n"/>
      <c r="O31" s="18" t="n"/>
      <c r="P31" s="17" t="n"/>
      <c r="Q31" s="16" t="n"/>
    </row>
    <row r="32" ht="46.5" customHeight="1" s="25">
      <c r="A32" s="14" t="inlineStr">
        <is>
          <t>TC-031</t>
        </is>
      </c>
      <c r="B32" s="13" t="inlineStr">
        <is>
          <t>Consolidation</t>
        </is>
      </c>
      <c r="C32" s="15" t="inlineStr">
        <is>
          <t>Adviser</t>
        </is>
      </c>
      <c r="D32" s="15" t="inlineStr">
        <is>
          <t>Web</t>
        </is>
      </c>
      <c r="E32" s="13" t="inlineStr">
        <is>
          <t>Functional suitability</t>
        </is>
      </c>
      <c r="F32" s="13" t="inlineStr">
        <is>
          <t>EPIC-03, US-008</t>
        </is>
      </c>
      <c r="G32" s="13" t="inlineStr">
        <is>
          <t>View own section's consolidated records</t>
        </is>
      </c>
      <c r="H32" s="13" t="inlineStr">
        <is>
          <t>Uploads exist for the section.</t>
        </is>
      </c>
      <c r="I32" s="13" t="inlineStr">
        <is>
          <t>1. Open Consolidated Records.</t>
        </is>
      </c>
      <c r="J32" s="13" t="inlineStr">
        <is>
          <t>adviser.grade6a</t>
        </is>
      </c>
      <c r="K32" s="13" t="inlineStr">
        <is>
          <t>Only learners of the Adviser's own section are listed, each with a subject count such as 8/8.</t>
        </is>
      </c>
      <c r="L32" s="16" t="n"/>
      <c r="M32" s="17" t="n"/>
      <c r="N32" s="16" t="n"/>
      <c r="O32" s="18" t="n"/>
      <c r="P32" s="17" t="n"/>
      <c r="Q32" s="16" t="n"/>
    </row>
    <row r="33" ht="33" customHeight="1" s="25">
      <c r="A33" s="14" t="inlineStr">
        <is>
          <t>TC-032</t>
        </is>
      </c>
      <c r="B33" s="13" t="inlineStr">
        <is>
          <t>Consolidation</t>
        </is>
      </c>
      <c r="C33" s="15" t="inlineStr">
        <is>
          <t>Adviser</t>
        </is>
      </c>
      <c r="D33" s="15" t="inlineStr">
        <is>
          <t>Web</t>
        </is>
      </c>
      <c r="E33" s="13" t="inlineStr">
        <is>
          <t>Security</t>
        </is>
      </c>
      <c r="F33" s="13" t="inlineStr">
        <is>
          <t>§6.2, US-008</t>
        </is>
      </c>
      <c r="G33" s="13" t="inlineStr">
        <is>
          <t>Adviser cannot see another section</t>
        </is>
      </c>
      <c r="H33" s="13" t="inlineStr">
        <is>
          <t>A second section exists.</t>
        </is>
      </c>
      <c r="I33" s="13" t="inlineStr">
        <is>
          <t>1. Look through Consolidated Records, Section Progress and Analytics for another section's learners.</t>
        </is>
      </c>
      <c r="J33" s="13" t="inlineStr">
        <is>
          <t>-</t>
        </is>
      </c>
      <c r="K33" s="13" t="inlineStr">
        <is>
          <t>No learners or grades from other sections are shown anywhere.</t>
        </is>
      </c>
      <c r="L33" s="16" t="n"/>
      <c r="M33" s="17" t="n"/>
      <c r="N33" s="16" t="n"/>
      <c r="O33" s="18" t="n"/>
      <c r="P33" s="17" t="n"/>
      <c r="Q33" s="16" t="n"/>
    </row>
    <row r="34" ht="46.5" customHeight="1" s="25">
      <c r="A34" s="14" t="inlineStr">
        <is>
          <t>TC-033</t>
        </is>
      </c>
      <c r="B34" s="13" t="inlineStr">
        <is>
          <t>Consolidation</t>
        </is>
      </c>
      <c r="C34" s="15" t="inlineStr">
        <is>
          <t>Adviser</t>
        </is>
      </c>
      <c r="D34" s="15" t="inlineStr">
        <is>
          <t>Web</t>
        </is>
      </c>
      <c r="E34" s="13" t="inlineStr">
        <is>
          <t>Functional suitability</t>
        </is>
      </c>
      <c r="F34" s="13" t="inlineStr">
        <is>
          <t>EPIC-06, US-006</t>
        </is>
      </c>
      <c r="G34" s="13" t="inlineStr">
        <is>
          <t>Return a subject to its teacher</t>
        </is>
      </c>
      <c r="H34" s="13" t="inlineStr">
        <is>
          <t>A learner record has a subject with a problem.</t>
        </is>
      </c>
      <c r="I34" s="13" t="inlineStr">
        <is>
          <t>1. Open the learner's record.
2. Return the subject to the teacher with a reason.</t>
        </is>
      </c>
      <c r="J34" s="13" t="inlineStr">
        <is>
          <t>Reason text</t>
        </is>
      </c>
      <c r="K34" s="13" t="inlineStr">
        <is>
          <t>Subject status becomes Needs Revision. The Subject Teacher gets a notification with the reason.</t>
        </is>
      </c>
      <c r="L34" s="16" t="n"/>
      <c r="M34" s="17" t="n"/>
      <c r="N34" s="16" t="n"/>
      <c r="O34" s="18" t="n"/>
      <c r="P34" s="17" t="n"/>
      <c r="Q34" s="16" t="n"/>
    </row>
    <row r="35" ht="33" customHeight="1" s="25">
      <c r="A35" s="14" t="inlineStr">
        <is>
          <t>TC-034</t>
        </is>
      </c>
      <c r="B35" s="13" t="inlineStr">
        <is>
          <t>Consolidation</t>
        </is>
      </c>
      <c r="C35" s="15" t="inlineStr">
        <is>
          <t>Adviser</t>
        </is>
      </c>
      <c r="D35" s="15" t="inlineStr">
        <is>
          <t>Web</t>
        </is>
      </c>
      <c r="E35" s="13" t="inlineStr">
        <is>
          <t>Functional suitability</t>
        </is>
      </c>
      <c r="F35" s="13" t="inlineStr">
        <is>
          <t>EPIC-06</t>
        </is>
      </c>
      <c r="G35" s="13" t="inlineStr">
        <is>
          <t>Returning without a reason is refused</t>
        </is>
      </c>
      <c r="H35" s="13" t="inlineStr">
        <is>
          <t>A learner record is open.</t>
        </is>
      </c>
      <c r="I35" s="13" t="inlineStr">
        <is>
          <t>1. Try to return a subject with an empty reason.</t>
        </is>
      </c>
      <c r="J35" s="13" t="inlineStr">
        <is>
          <t>Empty reason</t>
        </is>
      </c>
      <c r="K35" s="13" t="inlineStr">
        <is>
          <t>The return is refused and the user is asked for a reason.</t>
        </is>
      </c>
      <c r="L35" s="16" t="n"/>
      <c r="M35" s="17" t="n"/>
      <c r="N35" s="16" t="n"/>
      <c r="O35" s="18" t="n"/>
      <c r="P35" s="17" t="n"/>
      <c r="Q35" s="16" t="n"/>
    </row>
    <row r="36" ht="46.5" customHeight="1" s="25">
      <c r="A36" s="14" t="inlineStr">
        <is>
          <t>TC-035</t>
        </is>
      </c>
      <c r="B36" s="13" t="inlineStr">
        <is>
          <t>Submission</t>
        </is>
      </c>
      <c r="C36" s="15" t="inlineStr">
        <is>
          <t>Adviser</t>
        </is>
      </c>
      <c r="D36" s="15" t="inlineStr">
        <is>
          <t>Web</t>
        </is>
      </c>
      <c r="E36" s="13" t="inlineStr">
        <is>
          <t>Functional suitability</t>
        </is>
      </c>
      <c r="F36" s="13" t="inlineStr">
        <is>
          <t>EPIC-06, US-006</t>
        </is>
      </c>
      <c r="G36" s="13" t="inlineStr">
        <is>
          <t>Submit a complete record for approval</t>
        </is>
      </c>
      <c r="H36" s="13" t="inlineStr">
        <is>
          <t>Learner has a grade for every expected subject and none is Needs Revision.</t>
        </is>
      </c>
      <c r="I36" s="13" t="inlineStr">
        <is>
          <t>1. Open the learner's record.
2. Click Submit for approval and confirm.</t>
        </is>
      </c>
      <c r="J36" s="13" t="inlineStr">
        <is>
          <t>A complete learner</t>
        </is>
      </c>
      <c r="K36" s="13" t="inlineStr">
        <is>
          <t>Status becomes Pending Approval. The Admin is notified.</t>
        </is>
      </c>
      <c r="L36" s="16" t="n"/>
      <c r="M36" s="17" t="n"/>
      <c r="N36" s="16" t="n"/>
      <c r="O36" s="18" t="n"/>
      <c r="P36" s="17" t="n"/>
      <c r="Q36" s="16" t="n"/>
    </row>
    <row r="37" ht="33" customHeight="1" s="25">
      <c r="A37" s="14" t="inlineStr">
        <is>
          <t>TC-036</t>
        </is>
      </c>
      <c r="B37" s="13" t="inlineStr">
        <is>
          <t>Submission</t>
        </is>
      </c>
      <c r="C37" s="15" t="inlineStr">
        <is>
          <t>Adviser</t>
        </is>
      </c>
      <c r="D37" s="15" t="inlineStr">
        <is>
          <t>Web</t>
        </is>
      </c>
      <c r="E37" s="13" t="inlineStr">
        <is>
          <t>Functional suitability</t>
        </is>
      </c>
      <c r="F37" s="13" t="inlineStr">
        <is>
          <t>EPIC-06</t>
        </is>
      </c>
      <c r="G37" s="13" t="inlineStr">
        <is>
          <t>Incomplete record cannot be submitted</t>
        </is>
      </c>
      <c r="H37" s="13" t="inlineStr">
        <is>
          <t>Learner is missing at least one subject.</t>
        </is>
      </c>
      <c r="I37" s="13" t="inlineStr">
        <is>
          <t>1. Try to submit the learner's record.</t>
        </is>
      </c>
      <c r="J37" s="13" t="inlineStr">
        <is>
          <t>LRN 100000000099 or 100000000100 (no TLE grade, 7/8)</t>
        </is>
      </c>
      <c r="K37" s="13" t="inlineStr">
        <is>
          <t>Submission is refused: every expected subject must have a recorded grade first.</t>
        </is>
      </c>
      <c r="L37" s="16" t="n"/>
      <c r="M37" s="17" t="n"/>
      <c r="N37" s="16" t="n"/>
      <c r="O37" s="18" t="n"/>
      <c r="P37" s="17" t="n"/>
      <c r="Q37" s="16" t="n"/>
    </row>
    <row r="38" ht="46.5" customHeight="1" s="25">
      <c r="A38" s="14" t="inlineStr">
        <is>
          <t>TC-037</t>
        </is>
      </c>
      <c r="B38" s="13" t="inlineStr">
        <is>
          <t>Submission</t>
        </is>
      </c>
      <c r="C38" s="15" t="inlineStr">
        <is>
          <t>Adviser</t>
        </is>
      </c>
      <c r="D38" s="15" t="inlineStr">
        <is>
          <t>Web</t>
        </is>
      </c>
      <c r="E38" s="13" t="inlineStr">
        <is>
          <t>Functional suitability</t>
        </is>
      </c>
      <c r="F38" s="13" t="inlineStr">
        <is>
          <t>EPIC-06</t>
        </is>
      </c>
      <c r="G38" s="13" t="inlineStr">
        <is>
          <t>Submit all eligible records at once</t>
        </is>
      </c>
      <c r="H38" s="13" t="inlineStr">
        <is>
          <t>Several learners are complete.</t>
        </is>
      </c>
      <c r="I38" s="13" t="inlineStr">
        <is>
          <t>1. Click Submit all eligible and confirm.</t>
        </is>
      </c>
      <c r="J38" s="13" t="inlineStr">
        <is>
          <t>-</t>
        </is>
      </c>
      <c r="K38" s="13" t="inlineStr">
        <is>
          <t>Only the complete learners move to Pending Approval. Incomplete learners are skipped and counted.</t>
        </is>
      </c>
      <c r="L38" s="16" t="n"/>
      <c r="M38" s="17" t="n"/>
      <c r="N38" s="16" t="n"/>
      <c r="O38" s="18" t="n"/>
      <c r="P38" s="17" t="n"/>
      <c r="Q38" s="16" t="n"/>
    </row>
    <row r="39" ht="33" customHeight="1" s="25">
      <c r="A39" s="14" t="inlineStr">
        <is>
          <t>TC-038</t>
        </is>
      </c>
      <c r="B39" s="13" t="inlineStr">
        <is>
          <t>Section Progress</t>
        </is>
      </c>
      <c r="C39" s="15" t="inlineStr">
        <is>
          <t>Adviser</t>
        </is>
      </c>
      <c r="D39" s="15" t="inlineStr">
        <is>
          <t>Web</t>
        </is>
      </c>
      <c r="E39" s="13" t="inlineStr">
        <is>
          <t>Functional suitability</t>
        </is>
      </c>
      <c r="F39" s="13" t="inlineStr">
        <is>
          <t>EPIC-03</t>
        </is>
      </c>
      <c r="G39" s="13" t="inlineStr">
        <is>
          <t>Section progress shows per-subject status</t>
        </is>
      </c>
      <c r="H39" s="13" t="inlineStr">
        <is>
          <t>Uploads exist.</t>
        </is>
      </c>
      <c r="I39" s="13" t="inlineStr">
        <is>
          <t>1. Open Section Progress.</t>
        </is>
      </c>
      <c r="J39" s="13" t="inlineStr">
        <is>
          <t>-</t>
        </is>
      </c>
      <c r="K39" s="13" t="inlineStr">
        <is>
          <t>Each subject shows its upload/validation status and how complete the section is.</t>
        </is>
      </c>
      <c r="L39" s="16" t="n"/>
      <c r="M39" s="17" t="n"/>
      <c r="N39" s="16" t="n"/>
      <c r="O39" s="18" t="n"/>
      <c r="P39" s="17" t="n"/>
      <c r="Q39" s="16" t="n"/>
    </row>
    <row r="40" ht="46.5" customHeight="1" s="25">
      <c r="A40" s="14" t="inlineStr">
        <is>
          <t>TC-039</t>
        </is>
      </c>
      <c r="B40" s="13" t="inlineStr">
        <is>
          <t>Submission Review</t>
        </is>
      </c>
      <c r="C40" s="15" t="inlineStr">
        <is>
          <t>Admin</t>
        </is>
      </c>
      <c r="D40" s="15" t="inlineStr">
        <is>
          <t>Web</t>
        </is>
      </c>
      <c r="E40" s="13" t="inlineStr">
        <is>
          <t>Functional suitability</t>
        </is>
      </c>
      <c r="F40" s="13" t="inlineStr">
        <is>
          <t>EPIC-06, US-007</t>
        </is>
      </c>
      <c r="G40" s="13" t="inlineStr">
        <is>
          <t>Approve a submitted record</t>
        </is>
      </c>
      <c r="H40" s="13" t="inlineStr">
        <is>
          <t>A record is Pending Approval.</t>
        </is>
      </c>
      <c r="I40" s="13" t="inlineStr">
        <is>
          <t>1. Open Submission Review.
2. Open the learner and click Approve.</t>
        </is>
      </c>
      <c r="J40" s="13" t="inlineStr">
        <is>
          <t>A Pending learner, e.g. LRN 100000000005</t>
        </is>
      </c>
      <c r="K40" s="13" t="inlineStr">
        <is>
          <t>Status becomes Approved. The Adviser and subject teachers are notified. The record now appears in the repository.</t>
        </is>
      </c>
      <c r="L40" s="16" t="n"/>
      <c r="M40" s="17" t="n"/>
      <c r="N40" s="16" t="n"/>
      <c r="O40" s="18" t="n"/>
      <c r="P40" s="17" t="n"/>
      <c r="Q40" s="16" t="n"/>
    </row>
    <row r="41" ht="46.5" customHeight="1" s="25">
      <c r="A41" s="14" t="inlineStr">
        <is>
          <t>TC-040</t>
        </is>
      </c>
      <c r="B41" s="13" t="inlineStr">
        <is>
          <t>Submission Review</t>
        </is>
      </c>
      <c r="C41" s="15" t="inlineStr">
        <is>
          <t>Admin</t>
        </is>
      </c>
      <c r="D41" s="15" t="inlineStr">
        <is>
          <t>Web</t>
        </is>
      </c>
      <c r="E41" s="13" t="inlineStr">
        <is>
          <t>Functional suitability</t>
        </is>
      </c>
      <c r="F41" s="13" t="inlineStr">
        <is>
          <t>EPIC-06, US-007</t>
        </is>
      </c>
      <c r="G41" s="13" t="inlineStr">
        <is>
          <t>Reject a submitted record with a reason</t>
        </is>
      </c>
      <c r="H41" s="13" t="inlineStr">
        <is>
          <t>A record is Pending Approval.</t>
        </is>
      </c>
      <c r="I41" s="13" t="inlineStr">
        <is>
          <t>1. Open the learner and click Reject.
2. Enter a reason and confirm.</t>
        </is>
      </c>
      <c r="J41" s="13" t="inlineStr">
        <is>
          <t>A Pending learner, e.g. LRN 100000000006, and reason text</t>
        </is>
      </c>
      <c r="K41" s="13" t="inlineStr">
        <is>
          <t>Status becomes Rejected. The Adviser and subject teachers are notified with the reason.</t>
        </is>
      </c>
      <c r="L41" s="16" t="n"/>
      <c r="M41" s="17" t="n"/>
      <c r="N41" s="16" t="n"/>
      <c r="O41" s="18" t="n"/>
      <c r="P41" s="17" t="n"/>
      <c r="Q41" s="16" t="n"/>
    </row>
    <row r="42" ht="33" customHeight="1" s="25">
      <c r="A42" s="14" t="inlineStr">
        <is>
          <t>TC-041</t>
        </is>
      </c>
      <c r="B42" s="13" t="inlineStr">
        <is>
          <t>Submission Review</t>
        </is>
      </c>
      <c r="C42" s="15" t="inlineStr">
        <is>
          <t>Adviser</t>
        </is>
      </c>
      <c r="D42" s="15" t="inlineStr">
        <is>
          <t>Web</t>
        </is>
      </c>
      <c r="E42" s="13" t="inlineStr">
        <is>
          <t>Functional suitability</t>
        </is>
      </c>
      <c r="F42" s="13" t="inlineStr">
        <is>
          <t>D-04</t>
        </is>
      </c>
      <c r="G42" s="13" t="inlineStr">
        <is>
          <t>Approved learner is locked against re-upload</t>
        </is>
      </c>
      <c r="H42" s="13" t="inlineStr">
        <is>
          <t>A learner's record is Approved.</t>
        </is>
      </c>
      <c r="I42" s="13" t="inlineStr">
        <is>
          <t>1. As the Subject Teacher, re-upload that subject for the section.</t>
        </is>
      </c>
      <c r="J42" s="13" t="inlineStr">
        <is>
          <t>Same section file</t>
        </is>
      </c>
      <c r="K42" s="13" t="inlineStr">
        <is>
          <t>The upload is accepted for the rest of the class. The result page lists the approved learner as not updated, and that learner's grades and Approved status do not change.</t>
        </is>
      </c>
      <c r="L42" s="16" t="n"/>
      <c r="M42" s="17" t="n"/>
      <c r="N42" s="16" t="n"/>
      <c r="O42" s="18" t="n"/>
      <c r="P42" s="17" t="n"/>
      <c r="Q42" s="16" t="n"/>
    </row>
    <row r="43" ht="33" customHeight="1" s="25">
      <c r="A43" s="14" t="inlineStr">
        <is>
          <t>TC-042</t>
        </is>
      </c>
      <c r="B43" s="13" t="inlineStr">
        <is>
          <t>Submission Review</t>
        </is>
      </c>
      <c r="C43" s="15" t="inlineStr">
        <is>
          <t>Adviser</t>
        </is>
      </c>
      <c r="D43" s="15" t="inlineStr">
        <is>
          <t>Web</t>
        </is>
      </c>
      <c r="E43" s="13" t="inlineStr">
        <is>
          <t>Functional suitability</t>
        </is>
      </c>
      <c r="F43" s="13" t="inlineStr">
        <is>
          <t>D-04, EPIC-06</t>
        </is>
      </c>
      <c r="G43" s="13" t="inlineStr">
        <is>
          <t>Request an amendment on an approved record</t>
        </is>
      </c>
      <c r="H43" s="13" t="inlineStr">
        <is>
          <t>A learner's record is Approved.</t>
        </is>
      </c>
      <c r="I43" s="13" t="inlineStr">
        <is>
          <t>1. As the section's Adviser, request a revision on the approved record with a reason.
2. Re-upload the subject as the Subject Teacher.</t>
        </is>
      </c>
      <c r="J43" s="13" t="inlineStr">
        <is>
          <t>Reason text</t>
        </is>
      </c>
      <c r="K43" s="13" t="inlineStr">
        <is>
          <t>Status becomes Amendment Requested and the re-upload is then accepted.</t>
        </is>
      </c>
      <c r="L43" s="16" t="n"/>
      <c r="M43" s="17" t="n"/>
      <c r="N43" s="16" t="n"/>
      <c r="O43" s="18" t="n"/>
      <c r="P43" s="17" t="n"/>
      <c r="Q43" s="16" t="n"/>
    </row>
    <row r="44" ht="30" customHeight="1" s="25">
      <c r="A44" s="14" t="inlineStr">
        <is>
          <t>TC-043</t>
        </is>
      </c>
      <c r="B44" s="13" t="inlineStr">
        <is>
          <t>Principal</t>
        </is>
      </c>
      <c r="C44" s="15" t="inlineStr">
        <is>
          <t>Principal</t>
        </is>
      </c>
      <c r="D44" s="15" t="inlineStr">
        <is>
          <t>Web</t>
        </is>
      </c>
      <c r="E44" s="13" t="inlineStr">
        <is>
          <t>Functional suitability</t>
        </is>
      </c>
      <c r="F44" s="13" t="inlineStr">
        <is>
          <t>§6.2</t>
        </is>
      </c>
      <c r="G44" s="13" t="inlineStr">
        <is>
          <t>Principal can view school-wide data</t>
        </is>
      </c>
      <c r="H44" s="13" t="inlineStr">
        <is>
          <t>Logged in as Principal.</t>
        </is>
      </c>
      <c r="I44" s="13" t="inlineStr">
        <is>
          <t>1. Open Dashboard, Submission Review, Section Progress, Analytics and Records &amp; SF10.
2. In Records &amp; SF10, open a learner's Permanent Record (SF10).</t>
        </is>
      </c>
      <c r="J44" s="13" t="inlineStr">
        <is>
          <t>principal.educheck</t>
        </is>
      </c>
      <c r="K44" s="13" t="inlineStr">
        <is>
          <t>All sections are visible on every page.</t>
        </is>
      </c>
      <c r="L44" s="16" t="n"/>
      <c r="M44" s="17" t="n"/>
      <c r="N44" s="16" t="n"/>
      <c r="O44" s="18" t="n"/>
      <c r="P44" s="17" t="n"/>
      <c r="Q44" s="16" t="n"/>
    </row>
    <row r="45" ht="33" customHeight="1" s="25">
      <c r="A45" s="14" t="inlineStr">
        <is>
          <t>TC-044</t>
        </is>
      </c>
      <c r="B45" s="13" t="inlineStr">
        <is>
          <t>Principal</t>
        </is>
      </c>
      <c r="C45" s="15" t="inlineStr">
        <is>
          <t>Principal</t>
        </is>
      </c>
      <c r="D45" s="15" t="inlineStr">
        <is>
          <t>Web</t>
        </is>
      </c>
      <c r="E45" s="13" t="inlineStr">
        <is>
          <t>Security</t>
        </is>
      </c>
      <c r="F45" s="13" t="inlineStr">
        <is>
          <t>D-03</t>
        </is>
      </c>
      <c r="G45" s="13" t="inlineStr">
        <is>
          <t>Principal cannot change anything</t>
        </is>
      </c>
      <c r="H45" s="13" t="inlineStr">
        <is>
          <t>Logged in as Principal.</t>
        </is>
      </c>
      <c r="I45" s="13" t="inlineStr">
        <is>
          <t>1. Look for Approve, Reject, Upload, Edit or Download SF10 buttons on every page.</t>
        </is>
      </c>
      <c r="J45" s="13" t="inlineStr">
        <is>
          <t>principal.educheck</t>
        </is>
      </c>
      <c r="K45" s="13" t="inlineStr">
        <is>
          <t>No action buttons are shown. Everything is read-only.</t>
        </is>
      </c>
      <c r="L45" s="16" t="n"/>
      <c r="M45" s="17" t="n"/>
      <c r="N45" s="16" t="n"/>
      <c r="O45" s="18" t="n"/>
      <c r="P45" s="17" t="n"/>
      <c r="Q45" s="16" t="n"/>
    </row>
    <row r="46" ht="46.5" customHeight="1" s="25">
      <c r="A46" s="14" t="inlineStr">
        <is>
          <t>TC-045</t>
        </is>
      </c>
      <c r="B46" s="13" t="inlineStr">
        <is>
          <t>Repository</t>
        </is>
      </c>
      <c r="C46" s="15" t="inlineStr">
        <is>
          <t>Admin</t>
        </is>
      </c>
      <c r="D46" s="15" t="inlineStr">
        <is>
          <t>Web</t>
        </is>
      </c>
      <c r="E46" s="13" t="inlineStr">
        <is>
          <t>Functional suitability</t>
        </is>
      </c>
      <c r="F46" s="13" t="inlineStr">
        <is>
          <t>EPIC-05, US-013</t>
        </is>
      </c>
      <c r="G46" s="13" t="inlineStr">
        <is>
          <t>Search the repository</t>
        </is>
      </c>
      <c r="H46" s="13" t="inlineStr">
        <is>
          <t>Approved records exist.</t>
        </is>
      </c>
      <c r="I46" s="13" t="inlineStr">
        <is>
          <t>1. Open Records &amp; SF10.
2. Search by LRN, then by name, then by grade level and school year.</t>
        </is>
      </c>
      <c r="J46" s="13" t="inlineStr">
        <is>
          <t>LRN 100000000001</t>
        </is>
      </c>
      <c r="K46" s="13" t="inlineStr">
        <is>
          <t>Matching learners are listed for every type of search. An empty search asks for a search term.</t>
        </is>
      </c>
      <c r="L46" s="16" t="n"/>
      <c r="M46" s="17" t="n"/>
      <c r="N46" s="16" t="n"/>
      <c r="O46" s="18" t="n"/>
      <c r="P46" s="17" t="n"/>
      <c r="Q46" s="16" t="n"/>
    </row>
    <row r="47" ht="60" customHeight="1" s="25">
      <c r="A47" s="14" t="inlineStr">
        <is>
          <t>TC-046</t>
        </is>
      </c>
      <c r="B47" s="13" t="inlineStr">
        <is>
          <t>SF10</t>
        </is>
      </c>
      <c r="C47" s="15" t="inlineStr">
        <is>
          <t>Admin</t>
        </is>
      </c>
      <c r="D47" s="15" t="inlineStr">
        <is>
          <t>Web</t>
        </is>
      </c>
      <c r="E47" s="13" t="inlineStr">
        <is>
          <t>Functional suitability</t>
        </is>
      </c>
      <c r="F47" s="13" t="inlineStr">
        <is>
          <t>EPIC-05, US-005</t>
        </is>
      </c>
      <c r="G47" s="13" t="inlineStr">
        <is>
          <t>Download an SF10</t>
        </is>
      </c>
      <c r="H47" s="13" t="inlineStr">
        <is>
          <t>Learner 100000000001 has historical Grade 4 and Grade 5 records.</t>
        </is>
      </c>
      <c r="I47" s="13" t="inlineStr">
        <is>
          <t>1. Open Records &amp; SF10, search for the learner and click Permanent Record (SF10).
2. Check the readiness report.
3. Click Download and open the file in Excel.</t>
        </is>
      </c>
      <c r="J47" s="13" t="inlineStr">
        <is>
          <t>LRN 100000000001</t>
        </is>
      </c>
      <c r="K47" s="13" t="inlineStr">
        <is>
          <t>Readiness is PARTIAL. The file opens in Excel with Grade 4 on the Front and Grade 5 on the Back, and prints on the official form layout.</t>
        </is>
      </c>
      <c r="L47" s="16" t="n"/>
      <c r="M47" s="17" t="n"/>
      <c r="N47" s="16" t="n"/>
      <c r="O47" s="18" t="n"/>
      <c r="P47" s="17" t="n"/>
      <c r="Q47" s="16" t="n"/>
    </row>
    <row r="48" ht="46.5" customHeight="1" s="25">
      <c r="A48" s="14" t="inlineStr">
        <is>
          <t>TC-047</t>
        </is>
      </c>
      <c r="B48" s="13" t="inlineStr">
        <is>
          <t>SF10</t>
        </is>
      </c>
      <c r="C48" s="15" t="inlineStr">
        <is>
          <t>Admin</t>
        </is>
      </c>
      <c r="D48" s="15" t="inlineStr">
        <is>
          <t>Web</t>
        </is>
      </c>
      <c r="E48" s="13" t="inlineStr">
        <is>
          <t>Functional suitability</t>
        </is>
      </c>
      <c r="F48" s="13" t="inlineStr">
        <is>
          <t>US-005</t>
        </is>
      </c>
      <c r="G48" s="13" t="inlineStr">
        <is>
          <t>SF10 with no printable year shows a clear message</t>
        </is>
      </c>
      <c r="H48" s="13" t="inlineStr">
        <is>
          <t>Learner's only year is a 2025-2026 EduCheck record that is not yet approved.</t>
        </is>
      </c>
      <c r="I48" s="13" t="inlineStr">
        <is>
          <t>1. Try to download the SF10 of a Rizal learner who is not approved.</t>
        </is>
      </c>
      <c r="J48" s="13" t="inlineStr">
        <is>
          <t>e.g. LRN 100000000020 (never submitted or approved in the session)</t>
        </is>
      </c>
      <c r="K48" s="13" t="inlineStr">
        <is>
          <t>Download is refused with a message that there is nothing to put on the SF10 yet, and the readiness report explains why.</t>
        </is>
      </c>
      <c r="L48" s="16" t="n"/>
      <c r="M48" s="17" t="n"/>
      <c r="N48" s="16" t="n"/>
      <c r="O48" s="18" t="n"/>
      <c r="P48" s="17" t="n"/>
      <c r="Q48" s="16" t="n"/>
    </row>
    <row r="49" ht="46.5" customHeight="1" s="25">
      <c r="A49" s="14" t="inlineStr">
        <is>
          <t>TC-048</t>
        </is>
      </c>
      <c r="B49" s="13" t="inlineStr">
        <is>
          <t>SF10</t>
        </is>
      </c>
      <c r="C49" s="15" t="inlineStr">
        <is>
          <t>Adviser</t>
        </is>
      </c>
      <c r="D49" s="15" t="inlineStr">
        <is>
          <t>Web</t>
        </is>
      </c>
      <c r="E49" s="13" t="inlineStr">
        <is>
          <t>Functional suitability</t>
        </is>
      </c>
      <c r="F49" s="13" t="inlineStr">
        <is>
          <t>US-014</t>
        </is>
      </c>
      <c r="G49" s="13" t="inlineStr">
        <is>
          <t>Enter historical (pre-EduCheck) grades</t>
        </is>
      </c>
      <c r="H49" s="13" t="inlineStr">
        <is>
          <t>Adviser of the learner's section.</t>
        </is>
      </c>
      <c r="I49" s="13" t="inlineStr">
        <is>
          <t>1. Open Records &amp; SF10, search for the learner and click Permanent Record (SF10).
2. Add a past school year with 4 quarter grades per subject and save.</t>
        </is>
      </c>
      <c r="J49" s="13" t="inlineStr">
        <is>
          <t>e.g. Grade 3, 2022-2023</t>
        </is>
      </c>
      <c r="K49" s="13" t="inlineStr">
        <is>
          <t>The year is saved and appears in the readiness report and in the downloaded SF10. The action is in the audit log.</t>
        </is>
      </c>
      <c r="L49" s="16" t="n"/>
      <c r="M49" s="17" t="n"/>
      <c r="N49" s="16" t="n"/>
      <c r="O49" s="18" t="n"/>
      <c r="P49" s="17" t="n"/>
      <c r="Q49" s="16" t="n"/>
    </row>
    <row r="50" ht="33" customHeight="1" s="25">
      <c r="A50" s="14" t="inlineStr">
        <is>
          <t>TC-049</t>
        </is>
      </c>
      <c r="B50" s="13" t="inlineStr">
        <is>
          <t>SF10</t>
        </is>
      </c>
      <c r="C50" s="15" t="inlineStr">
        <is>
          <t>Adviser</t>
        </is>
      </c>
      <c r="D50" s="15" t="inlineStr">
        <is>
          <t>Web</t>
        </is>
      </c>
      <c r="E50" s="13" t="inlineStr">
        <is>
          <t>Functional suitability</t>
        </is>
      </c>
      <c r="F50" s="13" t="inlineStr">
        <is>
          <t>US-014</t>
        </is>
      </c>
      <c r="G50" s="13" t="inlineStr">
        <is>
          <t>Invalid historical grades are refused</t>
        </is>
      </c>
      <c r="H50" s="13" t="inlineStr">
        <is>
          <t>SF10 page open.</t>
        </is>
      </c>
      <c r="I50" s="13" t="inlineStr">
        <is>
          <t>1. Enter a grade below 60 or above 100, or a school year like 2022-2024.</t>
        </is>
      </c>
      <c r="J50" s="13" t="inlineStr">
        <is>
          <t>e.g. 105</t>
        </is>
      </c>
      <c r="K50" s="13" t="inlineStr">
        <is>
          <t>Saving is refused with a message naming the problem.</t>
        </is>
      </c>
      <c r="L50" s="16" t="n"/>
      <c r="M50" s="17" t="n"/>
      <c r="N50" s="16" t="n"/>
      <c r="O50" s="18" t="n"/>
      <c r="P50" s="17" t="n"/>
      <c r="Q50" s="16" t="n"/>
    </row>
    <row r="51" ht="46.5" customHeight="1" s="25">
      <c r="A51" s="14" t="inlineStr">
        <is>
          <t>TC-050</t>
        </is>
      </c>
      <c r="B51" s="13" t="inlineStr">
        <is>
          <t>Analytics</t>
        </is>
      </c>
      <c r="C51" s="15" t="inlineStr">
        <is>
          <t>Admin</t>
        </is>
      </c>
      <c r="D51" s="15" t="inlineStr">
        <is>
          <t>Web</t>
        </is>
      </c>
      <c r="E51" s="13" t="inlineStr">
        <is>
          <t>Functional suitability</t>
        </is>
      </c>
      <c r="F51" s="13" t="inlineStr">
        <is>
          <t>EPIC-08, US-012</t>
        </is>
      </c>
      <c r="G51" s="13" t="inlineStr">
        <is>
          <t>View academic analytics</t>
        </is>
      </c>
      <c r="H51" s="13" t="inlineStr">
        <is>
          <t>Grades exist for the school year.</t>
        </is>
      </c>
      <c r="I51" s="13" t="inlineStr">
        <is>
          <t>1. Open Academic Analytics and change the school year.</t>
        </is>
      </c>
      <c r="J51" s="13" t="inlineStr">
        <is>
          <t>-</t>
        </is>
      </c>
      <c r="K51" s="13" t="inlineStr">
        <is>
          <t>Charts show grade distribution and subject performance, and they update when the school year changes.</t>
        </is>
      </c>
      <c r="L51" s="16" t="n"/>
      <c r="M51" s="17" t="n"/>
      <c r="N51" s="16" t="n"/>
      <c r="O51" s="18" t="n"/>
      <c r="P51" s="17" t="n"/>
      <c r="Q51" s="16" t="n"/>
    </row>
    <row r="52" ht="46.5" customHeight="1" s="25">
      <c r="A52" s="14" t="inlineStr">
        <is>
          <t>TC-051</t>
        </is>
      </c>
      <c r="B52" s="13" t="inlineStr">
        <is>
          <t>Notifications</t>
        </is>
      </c>
      <c r="C52" s="15" t="inlineStr">
        <is>
          <t>Subject Teacher</t>
        </is>
      </c>
      <c r="D52" s="15" t="inlineStr">
        <is>
          <t>Web</t>
        </is>
      </c>
      <c r="E52" s="13" t="inlineStr">
        <is>
          <t>Functional suitability</t>
        </is>
      </c>
      <c r="F52" s="13" t="inlineStr">
        <is>
          <t>EPIC-06</t>
        </is>
      </c>
      <c r="G52" s="13" t="inlineStr">
        <is>
          <t>Notifications appear and can be marked read</t>
        </is>
      </c>
      <c r="H52" s="13" t="inlineStr">
        <is>
          <t>An action caused a notification (e.g. a returned subject).</t>
        </is>
      </c>
      <c r="I52" s="13" t="inlineStr">
        <is>
          <t>1. Open Notifications.
2. Mark one as read, then Mark all read.</t>
        </is>
      </c>
      <c r="J52" s="13" t="inlineStr">
        <is>
          <t>-</t>
        </is>
      </c>
      <c r="K52" s="13" t="inlineStr">
        <is>
          <t>New notifications are shown and the unread count drops to 0.</t>
        </is>
      </c>
      <c r="L52" s="16" t="n"/>
      <c r="M52" s="17" t="n"/>
      <c r="N52" s="16" t="n"/>
      <c r="O52" s="18" t="n"/>
      <c r="P52" s="17" t="n"/>
      <c r="Q52" s="16" t="n"/>
    </row>
    <row r="53" ht="46.5" customHeight="1" s="25">
      <c r="A53" s="14" t="inlineStr">
        <is>
          <t>TC-052</t>
        </is>
      </c>
      <c r="B53" s="13" t="inlineStr">
        <is>
          <t>Mobile</t>
        </is>
      </c>
      <c r="C53" s="15" t="inlineStr">
        <is>
          <t>All</t>
        </is>
      </c>
      <c r="D53" s="15" t="inlineStr">
        <is>
          <t>Mobile</t>
        </is>
      </c>
      <c r="E53" s="13" t="inlineStr">
        <is>
          <t>Compatibility</t>
        </is>
      </c>
      <c r="F53" s="13" t="inlineStr">
        <is>
          <t>Mobile app</t>
        </is>
      </c>
      <c r="G53" s="13" t="inlineStr">
        <is>
          <t>Install and log in on an Android phone</t>
        </is>
      </c>
      <c r="H53" s="13" t="inlineStr">
        <is>
          <t>APK installed. Phone on the same network as the server.</t>
        </is>
      </c>
      <c r="I53" s="13" t="inlineStr">
        <is>
          <t>1. Open the app.
2. Set the server address to the PC's network address.
3. Log in.</t>
        </is>
      </c>
      <c r="J53" s="13" t="inlineStr">
        <is>
          <t>Any test account</t>
        </is>
      </c>
      <c r="K53" s="13" t="inlineStr">
        <is>
          <t>The app connects and shows the role's home screen.</t>
        </is>
      </c>
      <c r="L53" s="16" t="n"/>
      <c r="M53" s="17" t="n"/>
      <c r="N53" s="16" t="n"/>
      <c r="O53" s="18" t="n"/>
      <c r="P53" s="17" t="n"/>
      <c r="Q53" s="16" t="n"/>
    </row>
    <row r="54" ht="33" customHeight="1" s="25">
      <c r="A54" s="14" t="inlineStr">
        <is>
          <t>TC-053</t>
        </is>
      </c>
      <c r="B54" s="13" t="inlineStr">
        <is>
          <t>Mobile</t>
        </is>
      </c>
      <c r="C54" s="15" t="inlineStr">
        <is>
          <t>Subject Teacher</t>
        </is>
      </c>
      <c r="D54" s="15" t="inlineStr">
        <is>
          <t>Mobile</t>
        </is>
      </c>
      <c r="E54" s="13" t="inlineStr">
        <is>
          <t>Functional suitability</t>
        </is>
      </c>
      <c r="F54" s="13" t="inlineStr">
        <is>
          <t>Mobile app</t>
        </is>
      </c>
      <c r="G54" s="13" t="inlineStr">
        <is>
          <t>View my uploads and validation results</t>
        </is>
      </c>
      <c r="H54" s="13" t="inlineStr">
        <is>
          <t>Teacher has uploads.</t>
        </is>
      </c>
      <c r="I54" s="13" t="inlineStr">
        <is>
          <t>1. Open My Uploads.
2. Open an upload.</t>
        </is>
      </c>
      <c r="J54" s="13" t="inlineStr">
        <is>
          <t>subject.grade6a</t>
        </is>
      </c>
      <c r="K54" s="13" t="inlineStr">
        <is>
          <t>Uploads match the web list. Validation issues are shown for the selected upload.</t>
        </is>
      </c>
      <c r="L54" s="16" t="n"/>
      <c r="M54" s="17" t="n"/>
      <c r="N54" s="16" t="n"/>
      <c r="O54" s="18" t="n"/>
      <c r="P54" s="17" t="n"/>
      <c r="Q54" s="16" t="n"/>
    </row>
    <row r="55" ht="33" customHeight="1" s="25">
      <c r="A55" s="14" t="inlineStr">
        <is>
          <t>TC-054</t>
        </is>
      </c>
      <c r="B55" s="13" t="inlineStr">
        <is>
          <t>Mobile</t>
        </is>
      </c>
      <c r="C55" s="15" t="inlineStr">
        <is>
          <t>Adviser</t>
        </is>
      </c>
      <c r="D55" s="15" t="inlineStr">
        <is>
          <t>Mobile</t>
        </is>
      </c>
      <c r="E55" s="13" t="inlineStr">
        <is>
          <t>Functional suitability</t>
        </is>
      </c>
      <c r="F55" s="13" t="inlineStr">
        <is>
          <t>Mobile app</t>
        </is>
      </c>
      <c r="G55" s="13" t="inlineStr">
        <is>
          <t>Submit a record for approval on mobile</t>
        </is>
      </c>
      <c r="H55" s="13" t="inlineStr">
        <is>
          <t>A complete learner exists.</t>
        </is>
      </c>
      <c r="I55" s="13" t="inlineStr">
        <is>
          <t>1. Open Records and a complete learner.
2. Tap Submit for approval and confirm.</t>
        </is>
      </c>
      <c r="J55" s="13" t="inlineStr">
        <is>
          <t>adviser.grade6a</t>
        </is>
      </c>
      <c r="K55" s="13" t="inlineStr">
        <is>
          <t>Status becomes Pending Approval and matches the web app.</t>
        </is>
      </c>
      <c r="L55" s="16" t="n"/>
      <c r="M55" s="17" t="n"/>
      <c r="N55" s="16" t="n"/>
      <c r="O55" s="18" t="n"/>
      <c r="P55" s="17" t="n"/>
      <c r="Q55" s="16" t="n"/>
    </row>
    <row r="56" ht="33" customHeight="1" s="25">
      <c r="A56" s="14" t="inlineStr">
        <is>
          <t>TC-055</t>
        </is>
      </c>
      <c r="B56" s="13" t="inlineStr">
        <is>
          <t>Mobile</t>
        </is>
      </c>
      <c r="C56" s="15" t="inlineStr">
        <is>
          <t>Adviser</t>
        </is>
      </c>
      <c r="D56" s="15" t="inlineStr">
        <is>
          <t>Mobile</t>
        </is>
      </c>
      <c r="E56" s="13" t="inlineStr">
        <is>
          <t>Functional suitability</t>
        </is>
      </c>
      <c r="F56" s="13" t="inlineStr">
        <is>
          <t>Mobile app</t>
        </is>
      </c>
      <c r="G56" s="13" t="inlineStr">
        <is>
          <t>Return a subject to its teacher on mobile</t>
        </is>
      </c>
      <c r="H56" s="13" t="inlineStr">
        <is>
          <t>A learner record is open.</t>
        </is>
      </c>
      <c r="I56" s="13" t="inlineStr">
        <is>
          <t>1. Tap Return on a subject, enter a reason, confirm.</t>
        </is>
      </c>
      <c r="J56" s="13" t="inlineStr">
        <is>
          <t>Reason text</t>
        </is>
      </c>
      <c r="K56" s="13" t="inlineStr">
        <is>
          <t>Subject becomes Needs Revision and the teacher is notified.</t>
        </is>
      </c>
      <c r="L56" s="16" t="n"/>
      <c r="M56" s="17" t="n"/>
      <c r="N56" s="16" t="n"/>
      <c r="O56" s="18" t="n"/>
      <c r="P56" s="17" t="n"/>
      <c r="Q56" s="16" t="n"/>
    </row>
    <row r="57" ht="46.5" customHeight="1" s="25">
      <c r="A57" s="14" t="inlineStr">
        <is>
          <t>TC-056</t>
        </is>
      </c>
      <c r="B57" s="13" t="inlineStr">
        <is>
          <t>Mobile</t>
        </is>
      </c>
      <c r="C57" s="15" t="inlineStr">
        <is>
          <t>Admin</t>
        </is>
      </c>
      <c r="D57" s="15" t="inlineStr">
        <is>
          <t>Mobile</t>
        </is>
      </c>
      <c r="E57" s="13" t="inlineStr">
        <is>
          <t>Functional suitability</t>
        </is>
      </c>
      <c r="F57" s="13" t="inlineStr">
        <is>
          <t>Mobile app</t>
        </is>
      </c>
      <c r="G57" s="13" t="inlineStr">
        <is>
          <t>Approve and return records on mobile</t>
        </is>
      </c>
      <c r="H57" s="13" t="inlineStr">
        <is>
          <t>Records are Pending Approval.</t>
        </is>
      </c>
      <c r="I57" s="13" t="inlineStr">
        <is>
          <t>1. Open Approvals.
2. Approve one record.
3. Return another with a reason.</t>
        </is>
      </c>
      <c r="J57" s="13" t="inlineStr">
        <is>
          <t>admin.educheck</t>
        </is>
      </c>
      <c r="K57" s="13" t="inlineStr">
        <is>
          <t>Statuses change to Approved and Rejected, and the web app shows the same.</t>
        </is>
      </c>
      <c r="L57" s="16" t="n"/>
      <c r="M57" s="17" t="n"/>
      <c r="N57" s="16" t="n"/>
      <c r="O57" s="18" t="n"/>
      <c r="P57" s="17" t="n"/>
      <c r="Q57" s="16" t="n"/>
    </row>
    <row r="58" ht="33" customHeight="1" s="25">
      <c r="A58" s="14" t="inlineStr">
        <is>
          <t>TC-057</t>
        </is>
      </c>
      <c r="B58" s="13" t="inlineStr">
        <is>
          <t>Mobile</t>
        </is>
      </c>
      <c r="C58" s="15" t="inlineStr">
        <is>
          <t>Principal</t>
        </is>
      </c>
      <c r="D58" s="15" t="inlineStr">
        <is>
          <t>Mobile</t>
        </is>
      </c>
      <c r="E58" s="13" t="inlineStr">
        <is>
          <t>Security</t>
        </is>
      </c>
      <c r="F58" s="13" t="inlineStr">
        <is>
          <t>D-03</t>
        </is>
      </c>
      <c r="G58" s="13" t="inlineStr">
        <is>
          <t>Principal is read-only on mobile</t>
        </is>
      </c>
      <c r="H58" s="13" t="inlineStr">
        <is>
          <t>Logged in as Principal.</t>
        </is>
      </c>
      <c r="I58" s="13" t="inlineStr">
        <is>
          <t>1. Open Submissions and a learner record.</t>
        </is>
      </c>
      <c r="J58" s="13" t="inlineStr">
        <is>
          <t>principal.educheck</t>
        </is>
      </c>
      <c r="K58" s="13" t="inlineStr">
        <is>
          <t>No Approve, Return or Submit buttons are shown.</t>
        </is>
      </c>
      <c r="L58" s="16" t="n"/>
      <c r="M58" s="17" t="n"/>
      <c r="N58" s="16" t="n"/>
      <c r="O58" s="18" t="n"/>
      <c r="P58" s="17" t="n"/>
      <c r="Q58" s="16" t="n"/>
    </row>
    <row r="59" ht="46.5" customHeight="1" s="25">
      <c r="A59" s="14" t="inlineStr">
        <is>
          <t>TC-058</t>
        </is>
      </c>
      <c r="B59" s="13" t="inlineStr">
        <is>
          <t>Mobile</t>
        </is>
      </c>
      <c r="C59" s="15" t="inlineStr">
        <is>
          <t>All</t>
        </is>
      </c>
      <c r="D59" s="15" t="inlineStr">
        <is>
          <t>Mobile</t>
        </is>
      </c>
      <c r="E59" s="13" t="inlineStr">
        <is>
          <t>Reliability</t>
        </is>
      </c>
      <c r="F59" s="13" t="inlineStr">
        <is>
          <t>Mobile app</t>
        </is>
      </c>
      <c r="G59" s="13" t="inlineStr">
        <is>
          <t>Offline: cached data is shown</t>
        </is>
      </c>
      <c r="H59" s="13" t="inlineStr">
        <is>
          <t>Records were viewed while online.</t>
        </is>
      </c>
      <c r="I59" s="13" t="inlineStr">
        <is>
          <t>1. Turn on airplane mode.
2. Reopen a screen viewed before (e.g. Repository).</t>
        </is>
      </c>
      <c r="J59" s="13" t="inlineStr">
        <is>
          <t>-</t>
        </is>
      </c>
      <c r="K59" s="13" t="inlineStr">
        <is>
          <t>Cached data is shown with an offline banner and the time it was saved. The app does not crash.</t>
        </is>
      </c>
      <c r="L59" s="16" t="n"/>
      <c r="M59" s="17" t="n"/>
      <c r="N59" s="16" t="n"/>
      <c r="O59" s="18" t="n"/>
      <c r="P59" s="17" t="n"/>
      <c r="Q59" s="16" t="n"/>
    </row>
    <row r="60" ht="33" customHeight="1" s="25">
      <c r="A60" s="14" t="inlineStr">
        <is>
          <t>TC-059</t>
        </is>
      </c>
      <c r="B60" s="13" t="inlineStr">
        <is>
          <t>Mobile</t>
        </is>
      </c>
      <c r="C60" s="15" t="inlineStr">
        <is>
          <t>All</t>
        </is>
      </c>
      <c r="D60" s="15" t="inlineStr">
        <is>
          <t>Mobile</t>
        </is>
      </c>
      <c r="E60" s="13" t="inlineStr">
        <is>
          <t>Functional suitability</t>
        </is>
      </c>
      <c r="F60" s="13" t="inlineStr">
        <is>
          <t>L-01</t>
        </is>
      </c>
      <c r="G60" s="13" t="inlineStr">
        <is>
          <t>New notification arrives while the app is open</t>
        </is>
      </c>
      <c r="H60" s="13" t="inlineStr">
        <is>
          <t>App open on the phone.</t>
        </is>
      </c>
      <c r="I60" s="13" t="inlineStr">
        <is>
          <t>1. On the web, do an action that notifies this user.
2. Wait up to 30 seconds.</t>
        </is>
      </c>
      <c r="J60" s="13" t="inlineStr">
        <is>
          <t>-</t>
        </is>
      </c>
      <c r="K60" s="13" t="inlineStr">
        <is>
          <t>A notification appears in the app within about 30 seconds.</t>
        </is>
      </c>
      <c r="L60" s="16" t="n"/>
      <c r="M60" s="17" t="n"/>
      <c r="N60" s="16" t="n"/>
      <c r="O60" s="18" t="n"/>
      <c r="P60" s="17" t="n"/>
      <c r="Q60" s="16" t="n"/>
    </row>
    <row r="61" ht="46.5" customHeight="1" s="25">
      <c r="A61" s="14" t="inlineStr">
        <is>
          <t>TC-060</t>
        </is>
      </c>
      <c r="B61" s="13" t="inlineStr">
        <is>
          <t>Mobile</t>
        </is>
      </c>
      <c r="C61" s="15" t="inlineStr">
        <is>
          <t>All</t>
        </is>
      </c>
      <c r="D61" s="15" t="inlineStr">
        <is>
          <t>Mobile</t>
        </is>
      </c>
      <c r="E61" s="13" t="inlineStr">
        <is>
          <t>Security</t>
        </is>
      </c>
      <c r="F61" s="13" t="inlineStr">
        <is>
          <t>Mobile app</t>
        </is>
      </c>
      <c r="G61" s="13" t="inlineStr">
        <is>
          <t>Log out clears the session</t>
        </is>
      </c>
      <c r="H61" s="13" t="inlineStr">
        <is>
          <t>Logged in.</t>
        </is>
      </c>
      <c r="I61" s="13" t="inlineStr">
        <is>
          <t>1. Open Account and tap Log out.
2. Log in as a different role.</t>
        </is>
      </c>
      <c r="J61" s="13" t="inlineStr">
        <is>
          <t>Two test accounts</t>
        </is>
      </c>
      <c r="K61" s="13" t="inlineStr">
        <is>
          <t>The second user sees only their own data. Nothing cached from the first user is shown.</t>
        </is>
      </c>
      <c r="L61" s="16" t="n"/>
      <c r="M61" s="17" t="n"/>
      <c r="N61" s="16" t="n"/>
      <c r="O61" s="18" t="n"/>
      <c r="P61" s="17" t="n"/>
      <c r="Q61" s="16" t="n"/>
    </row>
    <row r="62" ht="33" customHeight="1" s="25">
      <c r="A62" s="14" t="inlineStr">
        <is>
          <t>TC-061</t>
        </is>
      </c>
      <c r="B62" s="13" t="inlineStr">
        <is>
          <t>Performance</t>
        </is>
      </c>
      <c r="C62" s="15" t="inlineStr">
        <is>
          <t>Subject Teacher</t>
        </is>
      </c>
      <c r="D62" s="15" t="inlineStr">
        <is>
          <t>Web</t>
        </is>
      </c>
      <c r="E62" s="13" t="inlineStr">
        <is>
          <t>Performance efficiency</t>
        </is>
      </c>
      <c r="F62" s="13" t="inlineStr">
        <is>
          <t>ISO 25010</t>
        </is>
      </c>
      <c r="G62" s="13" t="inlineStr">
        <is>
          <t>Upload and validation time</t>
        </is>
      </c>
      <c r="H62" s="13" t="inlineStr">
        <is>
          <t>Network and server as in the real setting.</t>
        </is>
      </c>
      <c r="I62" s="13" t="inlineStr">
        <is>
          <t>1. Upload a full e-class record (about 2 MB).
2. Time from clicking Upload to seeing the result.</t>
        </is>
      </c>
      <c r="J62" s="13" t="inlineStr">
        <is>
          <t>UAT-files/TC-022_valid-ecr-rizal.xlsx</t>
        </is>
      </c>
      <c r="K62" s="13" t="inlineStr">
        <is>
          <t>Upload completes without a timeout. Record the seconds taken in Actual Result.</t>
        </is>
      </c>
      <c r="L62" s="16" t="n"/>
      <c r="M62" s="17" t="n"/>
      <c r="N62" s="16" t="n"/>
      <c r="O62" s="18" t="n"/>
      <c r="P62" s="17" t="n"/>
      <c r="Q62" s="16" t="n"/>
    </row>
    <row r="63" ht="33" customHeight="1" s="25">
      <c r="A63" s="14" t="inlineStr">
        <is>
          <t>TC-062</t>
        </is>
      </c>
      <c r="B63" s="13" t="inlineStr">
        <is>
          <t>Performance</t>
        </is>
      </c>
      <c r="C63" s="15" t="inlineStr">
        <is>
          <t>Admin</t>
        </is>
      </c>
      <c r="D63" s="15" t="inlineStr">
        <is>
          <t>Web</t>
        </is>
      </c>
      <c r="E63" s="13" t="inlineStr">
        <is>
          <t>Performance efficiency</t>
        </is>
      </c>
      <c r="F63" s="13" t="inlineStr">
        <is>
          <t>ISO 25010</t>
        </is>
      </c>
      <c r="G63" s="13" t="inlineStr">
        <is>
          <t>Page load time</t>
        </is>
      </c>
      <c r="H63" s="13" t="inlineStr">
        <is>
          <t>Logged in.</t>
        </is>
      </c>
      <c r="I63" s="13" t="inlineStr">
        <is>
          <t>1. Open Dashboard, Consolidated Records, Analytics and Records &amp; SF10.
2. Time each page until its data appears.</t>
        </is>
      </c>
      <c r="J63" s="13" t="inlineStr">
        <is>
          <t>-</t>
        </is>
      </c>
      <c r="K63" s="13" t="inlineStr">
        <is>
          <t>Each page shows its data without timeouts. Record the seconds for each page.</t>
        </is>
      </c>
      <c r="L63" s="16" t="n"/>
      <c r="M63" s="17" t="n"/>
      <c r="N63" s="16" t="n"/>
      <c r="O63" s="18" t="n"/>
      <c r="P63" s="17" t="n"/>
      <c r="Q63" s="16" t="n"/>
    </row>
    <row r="64" ht="33" customHeight="1" s="25">
      <c r="A64" s="14" t="inlineStr">
        <is>
          <t>TC-063</t>
        </is>
      </c>
      <c r="B64" s="13" t="inlineStr">
        <is>
          <t>Compatibility</t>
        </is>
      </c>
      <c r="C64" s="15" t="inlineStr">
        <is>
          <t>All</t>
        </is>
      </c>
      <c r="D64" s="15" t="inlineStr">
        <is>
          <t>Web</t>
        </is>
      </c>
      <c r="E64" s="13" t="inlineStr">
        <is>
          <t>Compatibility</t>
        </is>
      </c>
      <c r="F64" s="13" t="inlineStr">
        <is>
          <t>ISO 25010</t>
        </is>
      </c>
      <c r="G64" s="13" t="inlineStr">
        <is>
          <t>Works on Chrome, Edge and Firefox</t>
        </is>
      </c>
      <c r="H64" s="13" t="inlineStr">
        <is>
          <t>Latest versions of each browser.</t>
        </is>
      </c>
      <c r="I64" s="13" t="inlineStr">
        <is>
          <t>1. Repeat login, upload, consolidated records and SF10 download in each browser.</t>
        </is>
      </c>
      <c r="J64" s="13" t="inlineStr">
        <is>
          <t>-</t>
        </is>
      </c>
      <c r="K64" s="13" t="inlineStr">
        <is>
          <t>Same behaviour and layout in every browser. Note browser versions in Remarks.</t>
        </is>
      </c>
      <c r="L64" s="16" t="n"/>
      <c r="M64" s="17" t="n"/>
      <c r="N64" s="16" t="n"/>
      <c r="O64" s="18" t="n"/>
      <c r="P64" s="17" t="n"/>
      <c r="Q64" s="16" t="n"/>
    </row>
    <row r="65" ht="33" customHeight="1" s="25">
      <c r="A65" s="14" t="inlineStr">
        <is>
          <t>TC-064</t>
        </is>
      </c>
      <c r="B65" s="13" t="inlineStr">
        <is>
          <t>Compatibility</t>
        </is>
      </c>
      <c r="C65" s="15" t="inlineStr">
        <is>
          <t>All</t>
        </is>
      </c>
      <c r="D65" s="15" t="inlineStr">
        <is>
          <t>Web</t>
        </is>
      </c>
      <c r="E65" s="13" t="inlineStr">
        <is>
          <t>Compatibility</t>
        </is>
      </c>
      <c r="F65" s="13" t="inlineStr">
        <is>
          <t>ISO 25010</t>
        </is>
      </c>
      <c r="G65" s="13" t="inlineStr">
        <is>
          <t>Layout at laptop and tablet widths</t>
        </is>
      </c>
      <c r="H65" s="13" t="inlineStr">
        <is>
          <t>Any browser.</t>
        </is>
      </c>
      <c r="I65" s="13" t="inlineStr">
        <is>
          <t>1. View the main pages at a laptop width and at a tablet width.</t>
        </is>
      </c>
      <c r="J65" s="13" t="inlineStr">
        <is>
          <t>-</t>
        </is>
      </c>
      <c r="K65" s="13" t="inlineStr">
        <is>
          <t>Content stays readable, nothing overlaps, and all buttons can be reached.</t>
        </is>
      </c>
      <c r="L65" s="16" t="n"/>
      <c r="M65" s="17" t="n"/>
      <c r="N65" s="16" t="n"/>
      <c r="O65" s="18" t="n"/>
      <c r="P65" s="17" t="n"/>
      <c r="Q65" s="16" t="n"/>
    </row>
    <row r="66" ht="33" customHeight="1" s="25">
      <c r="A66" s="14" t="inlineStr">
        <is>
          <t>TC-065</t>
        </is>
      </c>
      <c r="B66" s="13" t="inlineStr">
        <is>
          <t>Usability</t>
        </is>
      </c>
      <c r="C66" s="15" t="inlineStr">
        <is>
          <t>All</t>
        </is>
      </c>
      <c r="D66" s="15" t="inlineStr">
        <is>
          <t>Web</t>
        </is>
      </c>
      <c r="E66" s="13" t="inlineStr">
        <is>
          <t>Usability</t>
        </is>
      </c>
      <c r="F66" s="13" t="inlineStr">
        <is>
          <t>ISO 25010</t>
        </is>
      </c>
      <c r="G66" s="13" t="inlineStr">
        <is>
          <t>First-time task completion</t>
        </is>
      </c>
      <c r="H66" s="13" t="inlineStr">
        <is>
          <t>Tester has not used EduCheck before.</t>
        </is>
      </c>
      <c r="I66" s="13" t="inlineStr">
        <is>
          <t>1. Without help, ask the tester to upload a record (teacher) or submit a learner (adviser).</t>
        </is>
      </c>
      <c r="J66" s="13" t="inlineStr">
        <is>
          <t>-</t>
        </is>
      </c>
      <c r="K66" s="13" t="inlineStr">
        <is>
          <t>The tester completes the task without help. Note where they hesitated in Remarks.</t>
        </is>
      </c>
      <c r="L66" s="16" t="n"/>
      <c r="M66" s="17" t="n"/>
      <c r="N66" s="16" t="n"/>
      <c r="O66" s="18" t="n"/>
      <c r="P66" s="17" t="n"/>
      <c r="Q66" s="16" t="n"/>
    </row>
    <row r="67" ht="33" customHeight="1" s="25">
      <c r="A67" s="14" t="inlineStr">
        <is>
          <t>TC-066</t>
        </is>
      </c>
      <c r="B67" s="13" t="inlineStr">
        <is>
          <t>Usability</t>
        </is>
      </c>
      <c r="C67" s="15" t="inlineStr">
        <is>
          <t>All</t>
        </is>
      </c>
      <c r="D67" s="15" t="inlineStr">
        <is>
          <t>Web</t>
        </is>
      </c>
      <c r="E67" s="13" t="inlineStr">
        <is>
          <t>Usability</t>
        </is>
      </c>
      <c r="F67" s="13" t="inlineStr">
        <is>
          <t>ISO 25010</t>
        </is>
      </c>
      <c r="G67" s="13" t="inlineStr">
        <is>
          <t>Light and dark theme are readable</t>
        </is>
      </c>
      <c r="H67" s="13" t="inlineStr">
        <is>
          <t>Any page.</t>
        </is>
      </c>
      <c r="I67" s="13" t="inlineStr">
        <is>
          <t>1. Switch the theme in Settings.
2. Look through the main pages.</t>
        </is>
      </c>
      <c r="J67" s="13" t="inlineStr">
        <is>
          <t>-</t>
        </is>
      </c>
      <c r="K67" s="13" t="inlineStr">
        <is>
          <t>Text, status badges and charts are readable in both themes.</t>
        </is>
      </c>
      <c r="L67" s="16" t="n"/>
      <c r="M67" s="17" t="n"/>
      <c r="N67" s="16" t="n"/>
      <c r="O67" s="18" t="n"/>
      <c r="P67" s="17" t="n"/>
      <c r="Q67" s="16" t="n"/>
    </row>
    <row r="68" ht="30" customHeight="1" s="25">
      <c r="A68" s="14" t="inlineStr">
        <is>
          <t>TC-067</t>
        </is>
      </c>
      <c r="B68" s="13" t="inlineStr">
        <is>
          <t>Security</t>
        </is>
      </c>
      <c r="C68" s="15" t="inlineStr">
        <is>
          <t>All</t>
        </is>
      </c>
      <c r="D68" s="15" t="inlineStr">
        <is>
          <t>Web</t>
        </is>
      </c>
      <c r="E68" s="13" t="inlineStr">
        <is>
          <t>Security</t>
        </is>
      </c>
      <c r="F68" s="13" t="inlineStr">
        <is>
          <t>ISO 25010</t>
        </is>
      </c>
      <c r="G68" s="13" t="inlineStr">
        <is>
          <t>Session expires</t>
        </is>
      </c>
      <c r="H68" s="13" t="inlineStr">
        <is>
          <t>Logged in.</t>
        </is>
      </c>
      <c r="I68" s="13" t="inlineStr">
        <is>
          <t>1. Leave the session idle for more than 8 hours (or clear the token), then click a menu item.</t>
        </is>
      </c>
      <c r="J68" s="13" t="inlineStr">
        <is>
          <t>-</t>
        </is>
      </c>
      <c r="K68" s="13" t="inlineStr">
        <is>
          <t>The user is asked to log in again.</t>
        </is>
      </c>
      <c r="L68" s="16" t="n"/>
      <c r="M68" s="17" t="n"/>
      <c r="N68" s="16" t="n"/>
      <c r="O68" s="18" t="n"/>
      <c r="P68" s="17" t="n"/>
      <c r="Q68" s="16" t="n"/>
    </row>
    <row r="69" ht="30" customHeight="1" s="25">
      <c r="A69" s="14" t="inlineStr">
        <is>
          <t>TC-068</t>
        </is>
      </c>
      <c r="B69" s="13" t="inlineStr">
        <is>
          <t>Upload</t>
        </is>
      </c>
      <c r="C69" s="15" t="inlineStr">
        <is>
          <t>Subject Teacher</t>
        </is>
      </c>
      <c r="D69" s="15" t="inlineStr">
        <is>
          <t>Web</t>
        </is>
      </c>
      <c r="E69" s="13" t="inlineStr">
        <is>
          <t>Functional suitability</t>
        </is>
      </c>
      <c r="F69" s="13" t="inlineStr">
        <is>
          <t>EPIC-02, D-08</t>
        </is>
      </c>
      <c r="G69" s="13" t="inlineStr">
        <is>
          <t>A file for another subject is refused</t>
        </is>
      </c>
      <c r="H69" s="13" t="inlineStr">
        <is>
          <t>Teacher is assigned to Mathematics for Rizal. No Rizal learner is Approved.</t>
        </is>
      </c>
      <c r="I69" s="13" t="inlineStr">
        <is>
          <t>1. Open Upload e-Class Record.
2. Select Mathematics and Rizal.
3. Upload the English file.</t>
        </is>
      </c>
      <c r="J69" s="13" t="inlineStr">
        <is>
          <t>UAT-files/per-subject/ecr-rizal-English.xlsx</t>
        </is>
      </c>
      <c r="K69" s="13" t="inlineStr">
        <is>
          <t>The upload is refused: the file is the e-Class Record for English but Mathematics was selected. Nothing is saved.</t>
        </is>
      </c>
      <c r="L69" s="16" t="n"/>
      <c r="M69" s="17" t="n"/>
      <c r="N69" s="16" t="n"/>
      <c r="O69" s="18" t="n"/>
      <c r="P69" s="17" t="n"/>
      <c r="Q69" s="16" t="n"/>
    </row>
    <row r="70" ht="30" customHeight="1" s="25">
      <c r="A70" s="14" t="inlineStr">
        <is>
          <t>TC-069</t>
        </is>
      </c>
      <c r="B70" s="13" t="inlineStr">
        <is>
          <t>SF10</t>
        </is>
      </c>
      <c r="C70" s="15" t="inlineStr">
        <is>
          <t>Admin</t>
        </is>
      </c>
      <c r="D70" s="15" t="inlineStr">
        <is>
          <t>Web</t>
        </is>
      </c>
      <c r="E70" s="13" t="inlineStr">
        <is>
          <t>Functional suitability</t>
        </is>
      </c>
      <c r="F70" s="13" t="inlineStr">
        <is>
          <t>D-05, US-005</t>
        </is>
      </c>
      <c r="G70" s="13" t="inlineStr">
        <is>
          <t>A 3-term year prints as Terms 1-3</t>
        </is>
      </c>
      <c r="H70" s="13" t="inlineStr">
        <is>
          <t>A Rizal learner's 2025-2026 record has been approved (e.g. after TC-039).</t>
        </is>
      </c>
      <c r="I70" s="13" t="inlineStr">
        <is>
          <t>1. Open Records &amp; SF10 and open that learner's Permanent Record (SF10).
2. Check the Grade 6 card.
3. Click Generate SF10 and open the file in Excel (Back sheet, Grade 6).</t>
        </is>
      </c>
      <c r="J70" s="13" t="inlineStr">
        <is>
          <t>LRN of the approved learner</t>
        </is>
      </c>
      <c r="K70" s="13" t="inlineStr">
        <is>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is>
      </c>
      <c r="L70" s="16" t="n"/>
      <c r="M70" s="17" t="n"/>
      <c r="N70" s="16" t="n"/>
      <c r="O70" s="18" t="n"/>
      <c r="P70" s="17" t="n"/>
      <c r="Q70" s="16" t="n"/>
    </row>
    <row r="71" ht="30" customHeight="1" s="25">
      <c r="A71" s="14" t="inlineStr">
        <is>
          <t>TC-070</t>
        </is>
      </c>
      <c r="B71" s="13" t="inlineStr">
        <is>
          <t>SF10</t>
        </is>
      </c>
      <c r="C71" s="15" t="inlineStr">
        <is>
          <t>Adviser</t>
        </is>
      </c>
      <c r="D71" s="15" t="inlineStr">
        <is>
          <t>Web</t>
        </is>
      </c>
      <c r="E71" s="13" t="inlineStr">
        <is>
          <t>Functional suitability</t>
        </is>
      </c>
      <c r="F71" s="13" t="inlineStr">
        <is>
          <t>US-014</t>
        </is>
      </c>
      <c r="G71" s="13" t="inlineStr">
        <is>
          <t>Import earlier years from an existing SF10 file</t>
        </is>
      </c>
      <c r="H71" s="13" t="inlineStr">
        <is>
          <t>Logged in as the Rizal Adviser. Learner 100000000001 has Grade 4 and Grade 5 records.</t>
        </is>
      </c>
      <c r="I71" s="13" t="inlineStr">
        <is>
          <t>1. Open the Permanent Record of 100000000001 and click Generate SF10 to save a copy.
2. Delete the Grade 5 year.
3. Click Import from SF10 and choose the saved file.
4. Check the preview, keep only Grade 5 ticked and click Import.</t>
        </is>
      </c>
      <c r="J71" s="13" t="inlineStr">
        <is>
          <t>LRN 100000000001; the SF10 file from step 1</t>
        </is>
      </c>
      <c r="K71" s="13" t="inlineStr">
        <is>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is>
      </c>
      <c r="L71" s="16" t="n"/>
      <c r="M71" s="17" t="n"/>
      <c r="N71" s="16" t="n"/>
      <c r="O71" s="18" t="n"/>
      <c r="P71" s="17" t="n"/>
      <c r="Q71" s="16" t="n"/>
    </row>
    <row r="72" ht="30" customHeight="1" s="25">
      <c r="A72" s="14" t="inlineStr">
        <is>
          <t>TC-071</t>
        </is>
      </c>
      <c r="B72" s="13" t="inlineStr">
        <is>
          <t>SF10</t>
        </is>
      </c>
      <c r="C72" s="15" t="inlineStr">
        <is>
          <t>Adviser</t>
        </is>
      </c>
      <c r="D72" s="15" t="inlineStr">
        <is>
          <t>Web</t>
        </is>
      </c>
      <c r="E72" s="13" t="inlineStr">
        <is>
          <t>Security</t>
        </is>
      </c>
      <c r="F72" s="13" t="inlineStr">
        <is>
          <t>US-014</t>
        </is>
      </c>
      <c r="G72" s="13" t="inlineStr">
        <is>
          <t>Import refuses another learner's SF10</t>
        </is>
      </c>
      <c r="H72" s="13" t="inlineStr">
        <is>
          <t>Logged in as the Rizal Adviser. The SF10 file of 100000000001 from TC-070.</t>
        </is>
      </c>
      <c r="I72" s="13" t="inlineStr">
        <is>
          <t>1. Open the Permanent Record of another Rizal learner.
2. Click Import from SF10 and choose 100000000001's file.</t>
        </is>
      </c>
      <c r="J72" s="13" t="inlineStr">
        <is>
          <t>e.g. LRN 100000000004</t>
        </is>
      </c>
      <c r="K72" s="13" t="inlineStr">
        <is>
          <t>The import is refused with a message that the SF10 belongs to LRN 100000000001. Nothing is saved.</t>
        </is>
      </c>
      <c r="L72" s="16" t="n"/>
      <c r="M72" s="17" t="n"/>
      <c r="N72" s="16" t="n"/>
      <c r="O72" s="18" t="n"/>
      <c r="P72" s="17" t="n"/>
      <c r="Q72" s="16" t="n"/>
    </row>
  </sheetData>
  <autoFilter ref="A1:Q68"/>
  <conditionalFormatting sqref="M2:M6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"Not Run"</formula>
    </cfRule>
  </conditionalFormatting>
  <dataValidations count="2">
    <dataValidation sqref="M2:M72" showDropDown="0" showInputMessage="0" showErrorMessage="0" allowBlank="1" errorTitle="Status" error="Choose Pass, Fail, Blocked or Not Run." type="list">
      <formula1>"Pass,Fail,Blocked,Not Run"</formula1>
    </dataValidation>
    <dataValidation sqref="O2:O72" showDropDown="0" showInputMessage="0" showErrorMessage="0" allowBlank="1" error="Enter a date (YYYY-MM-DD)." type="date" operator="greaterThan">
      <formula1>DATE(2026,1,1)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4.4"/>
  <cols>
    <col width="30" customWidth="1" style="25" min="1" max="1"/>
    <col width="11" customWidth="1" style="25" min="2" max="7"/>
  </cols>
  <sheetData>
    <row r="1" ht="21" customHeight="1" s="25">
      <c r="A1" s="1" t="inlineStr">
        <is>
          <t>Test Summary</t>
        </is>
      </c>
    </row>
    <row r="2">
      <c r="A2" s="2" t="inlineStr">
        <is>
          <t>Counts update from the Status column of the Test Cases sheet.</t>
        </is>
      </c>
    </row>
    <row r="4">
      <c r="A4" s="19" t="inlineStr">
        <is>
          <t>Overall</t>
        </is>
      </c>
    </row>
    <row r="5">
      <c r="A5" s="9" t="inlineStr">
        <is>
          <t>Total test cases</t>
        </is>
      </c>
      <c r="B5" s="20">
        <f>COUNTA('Test Cases'!$A$2:$A$72)</f>
        <v/>
      </c>
    </row>
    <row r="6">
      <c r="A6" s="9" t="inlineStr">
        <is>
          <t>Pass</t>
        </is>
      </c>
      <c r="B6" s="20">
        <f>COUNTIF('Test Cases'!$M$2:$M$72,"Pass")</f>
        <v/>
      </c>
    </row>
    <row r="7">
      <c r="A7" s="9" t="inlineStr">
        <is>
          <t>Fail</t>
        </is>
      </c>
      <c r="B7" s="20">
        <f>COUNTIF('Test Cases'!$M$2:$M$72,"Fail")</f>
        <v/>
      </c>
    </row>
    <row r="8">
      <c r="A8" s="9" t="inlineStr">
        <is>
          <t>Blocked</t>
        </is>
      </c>
      <c r="B8" s="20">
        <f>COUNTIF('Test Cases'!$M$2:$M$72,"Blocked")</f>
        <v/>
      </c>
    </row>
    <row r="9">
      <c r="A9" s="9" t="inlineStr">
        <is>
          <t>Not Run (or blank)</t>
        </is>
      </c>
      <c r="B9" s="20">
        <f>B5-B6-B7-B8</f>
        <v/>
      </c>
    </row>
    <row r="10">
      <c r="A10" s="9" t="inlineStr">
        <is>
          <t>Executed (Pass + Fail)</t>
        </is>
      </c>
      <c r="B10" s="20">
        <f>B6+B7</f>
        <v/>
      </c>
    </row>
    <row r="11">
      <c r="A11" s="9" t="inlineStr">
        <is>
          <t>Pass rate of executed</t>
        </is>
      </c>
      <c r="B11" s="21">
        <f>IF(B10=0,"-",B6/B10)</f>
        <v/>
      </c>
    </row>
    <row r="12">
      <c r="A12" s="9" t="inlineStr">
        <is>
          <t>Progress (executed or blocked)</t>
        </is>
      </c>
      <c r="B12" s="21">
        <f>IF(B5=0,"-",(B10+B8)/B5)</f>
        <v/>
      </c>
    </row>
    <row r="15">
      <c r="A15" s="19" t="inlineStr">
        <is>
          <t>Results by module</t>
        </is>
      </c>
    </row>
    <row r="16">
      <c r="A16" s="11" t="inlineStr">
        <is>
          <t>Module</t>
        </is>
      </c>
      <c r="B16" s="11" t="inlineStr">
        <is>
          <t>Total</t>
        </is>
      </c>
      <c r="C16" s="11" t="inlineStr">
        <is>
          <t>Pass</t>
        </is>
      </c>
      <c r="D16" s="11" t="inlineStr">
        <is>
          <t>Fail</t>
        </is>
      </c>
      <c r="E16" s="11" t="inlineStr">
        <is>
          <t>Blocked</t>
        </is>
      </c>
      <c r="F16" s="11" t="inlineStr">
        <is>
          <t>Not Run</t>
        </is>
      </c>
      <c r="G16" s="11" t="inlineStr">
        <is>
          <t>Pass rate</t>
        </is>
      </c>
    </row>
    <row r="17">
      <c r="A17" s="12" t="inlineStr">
        <is>
          <t>Authentication</t>
        </is>
      </c>
      <c r="B17" s="20">
        <f>COUNTIF('Test Cases'!$B$2:$B$72,A17)</f>
        <v/>
      </c>
      <c r="C17" s="20">
        <f>COUNTIFS('Test Cases'!$B$2:$B$72,A17,'Test Cases'!$M$2:$M$72,"Pass")</f>
        <v/>
      </c>
      <c r="D17" s="20">
        <f>COUNTIFS('Test Cases'!$B$2:$B$72,A17,'Test Cases'!$M$2:$M$72,"Fail")</f>
        <v/>
      </c>
      <c r="E17" s="20">
        <f>COUNTIFS('Test Cases'!$B$2:$B$72,A17,'Test Cases'!$M$2:$M$72,"Blocked")</f>
        <v/>
      </c>
      <c r="F17" s="20">
        <f>B17-C17-D17-E17</f>
        <v/>
      </c>
      <c r="G17" s="21">
        <f>IF(C17+D17=0,"-",C17/(C17+D17))</f>
        <v/>
      </c>
    </row>
    <row r="18">
      <c r="A18" s="12" t="inlineStr">
        <is>
          <t>Account</t>
        </is>
      </c>
      <c r="B18" s="20">
        <f>COUNTIF('Test Cases'!$B$2:$B$72,A18)</f>
        <v/>
      </c>
      <c r="C18" s="20">
        <f>COUNTIFS('Test Cases'!$B$2:$B$72,A18,'Test Cases'!$M$2:$M$72,"Pass")</f>
        <v/>
      </c>
      <c r="D18" s="20">
        <f>COUNTIFS('Test Cases'!$B$2:$B$72,A18,'Test Cases'!$M$2:$M$72,"Fail")</f>
        <v/>
      </c>
      <c r="E18" s="20">
        <f>COUNTIFS('Test Cases'!$B$2:$B$72,A18,'Test Cases'!$M$2:$M$72,"Blocked")</f>
        <v/>
      </c>
      <c r="F18" s="20">
        <f>B18-C18-D18-E18</f>
        <v/>
      </c>
      <c r="G18" s="21">
        <f>IF(C18+D18=0,"-",C18/(C18+D18))</f>
        <v/>
      </c>
    </row>
    <row r="19">
      <c r="A19" s="12" t="inlineStr">
        <is>
          <t>User Management</t>
        </is>
      </c>
      <c r="B19" s="20">
        <f>COUNTIF('Test Cases'!$B$2:$B$72,A19)</f>
        <v/>
      </c>
      <c r="C19" s="20">
        <f>COUNTIFS('Test Cases'!$B$2:$B$72,A19,'Test Cases'!$M$2:$M$72,"Pass")</f>
        <v/>
      </c>
      <c r="D19" s="20">
        <f>COUNTIFS('Test Cases'!$B$2:$B$72,A19,'Test Cases'!$M$2:$M$72,"Fail")</f>
        <v/>
      </c>
      <c r="E19" s="20">
        <f>COUNTIFS('Test Cases'!$B$2:$B$72,A19,'Test Cases'!$M$2:$M$72,"Blocked")</f>
        <v/>
      </c>
      <c r="F19" s="20">
        <f>B19-C19-D19-E19</f>
        <v/>
      </c>
      <c r="G19" s="21">
        <f>IF(C19+D19=0,"-",C19/(C19+D19))</f>
        <v/>
      </c>
    </row>
    <row r="20">
      <c r="A20" s="12" t="inlineStr">
        <is>
          <t>Teacher Management</t>
        </is>
      </c>
      <c r="B20" s="20">
        <f>COUNTIF('Test Cases'!$B$2:$B$72,A20)</f>
        <v/>
      </c>
      <c r="C20" s="20">
        <f>COUNTIFS('Test Cases'!$B$2:$B$72,A20,'Test Cases'!$M$2:$M$72,"Pass")</f>
        <v/>
      </c>
      <c r="D20" s="20">
        <f>COUNTIFS('Test Cases'!$B$2:$B$72,A20,'Test Cases'!$M$2:$M$72,"Fail")</f>
        <v/>
      </c>
      <c r="E20" s="20">
        <f>COUNTIFS('Test Cases'!$B$2:$B$72,A20,'Test Cases'!$M$2:$M$72,"Blocked")</f>
        <v/>
      </c>
      <c r="F20" s="20">
        <f>B20-C20-D20-E20</f>
        <v/>
      </c>
      <c r="G20" s="21">
        <f>IF(C20+D20=0,"-",C20/(C20+D20))</f>
        <v/>
      </c>
    </row>
    <row r="21">
      <c r="A21" s="12" t="inlineStr">
        <is>
          <t>Section &amp; Assignments</t>
        </is>
      </c>
      <c r="B21" s="20">
        <f>COUNTIF('Test Cases'!$B$2:$B$72,A21)</f>
        <v/>
      </c>
      <c r="C21" s="20">
        <f>COUNTIFS('Test Cases'!$B$2:$B$72,A21,'Test Cases'!$M$2:$M$72,"Pass")</f>
        <v/>
      </c>
      <c r="D21" s="20">
        <f>COUNTIFS('Test Cases'!$B$2:$B$72,A21,'Test Cases'!$M$2:$M$72,"Fail")</f>
        <v/>
      </c>
      <c r="E21" s="20">
        <f>COUNTIFS('Test Cases'!$B$2:$B$72,A21,'Test Cases'!$M$2:$M$72,"Blocked")</f>
        <v/>
      </c>
      <c r="F21" s="20">
        <f>B21-C21-D21-E21</f>
        <v/>
      </c>
      <c r="G21" s="21">
        <f>IF(C21+D21=0,"-",C21/(C21+D21))</f>
        <v/>
      </c>
    </row>
    <row r="22">
      <c r="A22" s="12" t="inlineStr">
        <is>
          <t>Audit Log</t>
        </is>
      </c>
      <c r="B22" s="20">
        <f>COUNTIF('Test Cases'!$B$2:$B$72,A22)</f>
        <v/>
      </c>
      <c r="C22" s="20">
        <f>COUNTIFS('Test Cases'!$B$2:$B$72,A22,'Test Cases'!$M$2:$M$72,"Pass")</f>
        <v/>
      </c>
      <c r="D22" s="20">
        <f>COUNTIFS('Test Cases'!$B$2:$B$72,A22,'Test Cases'!$M$2:$M$72,"Fail")</f>
        <v/>
      </c>
      <c r="E22" s="20">
        <f>COUNTIFS('Test Cases'!$B$2:$B$72,A22,'Test Cases'!$M$2:$M$72,"Blocked")</f>
        <v/>
      </c>
      <c r="F22" s="20">
        <f>B22-C22-D22-E22</f>
        <v/>
      </c>
      <c r="G22" s="21">
        <f>IF(C22+D22=0,"-",C22/(C22+D22))</f>
        <v/>
      </c>
    </row>
    <row r="23">
      <c r="A23" s="12" t="inlineStr">
        <is>
          <t>Upload</t>
        </is>
      </c>
      <c r="B23" s="20">
        <f>COUNTIF('Test Cases'!$B$2:$B$72,A23)</f>
        <v/>
      </c>
      <c r="C23" s="20">
        <f>COUNTIFS('Test Cases'!$B$2:$B$72,A23,'Test Cases'!$M$2:$M$72,"Pass")</f>
        <v/>
      </c>
      <c r="D23" s="20">
        <f>COUNTIFS('Test Cases'!$B$2:$B$72,A23,'Test Cases'!$M$2:$M$72,"Fail")</f>
        <v/>
      </c>
      <c r="E23" s="20">
        <f>COUNTIFS('Test Cases'!$B$2:$B$72,A23,'Test Cases'!$M$2:$M$72,"Blocked")</f>
        <v/>
      </c>
      <c r="F23" s="20">
        <f>B23-C23-D23-E23</f>
        <v/>
      </c>
      <c r="G23" s="21">
        <f>IF(C23+D23=0,"-",C23/(C23+D23))</f>
        <v/>
      </c>
    </row>
    <row r="24">
      <c r="A24" s="12" t="inlineStr">
        <is>
          <t>Validation</t>
        </is>
      </c>
      <c r="B24" s="20">
        <f>COUNTIF('Test Cases'!$B$2:$B$72,A24)</f>
        <v/>
      </c>
      <c r="C24" s="20">
        <f>COUNTIFS('Test Cases'!$B$2:$B$72,A24,'Test Cases'!$M$2:$M$72,"Pass")</f>
        <v/>
      </c>
      <c r="D24" s="20">
        <f>COUNTIFS('Test Cases'!$B$2:$B$72,A24,'Test Cases'!$M$2:$M$72,"Fail")</f>
        <v/>
      </c>
      <c r="E24" s="20">
        <f>COUNTIFS('Test Cases'!$B$2:$B$72,A24,'Test Cases'!$M$2:$M$72,"Blocked")</f>
        <v/>
      </c>
      <c r="F24" s="20">
        <f>B24-C24-D24-E24</f>
        <v/>
      </c>
      <c r="G24" s="21">
        <f>IF(C24+D24=0,"-",C24/(C24+D24))</f>
        <v/>
      </c>
    </row>
    <row r="25">
      <c r="A25" s="12" t="inlineStr">
        <is>
          <t>Consolidation</t>
        </is>
      </c>
      <c r="B25" s="20">
        <f>COUNTIF('Test Cases'!$B$2:$B$72,A25)</f>
        <v/>
      </c>
      <c r="C25" s="20">
        <f>COUNTIFS('Test Cases'!$B$2:$B$72,A25,'Test Cases'!$M$2:$M$72,"Pass")</f>
        <v/>
      </c>
      <c r="D25" s="20">
        <f>COUNTIFS('Test Cases'!$B$2:$B$72,A25,'Test Cases'!$M$2:$M$72,"Fail")</f>
        <v/>
      </c>
      <c r="E25" s="20">
        <f>COUNTIFS('Test Cases'!$B$2:$B$72,A25,'Test Cases'!$M$2:$M$72,"Blocked")</f>
        <v/>
      </c>
      <c r="F25" s="20">
        <f>B25-C25-D25-E25</f>
        <v/>
      </c>
      <c r="G25" s="21">
        <f>IF(C25+D25=0,"-",C25/(C25+D25))</f>
        <v/>
      </c>
    </row>
    <row r="26">
      <c r="A26" s="12" t="inlineStr">
        <is>
          <t>Submission</t>
        </is>
      </c>
      <c r="B26" s="20">
        <f>COUNTIF('Test Cases'!$B$2:$B$72,A26)</f>
        <v/>
      </c>
      <c r="C26" s="20">
        <f>COUNTIFS('Test Cases'!$B$2:$B$72,A26,'Test Cases'!$M$2:$M$72,"Pass")</f>
        <v/>
      </c>
      <c r="D26" s="20">
        <f>COUNTIFS('Test Cases'!$B$2:$B$72,A26,'Test Cases'!$M$2:$M$72,"Fail")</f>
        <v/>
      </c>
      <c r="E26" s="20">
        <f>COUNTIFS('Test Cases'!$B$2:$B$72,A26,'Test Cases'!$M$2:$M$72,"Blocked")</f>
        <v/>
      </c>
      <c r="F26" s="20">
        <f>B26-C26-D26-E26</f>
        <v/>
      </c>
      <c r="G26" s="21">
        <f>IF(C26+D26=0,"-",C26/(C26+D26))</f>
        <v/>
      </c>
    </row>
    <row r="27">
      <c r="A27" s="12" t="inlineStr">
        <is>
          <t>Section Progress</t>
        </is>
      </c>
      <c r="B27" s="20">
        <f>COUNTIF('Test Cases'!$B$2:$B$72,A27)</f>
        <v/>
      </c>
      <c r="C27" s="20">
        <f>COUNTIFS('Test Cases'!$B$2:$B$72,A27,'Test Cases'!$M$2:$M$72,"Pass")</f>
        <v/>
      </c>
      <c r="D27" s="20">
        <f>COUNTIFS('Test Cases'!$B$2:$B$72,A27,'Test Cases'!$M$2:$M$72,"Fail")</f>
        <v/>
      </c>
      <c r="E27" s="20">
        <f>COUNTIFS('Test Cases'!$B$2:$B$72,A27,'Test Cases'!$M$2:$M$72,"Blocked")</f>
        <v/>
      </c>
      <c r="F27" s="20">
        <f>B27-C27-D27-E27</f>
        <v/>
      </c>
      <c r="G27" s="21">
        <f>IF(C27+D27=0,"-",C27/(C27+D27))</f>
        <v/>
      </c>
    </row>
    <row r="28">
      <c r="A28" s="12" t="inlineStr">
        <is>
          <t>Submission Review</t>
        </is>
      </c>
      <c r="B28" s="20">
        <f>COUNTIF('Test Cases'!$B$2:$B$72,A28)</f>
        <v/>
      </c>
      <c r="C28" s="20">
        <f>COUNTIFS('Test Cases'!$B$2:$B$72,A28,'Test Cases'!$M$2:$M$72,"Pass")</f>
        <v/>
      </c>
      <c r="D28" s="20">
        <f>COUNTIFS('Test Cases'!$B$2:$B$72,A28,'Test Cases'!$M$2:$M$72,"Fail")</f>
        <v/>
      </c>
      <c r="E28" s="20">
        <f>COUNTIFS('Test Cases'!$B$2:$B$72,A28,'Test Cases'!$M$2:$M$72,"Blocked")</f>
        <v/>
      </c>
      <c r="F28" s="20">
        <f>B28-C28-D28-E28</f>
        <v/>
      </c>
      <c r="G28" s="21">
        <f>IF(C28+D28=0,"-",C28/(C28+D28))</f>
        <v/>
      </c>
    </row>
    <row r="29">
      <c r="A29" s="12" t="inlineStr">
        <is>
          <t>Principal</t>
        </is>
      </c>
      <c r="B29" s="20">
        <f>COUNTIF('Test Cases'!$B$2:$B$72,A29)</f>
        <v/>
      </c>
      <c r="C29" s="20">
        <f>COUNTIFS('Test Cases'!$B$2:$B$72,A29,'Test Cases'!$M$2:$M$72,"Pass")</f>
        <v/>
      </c>
      <c r="D29" s="20">
        <f>COUNTIFS('Test Cases'!$B$2:$B$72,A29,'Test Cases'!$M$2:$M$72,"Fail")</f>
        <v/>
      </c>
      <c r="E29" s="20">
        <f>COUNTIFS('Test Cases'!$B$2:$B$72,A29,'Test Cases'!$M$2:$M$72,"Blocked")</f>
        <v/>
      </c>
      <c r="F29" s="20">
        <f>B29-C29-D29-E29</f>
        <v/>
      </c>
      <c r="G29" s="21">
        <f>IF(C29+D29=0,"-",C29/(C29+D29))</f>
        <v/>
      </c>
    </row>
    <row r="30">
      <c r="A30" s="12" t="inlineStr">
        <is>
          <t>Repository</t>
        </is>
      </c>
      <c r="B30" s="20">
        <f>COUNTIF('Test Cases'!$B$2:$B$72,A30)</f>
        <v/>
      </c>
      <c r="C30" s="20">
        <f>COUNTIFS('Test Cases'!$B$2:$B$72,A30,'Test Cases'!$M$2:$M$72,"Pass")</f>
        <v/>
      </c>
      <c r="D30" s="20">
        <f>COUNTIFS('Test Cases'!$B$2:$B$72,A30,'Test Cases'!$M$2:$M$72,"Fail")</f>
        <v/>
      </c>
      <c r="E30" s="20">
        <f>COUNTIFS('Test Cases'!$B$2:$B$72,A30,'Test Cases'!$M$2:$M$72,"Blocked")</f>
        <v/>
      </c>
      <c r="F30" s="20">
        <f>B30-C30-D30-E30</f>
        <v/>
      </c>
      <c r="G30" s="21">
        <f>IF(C30+D30=0,"-",C30/(C30+D30))</f>
        <v/>
      </c>
    </row>
    <row r="31">
      <c r="A31" s="12" t="inlineStr">
        <is>
          <t>SF10</t>
        </is>
      </c>
      <c r="B31" s="20">
        <f>COUNTIF('Test Cases'!$B$2:$B$72,A31)</f>
        <v/>
      </c>
      <c r="C31" s="20">
        <f>COUNTIFS('Test Cases'!$B$2:$B$72,A31,'Test Cases'!$M$2:$M$72,"Pass")</f>
        <v/>
      </c>
      <c r="D31" s="20">
        <f>COUNTIFS('Test Cases'!$B$2:$B$72,A31,'Test Cases'!$M$2:$M$72,"Fail")</f>
        <v/>
      </c>
      <c r="E31" s="20">
        <f>COUNTIFS('Test Cases'!$B$2:$B$72,A31,'Test Cases'!$M$2:$M$72,"Blocked")</f>
        <v/>
      </c>
      <c r="F31" s="20">
        <f>B31-C31-D31-E31</f>
        <v/>
      </c>
      <c r="G31" s="21">
        <f>IF(C31+D31=0,"-",C31/(C31+D31))</f>
        <v/>
      </c>
    </row>
    <row r="32">
      <c r="A32" s="12" t="inlineStr">
        <is>
          <t>Analytics</t>
        </is>
      </c>
      <c r="B32" s="20">
        <f>COUNTIF('Test Cases'!$B$2:$B$72,A32)</f>
        <v/>
      </c>
      <c r="C32" s="20">
        <f>COUNTIFS('Test Cases'!$B$2:$B$72,A32,'Test Cases'!$M$2:$M$72,"Pass")</f>
        <v/>
      </c>
      <c r="D32" s="20">
        <f>COUNTIFS('Test Cases'!$B$2:$B$72,A32,'Test Cases'!$M$2:$M$72,"Fail")</f>
        <v/>
      </c>
      <c r="E32" s="20">
        <f>COUNTIFS('Test Cases'!$B$2:$B$72,A32,'Test Cases'!$M$2:$M$72,"Blocked")</f>
        <v/>
      </c>
      <c r="F32" s="20">
        <f>B32-C32-D32-E32</f>
        <v/>
      </c>
      <c r="G32" s="21">
        <f>IF(C32+D32=0,"-",C32/(C32+D32))</f>
        <v/>
      </c>
    </row>
    <row r="33">
      <c r="A33" s="12" t="inlineStr">
        <is>
          <t>Notifications</t>
        </is>
      </c>
      <c r="B33" s="20">
        <f>COUNTIF('Test Cases'!$B$2:$B$72,A33)</f>
        <v/>
      </c>
      <c r="C33" s="20">
        <f>COUNTIFS('Test Cases'!$B$2:$B$72,A33,'Test Cases'!$M$2:$M$72,"Pass")</f>
        <v/>
      </c>
      <c r="D33" s="20">
        <f>COUNTIFS('Test Cases'!$B$2:$B$72,A33,'Test Cases'!$M$2:$M$72,"Fail")</f>
        <v/>
      </c>
      <c r="E33" s="20">
        <f>COUNTIFS('Test Cases'!$B$2:$B$72,A33,'Test Cases'!$M$2:$M$72,"Blocked")</f>
        <v/>
      </c>
      <c r="F33" s="20">
        <f>B33-C33-D33-E33</f>
        <v/>
      </c>
      <c r="G33" s="21">
        <f>IF(C33+D33=0,"-",C33/(C33+D33))</f>
        <v/>
      </c>
    </row>
    <row r="34">
      <c r="A34" s="12" t="inlineStr">
        <is>
          <t>Mobile</t>
        </is>
      </c>
      <c r="B34" s="20">
        <f>COUNTIF('Test Cases'!$B$2:$B$72,A34)</f>
        <v/>
      </c>
      <c r="C34" s="20">
        <f>COUNTIFS('Test Cases'!$B$2:$B$72,A34,'Test Cases'!$M$2:$M$72,"Pass")</f>
        <v/>
      </c>
      <c r="D34" s="20">
        <f>COUNTIFS('Test Cases'!$B$2:$B$72,A34,'Test Cases'!$M$2:$M$72,"Fail")</f>
        <v/>
      </c>
      <c r="E34" s="20">
        <f>COUNTIFS('Test Cases'!$B$2:$B$72,A34,'Test Cases'!$M$2:$M$72,"Blocked")</f>
        <v/>
      </c>
      <c r="F34" s="20">
        <f>B34-C34-D34-E34</f>
        <v/>
      </c>
      <c r="G34" s="21">
        <f>IF(C34+D34=0,"-",C34/(C34+D34))</f>
        <v/>
      </c>
    </row>
    <row r="35">
      <c r="A35" s="12" t="inlineStr">
        <is>
          <t>Performance</t>
        </is>
      </c>
      <c r="B35" s="20">
        <f>COUNTIF('Test Cases'!$B$2:$B$72,A35)</f>
        <v/>
      </c>
      <c r="C35" s="20">
        <f>COUNTIFS('Test Cases'!$B$2:$B$72,A35,'Test Cases'!$M$2:$M$72,"Pass")</f>
        <v/>
      </c>
      <c r="D35" s="20">
        <f>COUNTIFS('Test Cases'!$B$2:$B$72,A35,'Test Cases'!$M$2:$M$72,"Fail")</f>
        <v/>
      </c>
      <c r="E35" s="20">
        <f>COUNTIFS('Test Cases'!$B$2:$B$72,A35,'Test Cases'!$M$2:$M$72,"Blocked")</f>
        <v/>
      </c>
      <c r="F35" s="20">
        <f>B35-C35-D35-E35</f>
        <v/>
      </c>
      <c r="G35" s="21">
        <f>IF(C35+D35=0,"-",C35/(C35+D35))</f>
        <v/>
      </c>
    </row>
    <row r="36">
      <c r="A36" s="12" t="inlineStr">
        <is>
          <t>Compatibility</t>
        </is>
      </c>
      <c r="B36" s="20">
        <f>COUNTIF('Test Cases'!$B$2:$B$72,A36)</f>
        <v/>
      </c>
      <c r="C36" s="20">
        <f>COUNTIFS('Test Cases'!$B$2:$B$72,A36,'Test Cases'!$M$2:$M$72,"Pass")</f>
        <v/>
      </c>
      <c r="D36" s="20">
        <f>COUNTIFS('Test Cases'!$B$2:$B$72,A36,'Test Cases'!$M$2:$M$72,"Fail")</f>
        <v/>
      </c>
      <c r="E36" s="20">
        <f>COUNTIFS('Test Cases'!$B$2:$B$72,A36,'Test Cases'!$M$2:$M$72,"Blocked")</f>
        <v/>
      </c>
      <c r="F36" s="20">
        <f>B36-C36-D36-E36</f>
        <v/>
      </c>
      <c r="G36" s="21">
        <f>IF(C36+D36=0,"-",C36/(C36+D36))</f>
        <v/>
      </c>
    </row>
    <row r="37">
      <c r="A37" s="12" t="inlineStr">
        <is>
          <t>Usability</t>
        </is>
      </c>
      <c r="B37" s="20">
        <f>COUNTIF('Test Cases'!$B$2:$B$72,A37)</f>
        <v/>
      </c>
      <c r="C37" s="20">
        <f>COUNTIFS('Test Cases'!$B$2:$B$72,A37,'Test Cases'!$M$2:$M$72,"Pass")</f>
        <v/>
      </c>
      <c r="D37" s="20">
        <f>COUNTIFS('Test Cases'!$B$2:$B$72,A37,'Test Cases'!$M$2:$M$72,"Fail")</f>
        <v/>
      </c>
      <c r="E37" s="20">
        <f>COUNTIFS('Test Cases'!$B$2:$B$72,A37,'Test Cases'!$M$2:$M$72,"Blocked")</f>
        <v/>
      </c>
      <c r="F37" s="20">
        <f>B37-C37-D37-E37</f>
        <v/>
      </c>
      <c r="G37" s="21">
        <f>IF(C37+D37=0,"-",C37/(C37+D37))</f>
        <v/>
      </c>
    </row>
    <row r="38">
      <c r="A38" s="12" t="inlineStr">
        <is>
          <t>Security</t>
        </is>
      </c>
      <c r="B38" s="20">
        <f>COUNTIF('Test Cases'!$B$2:$B$72,A38)</f>
        <v/>
      </c>
      <c r="C38" s="20">
        <f>COUNTIFS('Test Cases'!$B$2:$B$72,A38,'Test Cases'!$M$2:$M$72,"Pass")</f>
        <v/>
      </c>
      <c r="D38" s="20">
        <f>COUNTIFS('Test Cases'!$B$2:$B$72,A38,'Test Cases'!$M$2:$M$72,"Fail")</f>
        <v/>
      </c>
      <c r="E38" s="20">
        <f>COUNTIFS('Test Cases'!$B$2:$B$72,A38,'Test Cases'!$M$2:$M$72,"Blocked")</f>
        <v/>
      </c>
      <c r="F38" s="20">
        <f>B38-C38-D38-E38</f>
        <v/>
      </c>
      <c r="G38" s="21">
        <f>IF(C38+D38=0,"-",C38/(C38+D38))</f>
        <v/>
      </c>
    </row>
    <row r="41">
      <c r="A41" s="19" t="inlineStr">
        <is>
          <t>Results by ISO 25010 characteristic</t>
        </is>
      </c>
    </row>
    <row r="42">
      <c r="A42" s="11" t="inlineStr">
        <is>
          <t>Iso 25010 characteristic</t>
        </is>
      </c>
      <c r="B42" s="11" t="inlineStr">
        <is>
          <t>Total</t>
        </is>
      </c>
      <c r="C42" s="11" t="inlineStr">
        <is>
          <t>Pass</t>
        </is>
      </c>
      <c r="D42" s="11" t="inlineStr">
        <is>
          <t>Fail</t>
        </is>
      </c>
      <c r="E42" s="11" t="inlineStr">
        <is>
          <t>Blocked</t>
        </is>
      </c>
      <c r="F42" s="11" t="inlineStr">
        <is>
          <t>Not Run</t>
        </is>
      </c>
      <c r="G42" s="11" t="inlineStr">
        <is>
          <t>Pass rate</t>
        </is>
      </c>
    </row>
    <row r="43">
      <c r="A43" s="12" t="inlineStr">
        <is>
          <t>Security</t>
        </is>
      </c>
      <c r="B43" s="20">
        <f>COUNTIF('Test Cases'!$E$2:$E$72,A43)</f>
        <v/>
      </c>
      <c r="C43" s="20">
        <f>COUNTIFS('Test Cases'!$E$2:$E$72,A43,'Test Cases'!$M$2:$M$72,"Pass")</f>
        <v/>
      </c>
      <c r="D43" s="20">
        <f>COUNTIFS('Test Cases'!$E$2:$E$72,A43,'Test Cases'!$M$2:$M$72,"Fail")</f>
        <v/>
      </c>
      <c r="E43" s="20">
        <f>COUNTIFS('Test Cases'!$E$2:$E$72,A43,'Test Cases'!$M$2:$M$72,"Blocked")</f>
        <v/>
      </c>
      <c r="F43" s="20">
        <f>B43-C43-D43-E43</f>
        <v/>
      </c>
      <c r="G43" s="21">
        <f>IF(C43+D43=0,"-",C43/(C43+D43))</f>
        <v/>
      </c>
    </row>
    <row r="44">
      <c r="A44" s="12" t="inlineStr">
        <is>
          <t>Usability</t>
        </is>
      </c>
      <c r="B44" s="20">
        <f>COUNTIF('Test Cases'!$E$2:$E$72,A44)</f>
        <v/>
      </c>
      <c r="C44" s="20">
        <f>COUNTIFS('Test Cases'!$E$2:$E$72,A44,'Test Cases'!$M$2:$M$72,"Pass")</f>
        <v/>
      </c>
      <c r="D44" s="20">
        <f>COUNTIFS('Test Cases'!$E$2:$E$72,A44,'Test Cases'!$M$2:$M$72,"Fail")</f>
        <v/>
      </c>
      <c r="E44" s="20">
        <f>COUNTIFS('Test Cases'!$E$2:$E$72,A44,'Test Cases'!$M$2:$M$72,"Blocked")</f>
        <v/>
      </c>
      <c r="F44" s="20">
        <f>B44-C44-D44-E44</f>
        <v/>
      </c>
      <c r="G44" s="21">
        <f>IF(C44+D44=0,"-",C44/(C44+D44))</f>
        <v/>
      </c>
    </row>
    <row r="45">
      <c r="A45" s="12" t="inlineStr">
        <is>
          <t>Functional suitability</t>
        </is>
      </c>
      <c r="B45" s="20">
        <f>COUNTIF('Test Cases'!$E$2:$E$72,A45)</f>
        <v/>
      </c>
      <c r="C45" s="20">
        <f>COUNTIFS('Test Cases'!$E$2:$E$72,A45,'Test Cases'!$M$2:$M$72,"Pass")</f>
        <v/>
      </c>
      <c r="D45" s="20">
        <f>COUNTIFS('Test Cases'!$E$2:$E$72,A45,'Test Cases'!$M$2:$M$72,"Fail")</f>
        <v/>
      </c>
      <c r="E45" s="20">
        <f>COUNTIFS('Test Cases'!$E$2:$E$72,A45,'Test Cases'!$M$2:$M$72,"Blocked")</f>
        <v/>
      </c>
      <c r="F45" s="20">
        <f>B45-C45-D45-E45</f>
        <v/>
      </c>
      <c r="G45" s="21">
        <f>IF(C45+D45=0,"-",C45/(C45+D45))</f>
        <v/>
      </c>
    </row>
    <row r="46">
      <c r="A46" s="12" t="inlineStr">
        <is>
          <t>Compatibility</t>
        </is>
      </c>
      <c r="B46" s="20">
        <f>COUNTIF('Test Cases'!$E$2:$E$72,A46)</f>
        <v/>
      </c>
      <c r="C46" s="20">
        <f>COUNTIFS('Test Cases'!$E$2:$E$72,A46,'Test Cases'!$M$2:$M$72,"Pass")</f>
        <v/>
      </c>
      <c r="D46" s="20">
        <f>COUNTIFS('Test Cases'!$E$2:$E$72,A46,'Test Cases'!$M$2:$M$72,"Fail")</f>
        <v/>
      </c>
      <c r="E46" s="20">
        <f>COUNTIFS('Test Cases'!$E$2:$E$72,A46,'Test Cases'!$M$2:$M$72,"Blocked")</f>
        <v/>
      </c>
      <c r="F46" s="20">
        <f>B46-C46-D46-E46</f>
        <v/>
      </c>
      <c r="G46" s="21">
        <f>IF(C46+D46=0,"-",C46/(C46+D46))</f>
        <v/>
      </c>
    </row>
    <row r="47">
      <c r="A47" s="12" t="inlineStr">
        <is>
          <t>Reliability</t>
        </is>
      </c>
      <c r="B47" s="20">
        <f>COUNTIF('Test Cases'!$E$2:$E$72,A47)</f>
        <v/>
      </c>
      <c r="C47" s="20">
        <f>COUNTIFS('Test Cases'!$E$2:$E$72,A47,'Test Cases'!$M$2:$M$72,"Pass")</f>
        <v/>
      </c>
      <c r="D47" s="20">
        <f>COUNTIFS('Test Cases'!$E$2:$E$72,A47,'Test Cases'!$M$2:$M$72,"Fail")</f>
        <v/>
      </c>
      <c r="E47" s="20">
        <f>COUNTIFS('Test Cases'!$E$2:$E$72,A47,'Test Cases'!$M$2:$M$72,"Blocked")</f>
        <v/>
      </c>
      <c r="F47" s="20">
        <f>B47-C47-D47-E47</f>
        <v/>
      </c>
      <c r="G47" s="21">
        <f>IF(C47+D47=0,"-",C47/(C47+D47))</f>
        <v/>
      </c>
    </row>
    <row r="48">
      <c r="A48" s="12" t="inlineStr">
        <is>
          <t>Performance efficiency</t>
        </is>
      </c>
      <c r="B48" s="20">
        <f>COUNTIF('Test Cases'!$E$2:$E$72,A48)</f>
        <v/>
      </c>
      <c r="C48" s="20">
        <f>COUNTIFS('Test Cases'!$E$2:$E$72,A48,'Test Cases'!$M$2:$M$72,"Pass")</f>
        <v/>
      </c>
      <c r="D48" s="20">
        <f>COUNTIFS('Test Cases'!$E$2:$E$72,A48,'Test Cases'!$M$2:$M$72,"Fail")</f>
        <v/>
      </c>
      <c r="E48" s="20">
        <f>COUNTIFS('Test Cases'!$E$2:$E$72,A48,'Test Cases'!$M$2:$M$72,"Blocked")</f>
        <v/>
      </c>
      <c r="F48" s="20">
        <f>B48-C48-D48-E48</f>
        <v/>
      </c>
      <c r="G48" s="21">
        <f>IF(C48+D48=0,"-",C48/(C48+D48))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10" customWidth="1" style="25" min="1" max="1"/>
    <col width="9" customWidth="1" style="25" min="2" max="2"/>
    <col width="11" customWidth="1" style="25" min="3" max="3"/>
    <col width="30" customWidth="1" style="25" min="4" max="4"/>
    <col width="40" customWidth="1" style="25" min="5" max="5"/>
    <col width="28" customWidth="1" style="25" min="6" max="7"/>
    <col width="14" customWidth="1" style="25" min="8" max="8"/>
    <col width="12" customWidth="1" style="25" min="9" max="10"/>
    <col width="16" customWidth="1" style="25" min="11" max="11"/>
    <col width="12" customWidth="1" style="25" min="12" max="12"/>
    <col width="24" customWidth="1" style="25" min="13" max="13"/>
  </cols>
  <sheetData>
    <row r="1" ht="30" customHeight="1" s="25">
      <c r="A1" s="11" t="inlineStr">
        <is>
          <t>Defect ID</t>
        </is>
      </c>
      <c r="B1" s="11" t="inlineStr">
        <is>
          <t>TC ID</t>
        </is>
      </c>
      <c r="C1" s="11" t="inlineStr">
        <is>
          <t>Severity</t>
        </is>
      </c>
      <c r="D1" s="11" t="inlineStr">
        <is>
          <t>Summary</t>
        </is>
      </c>
      <c r="E1" s="11" t="inlineStr">
        <is>
          <t>Steps to Reproduce</t>
        </is>
      </c>
      <c r="F1" s="11" t="inlineStr">
        <is>
          <t>Expected</t>
        </is>
      </c>
      <c r="G1" s="11" t="inlineStr">
        <is>
          <t>Actual</t>
        </is>
      </c>
      <c r="H1" s="11" t="inlineStr">
        <is>
          <t>Found By</t>
        </is>
      </c>
      <c r="I1" s="11" t="inlineStr">
        <is>
          <t>Date Found</t>
        </is>
      </c>
      <c r="J1" s="11" t="inlineStr">
        <is>
          <t>Status</t>
        </is>
      </c>
      <c r="K1" s="11" t="inlineStr">
        <is>
          <t>Fixed In (commit)</t>
        </is>
      </c>
      <c r="L1" s="11" t="inlineStr">
        <is>
          <t>Retest Result</t>
        </is>
      </c>
      <c r="M1" s="11" t="inlineStr">
        <is>
          <t>Remarks</t>
        </is>
      </c>
    </row>
    <row r="2">
      <c r="A2" s="14" t="inlineStr">
        <is>
          <t>DEF-001</t>
        </is>
      </c>
      <c r="B2" s="16" t="n"/>
      <c r="C2" s="16" t="n"/>
      <c r="D2" s="16" t="n"/>
      <c r="E2" s="16" t="n"/>
      <c r="F2" s="16" t="n"/>
      <c r="G2" s="16" t="n"/>
      <c r="H2" s="16" t="n"/>
      <c r="I2" s="22" t="n"/>
      <c r="J2" s="16" t="n"/>
      <c r="K2" s="16" t="n"/>
      <c r="L2" s="16" t="n"/>
      <c r="M2" s="16" t="n"/>
    </row>
    <row r="3">
      <c r="A3" s="14" t="inlineStr">
        <is>
          <t>DEF-002</t>
        </is>
      </c>
      <c r="B3" s="16" t="n"/>
      <c r="C3" s="16" t="n"/>
      <c r="D3" s="16" t="n"/>
      <c r="E3" s="16" t="n"/>
      <c r="F3" s="16" t="n"/>
      <c r="G3" s="16" t="n"/>
      <c r="H3" s="16" t="n"/>
      <c r="I3" s="22" t="n"/>
      <c r="J3" s="16" t="n"/>
      <c r="K3" s="16" t="n"/>
      <c r="L3" s="16" t="n"/>
      <c r="M3" s="16" t="n"/>
    </row>
    <row r="4">
      <c r="A4" s="14" t="inlineStr">
        <is>
          <t>DEF-003</t>
        </is>
      </c>
      <c r="B4" s="16" t="n"/>
      <c r="C4" s="16" t="n"/>
      <c r="D4" s="16" t="n"/>
      <c r="E4" s="16" t="n"/>
      <c r="F4" s="16" t="n"/>
      <c r="G4" s="16" t="n"/>
      <c r="H4" s="16" t="n"/>
      <c r="I4" s="22" t="n"/>
      <c r="J4" s="16" t="n"/>
      <c r="K4" s="16" t="n"/>
      <c r="L4" s="16" t="n"/>
      <c r="M4" s="16" t="n"/>
    </row>
    <row r="5">
      <c r="A5" s="14" t="inlineStr">
        <is>
          <t>DEF-004</t>
        </is>
      </c>
      <c r="B5" s="16" t="n"/>
      <c r="C5" s="16" t="n"/>
      <c r="D5" s="16" t="n"/>
      <c r="E5" s="16" t="n"/>
      <c r="F5" s="16" t="n"/>
      <c r="G5" s="16" t="n"/>
      <c r="H5" s="16" t="n"/>
      <c r="I5" s="22" t="n"/>
      <c r="J5" s="16" t="n"/>
      <c r="K5" s="16" t="n"/>
      <c r="L5" s="16" t="n"/>
      <c r="M5" s="16" t="n"/>
    </row>
    <row r="6">
      <c r="A6" s="14" t="inlineStr">
        <is>
          <t>DEF-005</t>
        </is>
      </c>
      <c r="B6" s="16" t="n"/>
      <c r="C6" s="16" t="n"/>
      <c r="D6" s="16" t="n"/>
      <c r="E6" s="16" t="n"/>
      <c r="F6" s="16" t="n"/>
      <c r="G6" s="16" t="n"/>
      <c r="H6" s="16" t="n"/>
      <c r="I6" s="22" t="n"/>
      <c r="J6" s="16" t="n"/>
      <c r="K6" s="16" t="n"/>
      <c r="L6" s="16" t="n"/>
      <c r="M6" s="16" t="n"/>
    </row>
    <row r="7">
      <c r="A7" s="14" t="inlineStr">
        <is>
          <t>DEF-006</t>
        </is>
      </c>
      <c r="B7" s="16" t="n"/>
      <c r="C7" s="16" t="n"/>
      <c r="D7" s="16" t="n"/>
      <c r="E7" s="16" t="n"/>
      <c r="F7" s="16" t="n"/>
      <c r="G7" s="16" t="n"/>
      <c r="H7" s="16" t="n"/>
      <c r="I7" s="22" t="n"/>
      <c r="J7" s="16" t="n"/>
      <c r="K7" s="16" t="n"/>
      <c r="L7" s="16" t="n"/>
      <c r="M7" s="16" t="n"/>
    </row>
    <row r="8">
      <c r="A8" s="14" t="inlineStr">
        <is>
          <t>DEF-007</t>
        </is>
      </c>
      <c r="B8" s="16" t="n"/>
      <c r="C8" s="16" t="n"/>
      <c r="D8" s="16" t="n"/>
      <c r="E8" s="16" t="n"/>
      <c r="F8" s="16" t="n"/>
      <c r="G8" s="16" t="n"/>
      <c r="H8" s="16" t="n"/>
      <c r="I8" s="22" t="n"/>
      <c r="J8" s="16" t="n"/>
      <c r="K8" s="16" t="n"/>
      <c r="L8" s="16" t="n"/>
      <c r="M8" s="16" t="n"/>
    </row>
    <row r="9">
      <c r="A9" s="14" t="inlineStr">
        <is>
          <t>DEF-008</t>
        </is>
      </c>
      <c r="B9" s="16" t="n"/>
      <c r="C9" s="16" t="n"/>
      <c r="D9" s="16" t="n"/>
      <c r="E9" s="16" t="n"/>
      <c r="F9" s="16" t="n"/>
      <c r="G9" s="16" t="n"/>
      <c r="H9" s="16" t="n"/>
      <c r="I9" s="22" t="n"/>
      <c r="J9" s="16" t="n"/>
      <c r="K9" s="16" t="n"/>
      <c r="L9" s="16" t="n"/>
      <c r="M9" s="16" t="n"/>
    </row>
    <row r="10">
      <c r="A10" s="14" t="inlineStr">
        <is>
          <t>DEF-009</t>
        </is>
      </c>
      <c r="B10" s="16" t="n"/>
      <c r="C10" s="16" t="n"/>
      <c r="D10" s="16" t="n"/>
      <c r="E10" s="16" t="n"/>
      <c r="F10" s="16" t="n"/>
      <c r="G10" s="16" t="n"/>
      <c r="H10" s="16" t="n"/>
      <c r="I10" s="22" t="n"/>
      <c r="J10" s="16" t="n"/>
      <c r="K10" s="16" t="n"/>
      <c r="L10" s="16" t="n"/>
      <c r="M10" s="16" t="n"/>
    </row>
    <row r="11">
      <c r="A11" s="14" t="inlineStr">
        <is>
          <t>DEF-010</t>
        </is>
      </c>
      <c r="B11" s="16" t="n"/>
      <c r="C11" s="16" t="n"/>
      <c r="D11" s="16" t="n"/>
      <c r="E11" s="16" t="n"/>
      <c r="F11" s="16" t="n"/>
      <c r="G11" s="16" t="n"/>
      <c r="H11" s="16" t="n"/>
      <c r="I11" s="22" t="n"/>
      <c r="J11" s="16" t="n"/>
      <c r="K11" s="16" t="n"/>
      <c r="L11" s="16" t="n"/>
      <c r="M11" s="16" t="n"/>
    </row>
    <row r="12">
      <c r="A12" s="14" t="inlineStr">
        <is>
          <t>DEF-011</t>
        </is>
      </c>
      <c r="B12" s="16" t="n"/>
      <c r="C12" s="16" t="n"/>
      <c r="D12" s="16" t="n"/>
      <c r="E12" s="16" t="n"/>
      <c r="F12" s="16" t="n"/>
      <c r="G12" s="16" t="n"/>
      <c r="H12" s="16" t="n"/>
      <c r="I12" s="22" t="n"/>
      <c r="J12" s="16" t="n"/>
      <c r="K12" s="16" t="n"/>
      <c r="L12" s="16" t="n"/>
      <c r="M12" s="16" t="n"/>
    </row>
    <row r="13">
      <c r="A13" s="14" t="inlineStr">
        <is>
          <t>DEF-012</t>
        </is>
      </c>
      <c r="B13" s="16" t="n"/>
      <c r="C13" s="16" t="n"/>
      <c r="D13" s="16" t="n"/>
      <c r="E13" s="16" t="n"/>
      <c r="F13" s="16" t="n"/>
      <c r="G13" s="16" t="n"/>
      <c r="H13" s="16" t="n"/>
      <c r="I13" s="22" t="n"/>
      <c r="J13" s="16" t="n"/>
      <c r="K13" s="16" t="n"/>
      <c r="L13" s="16" t="n"/>
      <c r="M13" s="16" t="n"/>
    </row>
    <row r="14">
      <c r="A14" s="14" t="inlineStr">
        <is>
          <t>DEF-013</t>
        </is>
      </c>
      <c r="B14" s="16" t="n"/>
      <c r="C14" s="16" t="n"/>
      <c r="D14" s="16" t="n"/>
      <c r="E14" s="16" t="n"/>
      <c r="F14" s="16" t="n"/>
      <c r="G14" s="16" t="n"/>
      <c r="H14" s="16" t="n"/>
      <c r="I14" s="22" t="n"/>
      <c r="J14" s="16" t="n"/>
      <c r="K14" s="16" t="n"/>
      <c r="L14" s="16" t="n"/>
      <c r="M14" s="16" t="n"/>
    </row>
    <row r="15">
      <c r="A15" s="14" t="inlineStr">
        <is>
          <t>DEF-014</t>
        </is>
      </c>
      <c r="B15" s="16" t="n"/>
      <c r="C15" s="16" t="n"/>
      <c r="D15" s="16" t="n"/>
      <c r="E15" s="16" t="n"/>
      <c r="F15" s="16" t="n"/>
      <c r="G15" s="16" t="n"/>
      <c r="H15" s="16" t="n"/>
      <c r="I15" s="22" t="n"/>
      <c r="J15" s="16" t="n"/>
      <c r="K15" s="16" t="n"/>
      <c r="L15" s="16" t="n"/>
      <c r="M15" s="16" t="n"/>
    </row>
    <row r="16">
      <c r="A16" s="14" t="inlineStr">
        <is>
          <t>DEF-015</t>
        </is>
      </c>
      <c r="B16" s="16" t="n"/>
      <c r="C16" s="16" t="n"/>
      <c r="D16" s="16" t="n"/>
      <c r="E16" s="16" t="n"/>
      <c r="F16" s="16" t="n"/>
      <c r="G16" s="16" t="n"/>
      <c r="H16" s="16" t="n"/>
      <c r="I16" s="22" t="n"/>
      <c r="J16" s="16" t="n"/>
      <c r="K16" s="16" t="n"/>
      <c r="L16" s="16" t="n"/>
      <c r="M16" s="16" t="n"/>
    </row>
    <row r="17">
      <c r="A17" s="14" t="inlineStr">
        <is>
          <t>DEF-016</t>
        </is>
      </c>
      <c r="B17" s="16" t="n"/>
      <c r="C17" s="16" t="n"/>
      <c r="D17" s="16" t="n"/>
      <c r="E17" s="16" t="n"/>
      <c r="F17" s="16" t="n"/>
      <c r="G17" s="16" t="n"/>
      <c r="H17" s="16" t="n"/>
      <c r="I17" s="22" t="n"/>
      <c r="J17" s="16" t="n"/>
      <c r="K17" s="16" t="n"/>
      <c r="L17" s="16" t="n"/>
      <c r="M17" s="16" t="n"/>
    </row>
    <row r="18">
      <c r="A18" s="14" t="inlineStr">
        <is>
          <t>DEF-017</t>
        </is>
      </c>
      <c r="B18" s="16" t="n"/>
      <c r="C18" s="16" t="n"/>
      <c r="D18" s="16" t="n"/>
      <c r="E18" s="16" t="n"/>
      <c r="F18" s="16" t="n"/>
      <c r="G18" s="16" t="n"/>
      <c r="H18" s="16" t="n"/>
      <c r="I18" s="22" t="n"/>
      <c r="J18" s="16" t="n"/>
      <c r="K18" s="16" t="n"/>
      <c r="L18" s="16" t="n"/>
      <c r="M18" s="16" t="n"/>
    </row>
    <row r="19">
      <c r="A19" s="14" t="inlineStr">
        <is>
          <t>DEF-018</t>
        </is>
      </c>
      <c r="B19" s="16" t="n"/>
      <c r="C19" s="16" t="n"/>
      <c r="D19" s="16" t="n"/>
      <c r="E19" s="16" t="n"/>
      <c r="F19" s="16" t="n"/>
      <c r="G19" s="16" t="n"/>
      <c r="H19" s="16" t="n"/>
      <c r="I19" s="22" t="n"/>
      <c r="J19" s="16" t="n"/>
      <c r="K19" s="16" t="n"/>
      <c r="L19" s="16" t="n"/>
      <c r="M19" s="16" t="n"/>
    </row>
    <row r="20">
      <c r="A20" s="14" t="inlineStr">
        <is>
          <t>DEF-019</t>
        </is>
      </c>
      <c r="B20" s="16" t="n"/>
      <c r="C20" s="16" t="n"/>
      <c r="D20" s="16" t="n"/>
      <c r="E20" s="16" t="n"/>
      <c r="F20" s="16" t="n"/>
      <c r="G20" s="16" t="n"/>
      <c r="H20" s="16" t="n"/>
      <c r="I20" s="22" t="n"/>
      <c r="J20" s="16" t="n"/>
      <c r="K20" s="16" t="n"/>
      <c r="L20" s="16" t="n"/>
      <c r="M20" s="16" t="n"/>
    </row>
    <row r="21">
      <c r="A21" s="14" t="inlineStr">
        <is>
          <t>DEF-020</t>
        </is>
      </c>
      <c r="B21" s="16" t="n"/>
      <c r="C21" s="16" t="n"/>
      <c r="D21" s="16" t="n"/>
      <c r="E21" s="16" t="n"/>
      <c r="F21" s="16" t="n"/>
      <c r="G21" s="16" t="n"/>
      <c r="H21" s="16" t="n"/>
      <c r="I21" s="22" t="n"/>
      <c r="J21" s="16" t="n"/>
      <c r="K21" s="16" t="n"/>
      <c r="L21" s="16" t="n"/>
      <c r="M21" s="16" t="n"/>
    </row>
    <row r="22">
      <c r="A22" s="14" t="inlineStr">
        <is>
          <t>DEF-021</t>
        </is>
      </c>
      <c r="B22" s="16" t="n"/>
      <c r="C22" s="16" t="n"/>
      <c r="D22" s="16" t="n"/>
      <c r="E22" s="16" t="n"/>
      <c r="F22" s="16" t="n"/>
      <c r="G22" s="16" t="n"/>
      <c r="H22" s="16" t="n"/>
      <c r="I22" s="22" t="n"/>
      <c r="J22" s="16" t="n"/>
      <c r="K22" s="16" t="n"/>
      <c r="L22" s="16" t="n"/>
      <c r="M22" s="16" t="n"/>
    </row>
    <row r="23">
      <c r="A23" s="14" t="inlineStr">
        <is>
          <t>DEF-022</t>
        </is>
      </c>
      <c r="B23" s="16" t="n"/>
      <c r="C23" s="16" t="n"/>
      <c r="D23" s="16" t="n"/>
      <c r="E23" s="16" t="n"/>
      <c r="F23" s="16" t="n"/>
      <c r="G23" s="16" t="n"/>
      <c r="H23" s="16" t="n"/>
      <c r="I23" s="22" t="n"/>
      <c r="J23" s="16" t="n"/>
      <c r="K23" s="16" t="n"/>
      <c r="L23" s="16" t="n"/>
      <c r="M23" s="16" t="n"/>
    </row>
    <row r="24">
      <c r="A24" s="14" t="inlineStr">
        <is>
          <t>DEF-023</t>
        </is>
      </c>
      <c r="B24" s="16" t="n"/>
      <c r="C24" s="16" t="n"/>
      <c r="D24" s="16" t="n"/>
      <c r="E24" s="16" t="n"/>
      <c r="F24" s="16" t="n"/>
      <c r="G24" s="16" t="n"/>
      <c r="H24" s="16" t="n"/>
      <c r="I24" s="22" t="n"/>
      <c r="J24" s="16" t="n"/>
      <c r="K24" s="16" t="n"/>
      <c r="L24" s="16" t="n"/>
      <c r="M24" s="16" t="n"/>
    </row>
    <row r="25">
      <c r="A25" s="14" t="inlineStr">
        <is>
          <t>DEF-024</t>
        </is>
      </c>
      <c r="B25" s="16" t="n"/>
      <c r="C25" s="16" t="n"/>
      <c r="D25" s="16" t="n"/>
      <c r="E25" s="16" t="n"/>
      <c r="F25" s="16" t="n"/>
      <c r="G25" s="16" t="n"/>
      <c r="H25" s="16" t="n"/>
      <c r="I25" s="22" t="n"/>
      <c r="J25" s="16" t="n"/>
      <c r="K25" s="16" t="n"/>
      <c r="L25" s="16" t="n"/>
      <c r="M25" s="16" t="n"/>
    </row>
    <row r="26">
      <c r="A26" s="14" t="inlineStr">
        <is>
          <t>DEF-025</t>
        </is>
      </c>
      <c r="B26" s="16" t="n"/>
      <c r="C26" s="16" t="n"/>
      <c r="D26" s="16" t="n"/>
      <c r="E26" s="16" t="n"/>
      <c r="F26" s="16" t="n"/>
      <c r="G26" s="16" t="n"/>
      <c r="H26" s="16" t="n"/>
      <c r="I26" s="22" t="n"/>
      <c r="J26" s="16" t="n"/>
      <c r="K26" s="16" t="n"/>
      <c r="L26" s="16" t="n"/>
      <c r="M26" s="16" t="n"/>
    </row>
    <row r="27">
      <c r="A27" s="14" t="inlineStr">
        <is>
          <t>DEF-026</t>
        </is>
      </c>
      <c r="B27" s="16" t="n"/>
      <c r="C27" s="16" t="n"/>
      <c r="D27" s="16" t="n"/>
      <c r="E27" s="16" t="n"/>
      <c r="F27" s="16" t="n"/>
      <c r="G27" s="16" t="n"/>
      <c r="H27" s="16" t="n"/>
      <c r="I27" s="22" t="n"/>
      <c r="J27" s="16" t="n"/>
      <c r="K27" s="16" t="n"/>
      <c r="L27" s="16" t="n"/>
      <c r="M27" s="16" t="n"/>
    </row>
    <row r="28">
      <c r="A28" s="14" t="inlineStr">
        <is>
          <t>DEF-027</t>
        </is>
      </c>
      <c r="B28" s="16" t="n"/>
      <c r="C28" s="16" t="n"/>
      <c r="D28" s="16" t="n"/>
      <c r="E28" s="16" t="n"/>
      <c r="F28" s="16" t="n"/>
      <c r="G28" s="16" t="n"/>
      <c r="H28" s="16" t="n"/>
      <c r="I28" s="22" t="n"/>
      <c r="J28" s="16" t="n"/>
      <c r="K28" s="16" t="n"/>
      <c r="L28" s="16" t="n"/>
      <c r="M28" s="16" t="n"/>
    </row>
    <row r="29">
      <c r="A29" s="14" t="inlineStr">
        <is>
          <t>DEF-028</t>
        </is>
      </c>
      <c r="B29" s="16" t="n"/>
      <c r="C29" s="16" t="n"/>
      <c r="D29" s="16" t="n"/>
      <c r="E29" s="16" t="n"/>
      <c r="F29" s="16" t="n"/>
      <c r="G29" s="16" t="n"/>
      <c r="H29" s="16" t="n"/>
      <c r="I29" s="22" t="n"/>
      <c r="J29" s="16" t="n"/>
      <c r="K29" s="16" t="n"/>
      <c r="L29" s="16" t="n"/>
      <c r="M29" s="16" t="n"/>
    </row>
    <row r="30">
      <c r="A30" s="14" t="inlineStr">
        <is>
          <t>DEF-029</t>
        </is>
      </c>
      <c r="B30" s="16" t="n"/>
      <c r="C30" s="16" t="n"/>
      <c r="D30" s="16" t="n"/>
      <c r="E30" s="16" t="n"/>
      <c r="F30" s="16" t="n"/>
      <c r="G30" s="16" t="n"/>
      <c r="H30" s="16" t="n"/>
      <c r="I30" s="22" t="n"/>
      <c r="J30" s="16" t="n"/>
      <c r="K30" s="16" t="n"/>
      <c r="L30" s="16" t="n"/>
      <c r="M30" s="16" t="n"/>
    </row>
    <row r="31">
      <c r="A31" s="14" t="inlineStr">
        <is>
          <t>DEF-030</t>
        </is>
      </c>
      <c r="B31" s="16" t="n"/>
      <c r="C31" s="16" t="n"/>
      <c r="D31" s="16" t="n"/>
      <c r="E31" s="16" t="n"/>
      <c r="F31" s="16" t="n"/>
      <c r="G31" s="16" t="n"/>
      <c r="H31" s="16" t="n"/>
      <c r="I31" s="22" t="n"/>
      <c r="J31" s="16" t="n"/>
      <c r="K31" s="16" t="n"/>
      <c r="L31" s="16" t="n"/>
      <c r="M31" s="16" t="n"/>
    </row>
    <row r="32">
      <c r="A32" s="14" t="inlineStr">
        <is>
          <t>DEF-031</t>
        </is>
      </c>
      <c r="B32" s="16" t="n"/>
      <c r="C32" s="16" t="n"/>
      <c r="D32" s="16" t="n"/>
      <c r="E32" s="16" t="n"/>
      <c r="F32" s="16" t="n"/>
      <c r="G32" s="16" t="n"/>
      <c r="H32" s="16" t="n"/>
      <c r="I32" s="22" t="n"/>
      <c r="J32" s="16" t="n"/>
      <c r="K32" s="16" t="n"/>
      <c r="L32" s="16" t="n"/>
      <c r="M32" s="16" t="n"/>
    </row>
    <row r="33">
      <c r="A33" s="14" t="inlineStr">
        <is>
          <t>DEF-032</t>
        </is>
      </c>
      <c r="B33" s="16" t="n"/>
      <c r="C33" s="16" t="n"/>
      <c r="D33" s="16" t="n"/>
      <c r="E33" s="16" t="n"/>
      <c r="F33" s="16" t="n"/>
      <c r="G33" s="16" t="n"/>
      <c r="H33" s="16" t="n"/>
      <c r="I33" s="22" t="n"/>
      <c r="J33" s="16" t="n"/>
      <c r="K33" s="16" t="n"/>
      <c r="L33" s="16" t="n"/>
      <c r="M33" s="16" t="n"/>
    </row>
    <row r="34">
      <c r="A34" s="14" t="inlineStr">
        <is>
          <t>DEF-033</t>
        </is>
      </c>
      <c r="B34" s="16" t="n"/>
      <c r="C34" s="16" t="n"/>
      <c r="D34" s="16" t="n"/>
      <c r="E34" s="16" t="n"/>
      <c r="F34" s="16" t="n"/>
      <c r="G34" s="16" t="n"/>
      <c r="H34" s="16" t="n"/>
      <c r="I34" s="22" t="n"/>
      <c r="J34" s="16" t="n"/>
      <c r="K34" s="16" t="n"/>
      <c r="L34" s="16" t="n"/>
      <c r="M34" s="16" t="n"/>
    </row>
    <row r="35">
      <c r="A35" s="14" t="inlineStr">
        <is>
          <t>DEF-034</t>
        </is>
      </c>
      <c r="B35" s="16" t="n"/>
      <c r="C35" s="16" t="n"/>
      <c r="D35" s="16" t="n"/>
      <c r="E35" s="16" t="n"/>
      <c r="F35" s="16" t="n"/>
      <c r="G35" s="16" t="n"/>
      <c r="H35" s="16" t="n"/>
      <c r="I35" s="22" t="n"/>
      <c r="J35" s="16" t="n"/>
      <c r="K35" s="16" t="n"/>
      <c r="L35" s="16" t="n"/>
      <c r="M35" s="16" t="n"/>
    </row>
    <row r="36">
      <c r="A36" s="14" t="inlineStr">
        <is>
          <t>DEF-035</t>
        </is>
      </c>
      <c r="B36" s="16" t="n"/>
      <c r="C36" s="16" t="n"/>
      <c r="D36" s="16" t="n"/>
      <c r="E36" s="16" t="n"/>
      <c r="F36" s="16" t="n"/>
      <c r="G36" s="16" t="n"/>
      <c r="H36" s="16" t="n"/>
      <c r="I36" s="22" t="n"/>
      <c r="J36" s="16" t="n"/>
      <c r="K36" s="16" t="n"/>
      <c r="L36" s="16" t="n"/>
      <c r="M36" s="16" t="n"/>
    </row>
    <row r="37">
      <c r="A37" s="14" t="inlineStr">
        <is>
          <t>DEF-036</t>
        </is>
      </c>
      <c r="B37" s="16" t="n"/>
      <c r="C37" s="16" t="n"/>
      <c r="D37" s="16" t="n"/>
      <c r="E37" s="16" t="n"/>
      <c r="F37" s="16" t="n"/>
      <c r="G37" s="16" t="n"/>
      <c r="H37" s="16" t="n"/>
      <c r="I37" s="22" t="n"/>
      <c r="J37" s="16" t="n"/>
      <c r="K37" s="16" t="n"/>
      <c r="L37" s="16" t="n"/>
      <c r="M37" s="16" t="n"/>
    </row>
    <row r="38">
      <c r="A38" s="14" t="inlineStr">
        <is>
          <t>DEF-037</t>
        </is>
      </c>
      <c r="B38" s="16" t="n"/>
      <c r="C38" s="16" t="n"/>
      <c r="D38" s="16" t="n"/>
      <c r="E38" s="16" t="n"/>
      <c r="F38" s="16" t="n"/>
      <c r="G38" s="16" t="n"/>
      <c r="H38" s="16" t="n"/>
      <c r="I38" s="22" t="n"/>
      <c r="J38" s="16" t="n"/>
      <c r="K38" s="16" t="n"/>
      <c r="L38" s="16" t="n"/>
      <c r="M38" s="16" t="n"/>
    </row>
    <row r="39">
      <c r="A39" s="14" t="inlineStr">
        <is>
          <t>DEF-038</t>
        </is>
      </c>
      <c r="B39" s="16" t="n"/>
      <c r="C39" s="16" t="n"/>
      <c r="D39" s="16" t="n"/>
      <c r="E39" s="16" t="n"/>
      <c r="F39" s="16" t="n"/>
      <c r="G39" s="16" t="n"/>
      <c r="H39" s="16" t="n"/>
      <c r="I39" s="22" t="n"/>
      <c r="J39" s="16" t="n"/>
      <c r="K39" s="16" t="n"/>
      <c r="L39" s="16" t="n"/>
      <c r="M39" s="16" t="n"/>
    </row>
    <row r="40">
      <c r="A40" s="14" t="inlineStr">
        <is>
          <t>DEF-039</t>
        </is>
      </c>
      <c r="B40" s="16" t="n"/>
      <c r="C40" s="16" t="n"/>
      <c r="D40" s="16" t="n"/>
      <c r="E40" s="16" t="n"/>
      <c r="F40" s="16" t="n"/>
      <c r="G40" s="16" t="n"/>
      <c r="H40" s="16" t="n"/>
      <c r="I40" s="22" t="n"/>
      <c r="J40" s="16" t="n"/>
      <c r="K40" s="16" t="n"/>
      <c r="L40" s="16" t="n"/>
      <c r="M40" s="16" t="n"/>
    </row>
    <row r="41">
      <c r="A41" s="14" t="inlineStr">
        <is>
          <t>DEF-040</t>
        </is>
      </c>
      <c r="B41" s="16" t="n"/>
      <c r="C41" s="16" t="n"/>
      <c r="D41" s="16" t="n"/>
      <c r="E41" s="16" t="n"/>
      <c r="F41" s="16" t="n"/>
      <c r="G41" s="16" t="n"/>
      <c r="H41" s="16" t="n"/>
      <c r="I41" s="22" t="n"/>
      <c r="J41" s="16" t="n"/>
      <c r="K41" s="16" t="n"/>
      <c r="L41" s="16" t="n"/>
      <c r="M41" s="16" t="n"/>
    </row>
    <row r="42">
      <c r="A42" s="14" t="inlineStr">
        <is>
          <t>DEF-041</t>
        </is>
      </c>
      <c r="B42" s="16" t="n"/>
      <c r="C42" s="16" t="n"/>
      <c r="D42" s="16" t="n"/>
      <c r="E42" s="16" t="n"/>
      <c r="F42" s="16" t="n"/>
      <c r="G42" s="16" t="n"/>
      <c r="H42" s="16" t="n"/>
      <c r="I42" s="22" t="n"/>
      <c r="J42" s="16" t="n"/>
      <c r="K42" s="16" t="n"/>
      <c r="L42" s="16" t="n"/>
      <c r="M42" s="16" t="n"/>
    </row>
    <row r="43">
      <c r="A43" s="14" t="inlineStr">
        <is>
          <t>DEF-042</t>
        </is>
      </c>
      <c r="B43" s="16" t="n"/>
      <c r="C43" s="16" t="n"/>
      <c r="D43" s="16" t="n"/>
      <c r="E43" s="16" t="n"/>
      <c r="F43" s="16" t="n"/>
      <c r="G43" s="16" t="n"/>
      <c r="H43" s="16" t="n"/>
      <c r="I43" s="22" t="n"/>
      <c r="J43" s="16" t="n"/>
      <c r="K43" s="16" t="n"/>
      <c r="L43" s="16" t="n"/>
      <c r="M43" s="16" t="n"/>
    </row>
    <row r="44">
      <c r="A44" s="14" t="inlineStr">
        <is>
          <t>DEF-043</t>
        </is>
      </c>
      <c r="B44" s="16" t="n"/>
      <c r="C44" s="16" t="n"/>
      <c r="D44" s="16" t="n"/>
      <c r="E44" s="16" t="n"/>
      <c r="F44" s="16" t="n"/>
      <c r="G44" s="16" t="n"/>
      <c r="H44" s="16" t="n"/>
      <c r="I44" s="22" t="n"/>
      <c r="J44" s="16" t="n"/>
      <c r="K44" s="16" t="n"/>
      <c r="L44" s="16" t="n"/>
      <c r="M44" s="16" t="n"/>
    </row>
    <row r="45">
      <c r="A45" s="14" t="inlineStr">
        <is>
          <t>DEF-044</t>
        </is>
      </c>
      <c r="B45" s="16" t="n"/>
      <c r="C45" s="16" t="n"/>
      <c r="D45" s="16" t="n"/>
      <c r="E45" s="16" t="n"/>
      <c r="F45" s="16" t="n"/>
      <c r="G45" s="16" t="n"/>
      <c r="H45" s="16" t="n"/>
      <c r="I45" s="22" t="n"/>
      <c r="J45" s="16" t="n"/>
      <c r="K45" s="16" t="n"/>
      <c r="L45" s="16" t="n"/>
      <c r="M45" s="16" t="n"/>
    </row>
    <row r="46">
      <c r="A46" s="14" t="inlineStr">
        <is>
          <t>DEF-045</t>
        </is>
      </c>
      <c r="B46" s="16" t="n"/>
      <c r="C46" s="16" t="n"/>
      <c r="D46" s="16" t="n"/>
      <c r="E46" s="16" t="n"/>
      <c r="F46" s="16" t="n"/>
      <c r="G46" s="16" t="n"/>
      <c r="H46" s="16" t="n"/>
      <c r="I46" s="22" t="n"/>
      <c r="J46" s="16" t="n"/>
      <c r="K46" s="16" t="n"/>
      <c r="L46" s="16" t="n"/>
      <c r="M46" s="16" t="n"/>
    </row>
    <row r="47">
      <c r="A47" s="14" t="inlineStr">
        <is>
          <t>DEF-046</t>
        </is>
      </c>
      <c r="B47" s="16" t="n"/>
      <c r="C47" s="16" t="n"/>
      <c r="D47" s="16" t="n"/>
      <c r="E47" s="16" t="n"/>
      <c r="F47" s="16" t="n"/>
      <c r="G47" s="16" t="n"/>
      <c r="H47" s="16" t="n"/>
      <c r="I47" s="22" t="n"/>
      <c r="J47" s="16" t="n"/>
      <c r="K47" s="16" t="n"/>
      <c r="L47" s="16" t="n"/>
      <c r="M47" s="16" t="n"/>
    </row>
    <row r="48">
      <c r="A48" s="14" t="inlineStr">
        <is>
          <t>DEF-047</t>
        </is>
      </c>
      <c r="B48" s="16" t="n"/>
      <c r="C48" s="16" t="n"/>
      <c r="D48" s="16" t="n"/>
      <c r="E48" s="16" t="n"/>
      <c r="F48" s="16" t="n"/>
      <c r="G48" s="16" t="n"/>
      <c r="H48" s="16" t="n"/>
      <c r="I48" s="22" t="n"/>
      <c r="J48" s="16" t="n"/>
      <c r="K48" s="16" t="n"/>
      <c r="L48" s="16" t="n"/>
      <c r="M48" s="16" t="n"/>
    </row>
    <row r="49">
      <c r="A49" s="14" t="inlineStr">
        <is>
          <t>DEF-048</t>
        </is>
      </c>
      <c r="B49" s="16" t="n"/>
      <c r="C49" s="16" t="n"/>
      <c r="D49" s="16" t="n"/>
      <c r="E49" s="16" t="n"/>
      <c r="F49" s="16" t="n"/>
      <c r="G49" s="16" t="n"/>
      <c r="H49" s="16" t="n"/>
      <c r="I49" s="22" t="n"/>
      <c r="J49" s="16" t="n"/>
      <c r="K49" s="16" t="n"/>
      <c r="L49" s="16" t="n"/>
      <c r="M49" s="16" t="n"/>
    </row>
    <row r="50">
      <c r="A50" s="14" t="inlineStr">
        <is>
          <t>DEF-049</t>
        </is>
      </c>
      <c r="B50" s="16" t="n"/>
      <c r="C50" s="16" t="n"/>
      <c r="D50" s="16" t="n"/>
      <c r="E50" s="16" t="n"/>
      <c r="F50" s="16" t="n"/>
      <c r="G50" s="16" t="n"/>
      <c r="H50" s="16" t="n"/>
      <c r="I50" s="22" t="n"/>
      <c r="J50" s="16" t="n"/>
      <c r="K50" s="16" t="n"/>
      <c r="L50" s="16" t="n"/>
      <c r="M50" s="16" t="n"/>
    </row>
    <row r="51">
      <c r="A51" s="14" t="inlineStr">
        <is>
          <t>DEF-050</t>
        </is>
      </c>
      <c r="B51" s="16" t="n"/>
      <c r="C51" s="16" t="n"/>
      <c r="D51" s="16" t="n"/>
      <c r="E51" s="16" t="n"/>
      <c r="F51" s="16" t="n"/>
      <c r="G51" s="16" t="n"/>
      <c r="H51" s="16" t="n"/>
      <c r="I51" s="22" t="n"/>
      <c r="J51" s="16" t="n"/>
      <c r="K51" s="16" t="n"/>
      <c r="L51" s="16" t="n"/>
      <c r="M51" s="16" t="n"/>
    </row>
    <row r="52">
      <c r="A52" s="14" t="inlineStr">
        <is>
          <t>DEF-051</t>
        </is>
      </c>
      <c r="B52" s="16" t="n"/>
      <c r="C52" s="16" t="n"/>
      <c r="D52" s="16" t="n"/>
      <c r="E52" s="16" t="n"/>
      <c r="F52" s="16" t="n"/>
      <c r="G52" s="16" t="n"/>
      <c r="H52" s="16" t="n"/>
      <c r="I52" s="22" t="n"/>
      <c r="J52" s="16" t="n"/>
      <c r="K52" s="16" t="n"/>
      <c r="L52" s="16" t="n"/>
      <c r="M52" s="16" t="n"/>
    </row>
    <row r="53">
      <c r="A53" s="14" t="inlineStr">
        <is>
          <t>DEF-052</t>
        </is>
      </c>
      <c r="B53" s="16" t="n"/>
      <c r="C53" s="16" t="n"/>
      <c r="D53" s="16" t="n"/>
      <c r="E53" s="16" t="n"/>
      <c r="F53" s="16" t="n"/>
      <c r="G53" s="16" t="n"/>
      <c r="H53" s="16" t="n"/>
      <c r="I53" s="22" t="n"/>
      <c r="J53" s="16" t="n"/>
      <c r="K53" s="16" t="n"/>
      <c r="L53" s="16" t="n"/>
      <c r="M53" s="16" t="n"/>
    </row>
    <row r="54">
      <c r="A54" s="14" t="inlineStr">
        <is>
          <t>DEF-053</t>
        </is>
      </c>
      <c r="B54" s="16" t="n"/>
      <c r="C54" s="16" t="n"/>
      <c r="D54" s="16" t="n"/>
      <c r="E54" s="16" t="n"/>
      <c r="F54" s="16" t="n"/>
      <c r="G54" s="16" t="n"/>
      <c r="H54" s="16" t="n"/>
      <c r="I54" s="22" t="n"/>
      <c r="J54" s="16" t="n"/>
      <c r="K54" s="16" t="n"/>
      <c r="L54" s="16" t="n"/>
      <c r="M54" s="16" t="n"/>
    </row>
    <row r="55">
      <c r="A55" s="14" t="inlineStr">
        <is>
          <t>DEF-054</t>
        </is>
      </c>
      <c r="B55" s="16" t="n"/>
      <c r="C55" s="16" t="n"/>
      <c r="D55" s="16" t="n"/>
      <c r="E55" s="16" t="n"/>
      <c r="F55" s="16" t="n"/>
      <c r="G55" s="16" t="n"/>
      <c r="H55" s="16" t="n"/>
      <c r="I55" s="22" t="n"/>
      <c r="J55" s="16" t="n"/>
      <c r="K55" s="16" t="n"/>
      <c r="L55" s="16" t="n"/>
      <c r="M55" s="16" t="n"/>
    </row>
    <row r="56">
      <c r="A56" s="14" t="inlineStr">
        <is>
          <t>DEF-055</t>
        </is>
      </c>
      <c r="B56" s="16" t="n"/>
      <c r="C56" s="16" t="n"/>
      <c r="D56" s="16" t="n"/>
      <c r="E56" s="16" t="n"/>
      <c r="F56" s="16" t="n"/>
      <c r="G56" s="16" t="n"/>
      <c r="H56" s="16" t="n"/>
      <c r="I56" s="22" t="n"/>
      <c r="J56" s="16" t="n"/>
      <c r="K56" s="16" t="n"/>
      <c r="L56" s="16" t="n"/>
      <c r="M56" s="16" t="n"/>
    </row>
    <row r="57">
      <c r="A57" s="14" t="inlineStr">
        <is>
          <t>DEF-056</t>
        </is>
      </c>
      <c r="B57" s="16" t="n"/>
      <c r="C57" s="16" t="n"/>
      <c r="D57" s="16" t="n"/>
      <c r="E57" s="16" t="n"/>
      <c r="F57" s="16" t="n"/>
      <c r="G57" s="16" t="n"/>
      <c r="H57" s="16" t="n"/>
      <c r="I57" s="22" t="n"/>
      <c r="J57" s="16" t="n"/>
      <c r="K57" s="16" t="n"/>
      <c r="L57" s="16" t="n"/>
      <c r="M57" s="16" t="n"/>
    </row>
    <row r="58">
      <c r="A58" s="14" t="inlineStr">
        <is>
          <t>DEF-057</t>
        </is>
      </c>
      <c r="B58" s="16" t="n"/>
      <c r="C58" s="16" t="n"/>
      <c r="D58" s="16" t="n"/>
      <c r="E58" s="16" t="n"/>
      <c r="F58" s="16" t="n"/>
      <c r="G58" s="16" t="n"/>
      <c r="H58" s="16" t="n"/>
      <c r="I58" s="22" t="n"/>
      <c r="J58" s="16" t="n"/>
      <c r="K58" s="16" t="n"/>
      <c r="L58" s="16" t="n"/>
      <c r="M58" s="16" t="n"/>
    </row>
    <row r="59">
      <c r="A59" s="14" t="inlineStr">
        <is>
          <t>DEF-058</t>
        </is>
      </c>
      <c r="B59" s="16" t="n"/>
      <c r="C59" s="16" t="n"/>
      <c r="D59" s="16" t="n"/>
      <c r="E59" s="16" t="n"/>
      <c r="F59" s="16" t="n"/>
      <c r="G59" s="16" t="n"/>
      <c r="H59" s="16" t="n"/>
      <c r="I59" s="22" t="n"/>
      <c r="J59" s="16" t="n"/>
      <c r="K59" s="16" t="n"/>
      <c r="L59" s="16" t="n"/>
      <c r="M59" s="16" t="n"/>
    </row>
    <row r="60">
      <c r="A60" s="14" t="inlineStr">
        <is>
          <t>DEF-059</t>
        </is>
      </c>
      <c r="B60" s="16" t="n"/>
      <c r="C60" s="16" t="n"/>
      <c r="D60" s="16" t="n"/>
      <c r="E60" s="16" t="n"/>
      <c r="F60" s="16" t="n"/>
      <c r="G60" s="16" t="n"/>
      <c r="H60" s="16" t="n"/>
      <c r="I60" s="22" t="n"/>
      <c r="J60" s="16" t="n"/>
      <c r="K60" s="16" t="n"/>
      <c r="L60" s="16" t="n"/>
      <c r="M60" s="16" t="n"/>
    </row>
    <row r="61">
      <c r="A61" s="14" t="inlineStr">
        <is>
          <t>DEF-060</t>
        </is>
      </c>
      <c r="B61" s="16" t="n"/>
      <c r="C61" s="16" t="n"/>
      <c r="D61" s="16" t="n"/>
      <c r="E61" s="16" t="n"/>
      <c r="F61" s="16" t="n"/>
      <c r="G61" s="16" t="n"/>
      <c r="H61" s="16" t="n"/>
      <c r="I61" s="22" t="n"/>
      <c r="J61" s="16" t="n"/>
      <c r="K61" s="16" t="n"/>
      <c r="L61" s="16" t="n"/>
      <c r="M61" s="16" t="n"/>
    </row>
    <row r="63">
      <c r="A63" s="23" t="inlineStr">
        <is>
          <t>Severity guide</t>
        </is>
      </c>
    </row>
    <row r="64">
      <c r="A64" s="5" t="inlineStr">
        <is>
          <t>Critical</t>
        </is>
      </c>
      <c r="B64" s="26" t="inlineStr">
        <is>
          <t>Wrong grades saved or shown, data lost, or a user sees/changes data they should not.</t>
        </is>
      </c>
    </row>
    <row r="65">
      <c r="A65" s="5" t="inlineStr">
        <is>
          <t>High</t>
        </is>
      </c>
      <c r="B65" s="26" t="inlineStr">
        <is>
          <t>A main task (upload, submit, approve, SF10) cannot be completed.</t>
        </is>
      </c>
    </row>
    <row r="66">
      <c r="A66" s="5" t="inlineStr">
        <is>
          <t>Medium</t>
        </is>
      </c>
      <c r="B66" s="26" t="inlineStr">
        <is>
          <t>A task works but with a wrong message, wrong count or a workaround.</t>
        </is>
      </c>
    </row>
    <row r="67">
      <c r="A67" s="5" t="inlineStr">
        <is>
          <t>Low</t>
        </is>
      </c>
      <c r="B67" s="26" t="inlineStr">
        <is>
          <t>Cosmetic: layout, wording, alignment.</t>
        </is>
      </c>
    </row>
  </sheetData>
  <mergeCells count="4">
    <mergeCell ref="B65:F65"/>
    <mergeCell ref="B64:F64"/>
    <mergeCell ref="B67:F67"/>
    <mergeCell ref="B66:F66"/>
  </mergeCells>
  <dataValidations count="3">
    <dataValidation sqref="C2:C61" showDropDown="0" showInputMessage="0" showErrorMessage="0" allowBlank="1" type="list">
      <formula1>"Critical,High,Medium,Low"</formula1>
    </dataValidation>
    <dataValidation sqref="J2:J61" showDropDown="0" showInputMessage="0" showErrorMessage="0" allowBlank="1" type="list">
      <formula1>"Open,In Progress,Fixed,Closed,Won't Fix"</formula1>
    </dataValidation>
    <dataValidation sqref="L2:L61" showDropDown="0" showInputMessage="0" showErrorMessage="0" allowBlank="1" type="list">
      <formula1>"Pass,Fail"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2026-10-10T13:13:05Z</dcterms:created>
  <dcterms:modified xmlns:dcterms="http://purl.org/dc/terms/" xmlns:xsi="http://www.w3.org/2001/XMLSchema-instance" xsi:type="dcterms:W3CDTF">2026-10-14T08:31:26Z</dcterms:modified>
  <cp:lastModifiedBy>Shaine Ella Pines</cp:lastModifiedBy>
</cp:coreProperties>
</file>