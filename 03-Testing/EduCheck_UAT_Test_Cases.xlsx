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328" yWindow="0" windowWidth="11712" windowHeight="12240" tabRatio="600" firstSheet="0" activeTab="0" autoFilterDateGrouping="1"/>
  </bookViews>
  <sheets>
    <sheet name="Instructions" sheetId="1" state="visible" r:id="rId1"/>
    <sheet name="Test Cases" sheetId="2" state="visible" r:id="rId2"/>
    <sheet name="Summary" sheetId="3" state="visible" r:id="rId3"/>
    <sheet name="Defect Log" sheetId="4" state="visible" r:id="rId4"/>
  </sheets>
  <definedNames>
    <definedName name="_xlnm._FilterDatabase" localSheetId="1" hidden="1">'Test Cases'!$A$1:$Q$68</definedName>
    <definedName name="_xlnm.Print_Titles" localSheetId="1">'Test Cases'!$1:$1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FF1F3A5F"/>
      <sz val="16"/>
    </font>
    <font>
      <name val="Arial"/>
      <i val="1"/>
      <color rgb="FF595959"/>
      <sz val="10"/>
    </font>
    <font>
      <name val="Arial"/>
      <b val="1"/>
      <color rgb="FF1F3A5F"/>
      <sz val="11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  <font>
      <name val="Arial"/>
      <i val="1"/>
      <sz val="10"/>
    </font>
    <font>
      <name val="Arial"/>
      <b val="1"/>
      <color rgb="FF1F3A5F"/>
      <sz val="10"/>
    </font>
  </fonts>
  <fills count="5">
    <fill>
      <patternFill/>
    </fill>
    <fill>
      <patternFill patternType="gray125"/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4" fillId="0" borderId="0" applyAlignment="1" pivotButton="0" quotePrefix="0" xfId="0">
      <alignment horizontal="right" vertical="top"/>
    </xf>
    <xf numFmtId="0" fontId="6" fillId="4" borderId="1" pivotButton="0" quotePrefix="0" xfId="0"/>
    <xf numFmtId="0" fontId="4" fillId="0" borderId="1" pivotButton="0" quotePrefix="0" xfId="0"/>
    <xf numFmtId="0" fontId="7" fillId="0" borderId="1" pivotButton="0" quotePrefix="0" xfId="0"/>
    <xf numFmtId="0" fontId="6" fillId="4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164" fontId="5" fillId="3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4" fontId="5" fillId="3" borderId="1" applyAlignment="1" pivotButton="0" quotePrefix="0" xfId="0">
      <alignment vertical="top" wrapText="1"/>
    </xf>
    <xf numFmtId="0" fontId="8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E7E6E6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tabSelected="1" workbookViewId="0">
      <selection activeCell="A1" sqref="A1"/>
    </sheetView>
  </sheetViews>
  <sheetFormatPr baseColWidth="8" defaultRowHeight="14.4"/>
  <cols>
    <col width="26" customWidth="1" style="25" min="1" max="1"/>
    <col width="40" customWidth="1" style="25" min="2" max="2"/>
    <col width="30" customWidth="1" style="25" min="3" max="3"/>
    <col width="44" customWidth="1" style="25" min="4" max="4"/>
  </cols>
  <sheetData>
    <row r="1" ht="21" customHeight="1" s="25">
      <c r="A1" s="1" t="inlineStr">
        <is>
          <t>EduCheck - User Acceptance Test Cases</t>
        </is>
      </c>
    </row>
    <row r="2">
      <c r="A2" s="2" t="inlineStr">
        <is>
          <t>Formal testing and UAT, ISO/IEC 25010. Read 03-Testing/EduCheck_Known_Limitations.md first: items listed there are not defects.</t>
        </is>
      </c>
    </row>
    <row r="4">
      <c r="A4" s="3" t="inlineStr">
        <is>
          <t>Test session</t>
        </is>
      </c>
      <c r="B4" s="4" t="n"/>
      <c r="C4" s="4" t="n"/>
      <c r="D4" s="4" t="n"/>
    </row>
    <row r="5">
      <c r="A5" s="5" t="inlineStr">
        <is>
          <t>Tester name(s)</t>
        </is>
      </c>
      <c r="B5" s="6" t="n"/>
    </row>
    <row r="6">
      <c r="A6" s="5" t="inlineStr">
        <is>
          <t>Date(s) tested</t>
        </is>
      </c>
      <c r="B6" s="6" t="n"/>
    </row>
    <row r="7">
      <c r="A7" s="5" t="inlineStr">
        <is>
          <t>Server address (web)</t>
        </is>
      </c>
      <c r="B7" s="6" t="n"/>
    </row>
    <row r="8">
      <c r="A8" s="5" t="inlineStr">
        <is>
          <t>Web browser(s) and version</t>
        </is>
      </c>
      <c r="B8" s="6" t="n"/>
    </row>
    <row r="9">
      <c r="A9" s="5" t="inlineStr">
        <is>
          <t>Android phone model / version</t>
        </is>
      </c>
      <c r="B9" s="6" t="n"/>
    </row>
    <row r="10">
      <c r="A10" s="5" t="inlineStr">
        <is>
          <t>Build / commit tested</t>
        </is>
      </c>
      <c r="B10" s="6" t="n"/>
    </row>
    <row r="12">
      <c r="A12" s="3" t="inlineStr">
        <is>
          <t>How to fill in</t>
        </is>
      </c>
      <c r="B12" s="4" t="n"/>
      <c r="C12" s="4" t="n"/>
      <c r="D12" s="4" t="n"/>
    </row>
    <row r="13" ht="28.05" customHeight="1" s="25">
      <c r="A13" s="7" t="inlineStr">
        <is>
          <t>1.</t>
        </is>
      </c>
      <c r="B13" s="24" t="inlineStr">
        <is>
          <t>Yellow cells are the only cells to fill in. All other cells are the test design; do not change them.</t>
        </is>
      </c>
    </row>
    <row r="14" ht="28.05" customHeight="1" s="25">
      <c r="A14" s="7" t="inlineStr">
        <is>
          <t>2.</t>
        </is>
      </c>
      <c r="B14" s="24" t="inlineStr">
        <is>
          <t>Run each case in the Test Cases sheet in order. Follow the Steps exactly and compare with Expected Result.</t>
        </is>
      </c>
    </row>
    <row r="15" ht="28.05" customHeight="1" s="25">
      <c r="A15" s="7" t="inlineStr">
        <is>
          <t>3.</t>
        </is>
      </c>
      <c r="B15" s="24" t="inlineStr">
        <is>
          <t>Actual Result: write what really happened, in a few words (or the time taken for performance cases).</t>
        </is>
      </c>
    </row>
    <row r="16" ht="28.05" customHeight="1" s="25">
      <c r="A16" s="7" t="inlineStr">
        <is>
          <t>4.</t>
        </is>
      </c>
      <c r="B16" s="24" t="inlineStr">
        <is>
          <t>Status: choose Pass, Fail, Blocked (could not run because of another problem) or Not Run.</t>
        </is>
      </c>
    </row>
    <row r="17" ht="28.05" customHeight="1" s="25">
      <c r="A17" s="7" t="inlineStr">
        <is>
          <t>5.</t>
        </is>
      </c>
      <c r="B17" s="24" t="inlineStr">
        <is>
          <t>For every Fail, add a row in the Defect Log and put its Defect ID on the test case.</t>
        </is>
      </c>
    </row>
    <row r="18" ht="28.05" customHeight="1" s="25">
      <c r="A18" s="7" t="inlineStr">
        <is>
          <t>6.</t>
        </is>
      </c>
      <c r="B18" s="24" t="inlineStr">
        <is>
          <t>The Summary sheet counts results automatically.</t>
        </is>
      </c>
    </row>
    <row r="20">
      <c r="A20" s="3" t="inlineStr">
        <is>
          <t>Example of a filled-in test case</t>
        </is>
      </c>
      <c r="B20" s="4" t="n"/>
      <c r="C20" s="4" t="n"/>
      <c r="D20" s="4" t="n"/>
    </row>
    <row r="21">
      <c r="A21" s="8" t="inlineStr">
        <is>
          <t>Field</t>
        </is>
      </c>
      <c r="B21" s="8" t="inlineStr">
        <is>
          <t>Example value</t>
        </is>
      </c>
    </row>
    <row r="22">
      <c r="A22" s="9" t="inlineStr">
        <is>
          <t>TC ID</t>
        </is>
      </c>
      <c r="B22" s="10" t="inlineStr">
        <is>
          <t>TC-002</t>
        </is>
      </c>
    </row>
    <row r="23">
      <c r="A23" s="9" t="inlineStr">
        <is>
          <t>Actual Result</t>
        </is>
      </c>
      <c r="B23" s="10" t="inlineStr">
        <is>
          <t>Login failed; message "Invalid username or password." shown.</t>
        </is>
      </c>
    </row>
    <row r="24">
      <c r="A24" s="9" t="inlineStr">
        <is>
          <t>Status</t>
        </is>
      </c>
      <c r="B24" s="10" t="inlineStr">
        <is>
          <t>Pass</t>
        </is>
      </c>
    </row>
    <row r="25">
      <c r="A25" s="9" t="inlineStr">
        <is>
          <t>Tester</t>
        </is>
      </c>
      <c r="B25" s="10" t="inlineStr">
        <is>
          <t>J. Dela Cruz</t>
        </is>
      </c>
    </row>
    <row r="26">
      <c r="A26" s="9" t="inlineStr">
        <is>
          <t>Date</t>
        </is>
      </c>
      <c r="B26" s="10" t="inlineStr">
        <is>
          <t>2026-10-15</t>
        </is>
      </c>
    </row>
    <row r="27">
      <c r="A27" s="9" t="inlineStr">
        <is>
          <t>Defect ID</t>
        </is>
      </c>
      <c r="B27" s="10" t="inlineStr">
        <is>
          <t>(blank - only for Fail)</t>
        </is>
      </c>
    </row>
    <row r="28">
      <c r="A28" s="9" t="inlineStr">
        <is>
          <t>Remarks</t>
        </is>
      </c>
      <c r="B28" s="10" t="inlineStr">
        <is>
          <t>Chrome 141</t>
        </is>
      </c>
    </row>
    <row r="30">
      <c r="A30" s="3" t="inlineStr">
        <is>
          <t>Test accounts</t>
        </is>
      </c>
      <c r="B30" s="4" t="n"/>
      <c r="C30" s="4" t="n"/>
      <c r="D30" s="4" t="n"/>
    </row>
    <row r="31" ht="26.4" customHeight="1" s="25">
      <c r="A31" s="11" t="inlineStr">
        <is>
          <t>Username</t>
        </is>
      </c>
      <c r="B31" s="11" t="inlineStr">
        <is>
          <t>Role</t>
        </is>
      </c>
      <c r="C31" s="11" t="inlineStr">
        <is>
          <t>Password (fill in; do not share outside the team)</t>
        </is>
      </c>
      <c r="D31" s="11" t="inlineStr">
        <is>
          <t>Notes</t>
        </is>
      </c>
    </row>
    <row r="32">
      <c r="A32" s="12" t="inlineStr">
        <is>
          <t>admin.educheck</t>
        </is>
      </c>
      <c r="B32" s="12" t="inlineStr">
        <is>
          <t>Admin</t>
        </is>
      </c>
      <c r="C32" s="6" t="n"/>
      <c r="D32" s="13" t="inlineStr">
        <is>
          <t>Reviews and approves records; manages users.</t>
        </is>
      </c>
    </row>
    <row r="33">
      <c r="A33" s="12" t="inlineStr">
        <is>
          <t>adviser.grade6a</t>
        </is>
      </c>
      <c r="B33" s="12" t="inlineStr">
        <is>
          <t>Adviser</t>
        </is>
      </c>
      <c r="C33" s="6" t="n"/>
      <c r="D33" s="13" t="inlineStr">
        <is>
          <t>Adviser of Rizal (Grade 6, Self-Contained).</t>
        </is>
      </c>
    </row>
    <row r="34">
      <c r="A34" s="12" t="inlineStr">
        <is>
          <t>subject.grade6a</t>
        </is>
      </c>
      <c r="B34" s="12" t="inlineStr">
        <is>
          <t>Subject Teacher</t>
        </is>
      </c>
      <c r="C34" s="6" t="n"/>
      <c r="D34" s="13" t="inlineStr">
        <is>
          <t>Uploads e-class records.</t>
        </is>
      </c>
    </row>
    <row r="35">
      <c r="A35" s="12" t="inlineStr">
        <is>
          <t>principal.educheck</t>
        </is>
      </c>
      <c r="B35" s="12" t="inlineStr">
        <is>
          <t>Principal</t>
        </is>
      </c>
      <c r="C35" s="6" t="n"/>
      <c r="D35" s="13" t="inlineStr">
        <is>
          <t>View-only.</t>
        </is>
      </c>
    </row>
    <row r="37">
      <c r="A37" s="3" t="inlineStr">
        <is>
          <t>Test data</t>
        </is>
      </c>
      <c r="B37" s="4" t="n"/>
      <c r="C37" s="4" t="n"/>
      <c r="D37" s="4" t="n"/>
    </row>
    <row r="38" ht="28.05" customHeight="1" s="25">
      <c r="A38" s="5" t="inlineStr">
        <is>
          <t>Sections</t>
        </is>
      </c>
      <c r="B38" s="24" t="inlineStr">
        <is>
          <t>Rizal (Grade 6, Self-Contained, 100 learners). Mabini (Grade 3, Departmentalized, 5 learners LRN 300000000001-005, no Class Adviser). School year 2025-2026. Pending Approval at start: LRN 100000000004-015. Incomplete (no TLE grade): LRN 100000000099 and 100000000100. No Approved records at start.</t>
        </is>
      </c>
    </row>
    <row r="39" ht="28.05" customHeight="1" s="25">
      <c r="A39" s="5" t="inlineStr">
        <is>
          <t>SF10 demo learner</t>
        </is>
      </c>
      <c r="B39" s="24" t="inlineStr">
        <is>
          <t>LRN 100000000001 (Adrian Aguilar). Sample Grade 4 and 5 history; readiness PARTIAL.</t>
        </is>
      </c>
    </row>
    <row r="40" ht="28.05" customHeight="1" s="25">
      <c r="A40" s="5" t="inlineStr">
        <is>
          <t>Sample e-class record</t>
        </is>
      </c>
      <c r="B40" s="24" t="inlineStr">
        <is>
          <t>03-Testing/UAT-files/ - one ready-made file per test case; the file name starts with the TC ID (see README.md in that folder).</t>
        </is>
      </c>
    </row>
    <row r="41" ht="28.05" customHeight="1" s="25">
      <c r="A41" s="5" t="inlineStr">
        <is>
          <t>Before starting</t>
        </is>
      </c>
      <c r="B41" s="24" t="inlineStr">
        <is>
          <t>Back up the database so testing can be repeated from the same state.</t>
        </is>
      </c>
    </row>
  </sheetData>
  <mergeCells count="10">
    <mergeCell ref="B14:D14"/>
    <mergeCell ref="B41:D41"/>
    <mergeCell ref="B17:D17"/>
    <mergeCell ref="B18:D18"/>
    <mergeCell ref="B13:D13"/>
    <mergeCell ref="B40:D40"/>
    <mergeCell ref="B15:D15"/>
    <mergeCell ref="B39:D39"/>
    <mergeCell ref="B38:D38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6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9" customWidth="1" style="25" min="1" max="1"/>
    <col width="16" customWidth="1" style="25" min="2" max="2"/>
    <col width="14" customWidth="1" style="25" min="3" max="3"/>
    <col width="9" customWidth="1" style="25" min="4" max="4"/>
    <col width="16" customWidth="1" style="25" min="5" max="5"/>
    <col width="14" customWidth="1" style="25" min="6" max="6"/>
    <col width="30" customWidth="1" style="25" min="7" max="7"/>
    <col width="28" customWidth="1" style="25" min="8" max="8"/>
    <col width="44" customWidth="1" style="25" min="9" max="9"/>
    <col width="20" customWidth="1" style="25" min="10" max="10"/>
    <col width="44" customWidth="1" style="25" min="11" max="11"/>
    <col width="34" customWidth="1" style="25" min="12" max="12"/>
    <col width="11" customWidth="1" style="25" min="13" max="13"/>
    <col width="14" customWidth="1" style="25" min="14" max="14"/>
    <col width="12" customWidth="1" style="25" min="15" max="15"/>
    <col width="11" customWidth="1" style="25" min="16" max="16"/>
    <col width="24" customWidth="1" style="25" min="17" max="17"/>
  </cols>
  <sheetData>
    <row r="1" ht="30" customHeight="1" s="25">
      <c r="A1" s="11" t="inlineStr">
        <is>
          <t>TC ID</t>
        </is>
      </c>
      <c r="B1" s="11" t="inlineStr">
        <is>
          <t>Module</t>
        </is>
      </c>
      <c r="C1" s="11" t="inlineStr">
        <is>
          <t>Role</t>
        </is>
      </c>
      <c r="D1" s="11" t="inlineStr">
        <is>
          <t>Platform</t>
        </is>
      </c>
      <c r="E1" s="11" t="inlineStr">
        <is>
          <t>ISO 25010</t>
        </is>
      </c>
      <c r="F1" s="11" t="inlineStr">
        <is>
          <t>SPMP / Ref</t>
        </is>
      </c>
      <c r="G1" s="11" t="inlineStr">
        <is>
          <t>Test Case</t>
        </is>
      </c>
      <c r="H1" s="11" t="inlineStr">
        <is>
          <t>Preconditions</t>
        </is>
      </c>
      <c r="I1" s="11" t="inlineStr">
        <is>
          <t>Steps</t>
        </is>
      </c>
      <c r="J1" s="11" t="inlineStr">
        <is>
          <t>Test Data</t>
        </is>
      </c>
      <c r="K1" s="11" t="inlineStr">
        <is>
          <t>Expected Result</t>
        </is>
      </c>
      <c r="L1" s="11" t="inlineStr">
        <is>
          <t>Actual Result</t>
        </is>
      </c>
      <c r="M1" s="11" t="inlineStr">
        <is>
          <t>Status</t>
        </is>
      </c>
      <c r="N1" s="11" t="inlineStr">
        <is>
          <t>Tester</t>
        </is>
      </c>
      <c r="O1" s="11" t="inlineStr">
        <is>
          <t>Date</t>
        </is>
      </c>
      <c r="P1" s="11" t="inlineStr">
        <is>
          <t>Defect ID</t>
        </is>
      </c>
      <c r="Q1" s="11" t="inlineStr">
        <is>
          <t>Remarks</t>
        </is>
      </c>
    </row>
    <row r="2" ht="46.5" customHeight="1" s="25">
      <c r="A2" s="14" t="inlineStr">
        <is>
          <t>TC-001</t>
        </is>
      </c>
      <c r="B2" s="13" t="inlineStr">
        <is>
          <t>Authentication</t>
        </is>
      </c>
      <c r="C2" s="15" t="inlineStr">
        <is>
          <t>All</t>
        </is>
      </c>
      <c r="D2" s="15" t="inlineStr">
        <is>
          <t>Web</t>
        </is>
      </c>
      <c r="E2" s="13" t="inlineStr">
        <is>
          <t>Security</t>
        </is>
      </c>
      <c r="F2" s="13" t="inlineStr">
        <is>
          <t>EPIC-01, US-001</t>
        </is>
      </c>
      <c r="G2" s="13" t="inlineStr">
        <is>
          <t>Log in with valid credentials</t>
        </is>
      </c>
      <c r="H2" s="13" t="inlineStr">
        <is>
          <t>Active account exists.</t>
        </is>
      </c>
      <c r="I2" s="13" t="inlineStr">
        <is>
          <t>1. Open the login page.
2. Enter a valid username and password.
3. Click Sign in.</t>
        </is>
      </c>
      <c r="J2" s="13" t="inlineStr">
        <is>
          <t>Any test account</t>
        </is>
      </c>
      <c r="K2" s="13" t="inlineStr">
        <is>
          <t>The user lands on the Dashboard for their role. The sidebar shows only that role's menu items.</t>
        </is>
      </c>
      <c r="L2" s="16" t="n"/>
      <c r="M2" s="17" t="n"/>
      <c r="N2" s="16" t="n"/>
      <c r="O2" s="18" t="n"/>
      <c r="P2" s="17" t="n"/>
      <c r="Q2" s="16" t="n"/>
    </row>
    <row r="3" ht="46.5" customHeight="1" s="25">
      <c r="A3" s="14" t="inlineStr">
        <is>
          <t>TC-002</t>
        </is>
      </c>
      <c r="B3" s="13" t="inlineStr">
        <is>
          <t>Authentication</t>
        </is>
      </c>
      <c r="C3" s="15" t="inlineStr">
        <is>
          <t>All</t>
        </is>
      </c>
      <c r="D3" s="15" t="inlineStr">
        <is>
          <t>Web</t>
        </is>
      </c>
      <c r="E3" s="13" t="inlineStr">
        <is>
          <t>Security</t>
        </is>
      </c>
      <c r="F3" s="13" t="inlineStr">
        <is>
          <t>EPIC-01, US-001</t>
        </is>
      </c>
      <c r="G3" s="13" t="inlineStr">
        <is>
          <t>Log in with a wrong password</t>
        </is>
      </c>
      <c r="H3" s="13" t="inlineStr">
        <is>
          <t>Active account exists.</t>
        </is>
      </c>
      <c r="I3" s="13" t="inlineStr">
        <is>
          <t>1. Enter a valid username and a wrong password.
2. Click Sign in.</t>
        </is>
      </c>
      <c r="J3" s="13" t="inlineStr">
        <is>
          <t>Valid username, wrong password</t>
        </is>
      </c>
      <c r="K3" s="13" t="inlineStr">
        <is>
          <t>Login fails with "Invalid username or password." The message does not say which field was wrong.</t>
        </is>
      </c>
      <c r="L3" s="16" t="n"/>
      <c r="M3" s="17" t="n"/>
      <c r="N3" s="16" t="n"/>
      <c r="O3" s="18" t="n"/>
      <c r="P3" s="17" t="n"/>
      <c r="Q3" s="16" t="n"/>
    </row>
    <row r="4" ht="33" customHeight="1" s="25">
      <c r="A4" s="14" t="inlineStr">
        <is>
          <t>TC-003</t>
        </is>
      </c>
      <c r="B4" s="13" t="inlineStr">
        <is>
          <t>Authentication</t>
        </is>
      </c>
      <c r="C4" s="15" t="inlineStr">
        <is>
          <t>All</t>
        </is>
      </c>
      <c r="D4" s="15" t="inlineStr">
        <is>
          <t>Web</t>
        </is>
      </c>
      <c r="E4" s="13" t="inlineStr">
        <is>
          <t>Usability</t>
        </is>
      </c>
      <c r="F4" s="13" t="inlineStr">
        <is>
          <t>EPIC-01</t>
        </is>
      </c>
      <c r="G4" s="13" t="inlineStr">
        <is>
          <t>Log in with empty fields</t>
        </is>
      </c>
      <c r="H4" s="13" t="inlineStr">
        <is>
          <t>None.</t>
        </is>
      </c>
      <c r="I4" s="13" t="inlineStr">
        <is>
          <t>1. Leave username and/or password empty.
2. Click Sign in.</t>
        </is>
      </c>
      <c r="J4" s="13" t="inlineStr">
        <is>
          <t>Blank fields</t>
        </is>
      </c>
      <c r="K4" s="13" t="inlineStr">
        <is>
          <t>Login is not attempted. The user is asked to fill in both fields.</t>
        </is>
      </c>
      <c r="L4" s="16" t="n"/>
      <c r="M4" s="17" t="n"/>
      <c r="N4" s="16" t="n"/>
      <c r="O4" s="18" t="n"/>
      <c r="P4" s="17" t="n"/>
      <c r="Q4" s="16" t="n"/>
    </row>
    <row r="5" ht="46.5" customHeight="1" s="25">
      <c r="A5" s="14" t="inlineStr">
        <is>
          <t>TC-004</t>
        </is>
      </c>
      <c r="B5" s="13" t="inlineStr">
        <is>
          <t>Authentication</t>
        </is>
      </c>
      <c r="C5" s="15" t="inlineStr">
        <is>
          <t>Admin</t>
        </is>
      </c>
      <c r="D5" s="15" t="inlineStr">
        <is>
          <t>Web</t>
        </is>
      </c>
      <c r="E5" s="13" t="inlineStr">
        <is>
          <t>Security</t>
        </is>
      </c>
      <c r="F5" s="13" t="inlineStr">
        <is>
          <t>EPIC-01, US-001</t>
        </is>
      </c>
      <c r="G5" s="13" t="inlineStr">
        <is>
          <t>Inactive account cannot log in</t>
        </is>
      </c>
      <c r="H5" s="13" t="inlineStr">
        <is>
          <t>Admin has set a test account to Inactive in User Management.</t>
        </is>
      </c>
      <c r="I5" s="13" t="inlineStr">
        <is>
          <t>1. Log in with the inactive account's correct password.</t>
        </is>
      </c>
      <c r="J5" s="13" t="inlineStr">
        <is>
          <t>Inactive test account</t>
        </is>
      </c>
      <c r="K5" s="13" t="inlineStr">
        <is>
          <t>Login fails with "This account is inactive."</t>
        </is>
      </c>
      <c r="L5" s="16" t="n"/>
      <c r="M5" s="17" t="n"/>
      <c r="N5" s="16" t="n"/>
      <c r="O5" s="18" t="n"/>
      <c r="P5" s="17" t="n"/>
      <c r="Q5" s="16" t="n"/>
    </row>
    <row r="6" ht="46.5" customHeight="1" s="25">
      <c r="A6" s="14" t="inlineStr">
        <is>
          <t>TC-005</t>
        </is>
      </c>
      <c r="B6" s="13" t="inlineStr">
        <is>
          <t>Authentication</t>
        </is>
      </c>
      <c r="C6" s="15" t="inlineStr">
        <is>
          <t>All</t>
        </is>
      </c>
      <c r="D6" s="15" t="inlineStr">
        <is>
          <t>Web</t>
        </is>
      </c>
      <c r="E6" s="13" t="inlineStr">
        <is>
          <t>Security</t>
        </is>
      </c>
      <c r="F6" s="13" t="inlineStr">
        <is>
          <t>EPIC-01 / ISO 25010</t>
        </is>
      </c>
      <c r="G6" s="13" t="inlineStr">
        <is>
          <t>Repeated failed logins are locked out</t>
        </is>
      </c>
      <c r="H6" s="13" t="inlineStr">
        <is>
          <t>None.</t>
        </is>
      </c>
      <c r="I6" s="13" t="inlineStr">
        <is>
          <t>1. Enter a wrong password 11 times in a row within 15 minutes.</t>
        </is>
      </c>
      <c r="J6" s="13" t="inlineStr">
        <is>
          <t>Valid username, wrong password</t>
        </is>
      </c>
      <c r="K6" s="13" t="inlineStr">
        <is>
          <t>After 10 failures the page shows "Too many login attempts. Please try again in a few minutes." (see Known Limitations D-07).</t>
        </is>
      </c>
      <c r="L6" s="16" t="n"/>
      <c r="M6" s="17" t="n"/>
      <c r="N6" s="16" t="n"/>
      <c r="O6" s="18" t="n"/>
      <c r="P6" s="17" t="n"/>
      <c r="Q6" s="16" t="n"/>
    </row>
    <row r="7" ht="46.5" customHeight="1" s="25">
      <c r="A7" s="14" t="inlineStr">
        <is>
          <t>TC-006</t>
        </is>
      </c>
      <c r="B7" s="13" t="inlineStr">
        <is>
          <t>Authentication</t>
        </is>
      </c>
      <c r="C7" s="15" t="inlineStr">
        <is>
          <t>All</t>
        </is>
      </c>
      <c r="D7" s="15" t="inlineStr">
        <is>
          <t>Web</t>
        </is>
      </c>
      <c r="E7" s="13" t="inlineStr">
        <is>
          <t>Security</t>
        </is>
      </c>
      <c r="F7" s="13" t="inlineStr">
        <is>
          <t>§6.2</t>
        </is>
      </c>
      <c r="G7" s="13" t="inlineStr">
        <is>
          <t>Log out ends the session</t>
        </is>
      </c>
      <c r="H7" s="13" t="inlineStr">
        <is>
          <t>Logged in.</t>
        </is>
      </c>
      <c r="I7" s="13" t="inlineStr">
        <is>
          <t>1. Click Log out.
2. Press the browser Back button.
3. Try to open /dashboard directly.</t>
        </is>
      </c>
      <c r="J7" s="13" t="inlineStr">
        <is>
          <t>-</t>
        </is>
      </c>
      <c r="K7" s="13" t="inlineStr">
        <is>
          <t>The user is returned to the login page and cannot reach any protected page without logging in again.</t>
        </is>
      </c>
      <c r="L7" s="16" t="n"/>
      <c r="M7" s="17" t="n"/>
      <c r="N7" s="16" t="n"/>
      <c r="O7" s="18" t="n"/>
      <c r="P7" s="17" t="n"/>
      <c r="Q7" s="16" t="n"/>
    </row>
    <row r="8" ht="46.5" customHeight="1" s="25">
      <c r="A8" s="14" t="inlineStr">
        <is>
          <t>TC-007</t>
        </is>
      </c>
      <c r="B8" s="13" t="inlineStr">
        <is>
          <t>Authentication</t>
        </is>
      </c>
      <c r="C8" s="15" t="inlineStr">
        <is>
          <t>Subject Teacher</t>
        </is>
      </c>
      <c r="D8" s="15" t="inlineStr">
        <is>
          <t>Web</t>
        </is>
      </c>
      <c r="E8" s="13" t="inlineStr">
        <is>
          <t>Security</t>
        </is>
      </c>
      <c r="F8" s="13" t="inlineStr">
        <is>
          <t>§6.2, US-011</t>
        </is>
      </c>
      <c r="G8" s="13" t="inlineStr">
        <is>
          <t>A role cannot open another role's page by URL</t>
        </is>
      </c>
      <c r="H8" s="13" t="inlineStr">
        <is>
          <t>Logged in as Subject Teacher.</t>
        </is>
      </c>
      <c r="I8" s="13" t="inlineStr">
        <is>
          <t>1. Type /users in the address bar.
2. Type /audit-log.
3. Type /consolidated-records.</t>
        </is>
      </c>
      <c r="J8" s="13" t="inlineStr">
        <is>
          <t>subject.grade6a</t>
        </is>
      </c>
      <c r="K8" s="13" t="inlineStr">
        <is>
          <t>Each attempt redirects to the user's own Dashboard. No Admin or Adviser data is shown.</t>
        </is>
      </c>
      <c r="L8" s="16" t="n"/>
      <c r="M8" s="17" t="n"/>
      <c r="N8" s="16" t="n"/>
      <c r="O8" s="18" t="n"/>
      <c r="P8" s="17" t="n"/>
      <c r="Q8" s="16" t="n"/>
    </row>
    <row r="9" ht="60" customHeight="1" s="25">
      <c r="A9" s="14" t="inlineStr">
        <is>
          <t>TC-008</t>
        </is>
      </c>
      <c r="B9" s="13" t="inlineStr">
        <is>
          <t>Account</t>
        </is>
      </c>
      <c r="C9" s="15" t="inlineStr">
        <is>
          <t>All</t>
        </is>
      </c>
      <c r="D9" s="15" t="inlineStr">
        <is>
          <t>Web</t>
        </is>
      </c>
      <c r="E9" s="13" t="inlineStr">
        <is>
          <t>Security</t>
        </is>
      </c>
      <c r="F9" s="13" t="inlineStr">
        <is>
          <t>EPIC-01</t>
        </is>
      </c>
      <c r="G9" s="13" t="inlineStr">
        <is>
          <t>Change own password</t>
        </is>
      </c>
      <c r="H9" s="13" t="inlineStr">
        <is>
          <t>Logged in.</t>
        </is>
      </c>
      <c r="I9" s="13" t="inlineStr">
        <is>
          <t>1. Open Settings.
2. Enter the current password and a new password with at least 8 characters, a letter and a number.
3. Save.
4. Log out and log in with the new password.</t>
        </is>
      </c>
      <c r="J9" s="13" t="inlineStr">
        <is>
          <t>New password e.g. Educheck2026</t>
        </is>
      </c>
      <c r="K9" s="13" t="inlineStr">
        <is>
          <t>Password is changed. The old password no longer works and the new one does.</t>
        </is>
      </c>
      <c r="L9" s="16" t="n"/>
      <c r="M9" s="17" t="n"/>
      <c r="N9" s="16" t="n"/>
      <c r="O9" s="18" t="n"/>
      <c r="P9" s="17" t="n"/>
      <c r="Q9" s="16" t="n"/>
    </row>
    <row r="10" ht="87" customHeight="1" s="25">
      <c r="A10" s="14" t="inlineStr">
        <is>
          <t>TC-009</t>
        </is>
      </c>
      <c r="B10" s="13" t="inlineStr">
        <is>
          <t>Account</t>
        </is>
      </c>
      <c r="C10" s="15" t="inlineStr">
        <is>
          <t>Subject Teacher</t>
        </is>
      </c>
      <c r="D10" s="15" t="inlineStr">
        <is>
          <t>Web</t>
        </is>
      </c>
      <c r="E10" s="13" t="inlineStr">
        <is>
          <t>Functional suitability</t>
        </is>
      </c>
      <c r="F10" s="13" t="inlineStr">
        <is>
          <t>EPIC-01</t>
        </is>
      </c>
      <c r="G10" s="13" t="inlineStr">
        <is>
          <t>Settings shows own profile and assignments</t>
        </is>
      </c>
      <c r="H10" s="13" t="inlineStr">
        <is>
          <t>Teacher profile and assignments exist.</t>
        </is>
      </c>
      <c r="I10" s="13" t="inlineStr">
        <is>
          <t>1. Open Settings.
2. Check Account Information and My Assignments.
3. Open the Dashboard.</t>
        </is>
      </c>
      <c r="J10" s="13" t="inlineStr">
        <is>
          <t>subject.grade6a</t>
        </is>
      </c>
      <c r="K10" s="13" t="inlineStr">
        <is>
          <t>Full name, employee no. and contact number are shown read-only, with a note to ask the Administrator for changes. My Assignments lists only this teacher's sections and subjects with the school year. The Dashboard header shows the full name.</t>
        </is>
      </c>
      <c r="L10" s="16" t="n"/>
      <c r="M10" s="17" t="n"/>
      <c r="N10" s="16" t="n"/>
      <c r="O10" s="18" t="n"/>
      <c r="P10" s="17" t="n"/>
      <c r="Q10" s="16" t="n"/>
    </row>
    <row r="11" ht="46.5" customHeight="1" s="25">
      <c r="A11" s="14" t="inlineStr">
        <is>
          <t>TC-010</t>
        </is>
      </c>
      <c r="B11" s="13" t="inlineStr">
        <is>
          <t>Account</t>
        </is>
      </c>
      <c r="C11" s="15" t="inlineStr">
        <is>
          <t>Principal</t>
        </is>
      </c>
      <c r="D11" s="15" t="inlineStr">
        <is>
          <t>Web</t>
        </is>
      </c>
      <c r="E11" s="13" t="inlineStr">
        <is>
          <t>Functional suitability</t>
        </is>
      </c>
      <c r="F11" s="13" t="inlineStr">
        <is>
          <t>L-05</t>
        </is>
      </c>
      <c r="G11" s="13" t="inlineStr">
        <is>
          <t>Account without a teacher profile</t>
        </is>
      </c>
      <c r="H11" s="13" t="inlineStr">
        <is>
          <t>Logged in as Principal or Admin.</t>
        </is>
      </c>
      <c r="I11" s="13" t="inlineStr">
        <is>
          <t>1. Open Settings.</t>
        </is>
      </c>
      <c r="J11" s="13" t="inlineStr">
        <is>
          <t>principal.educheck</t>
        </is>
      </c>
      <c r="K11" s="13" t="inlineStr">
        <is>
          <t>Username, email, role and status are shown. No name rows and no My Assignments card appear. Nothing is broken or blank.</t>
        </is>
      </c>
      <c r="L11" s="16" t="n"/>
      <c r="M11" s="17" t="n"/>
      <c r="N11" s="16" t="n"/>
      <c r="O11" s="18" t="n"/>
      <c r="P11" s="17" t="n"/>
      <c r="Q11" s="16" t="n"/>
    </row>
    <row r="12" ht="33" customHeight="1" s="25">
      <c r="A12" s="14" t="inlineStr">
        <is>
          <t>TC-011</t>
        </is>
      </c>
      <c r="B12" s="13" t="inlineStr">
        <is>
          <t>Account</t>
        </is>
      </c>
      <c r="C12" s="15" t="inlineStr">
        <is>
          <t>All</t>
        </is>
      </c>
      <c r="D12" s="15" t="inlineStr">
        <is>
          <t>Web</t>
        </is>
      </c>
      <c r="E12" s="13" t="inlineStr">
        <is>
          <t>Security</t>
        </is>
      </c>
      <c r="F12" s="13" t="inlineStr">
        <is>
          <t>EPIC-01</t>
        </is>
      </c>
      <c r="G12" s="13" t="inlineStr">
        <is>
          <t>Weak new password is rejected</t>
        </is>
      </c>
      <c r="H12" s="13" t="inlineStr">
        <is>
          <t>Logged in.</t>
        </is>
      </c>
      <c r="I12" s="13" t="inlineStr">
        <is>
          <t>1. Open Settings.
2. Try a new password with fewer than 8 characters or no number.</t>
        </is>
      </c>
      <c r="J12" s="13" t="inlineStr">
        <is>
          <t>e.g. abcdefg</t>
        </is>
      </c>
      <c r="K12" s="13" t="inlineStr">
        <is>
          <t>The change is refused with a message explaining the password rule.</t>
        </is>
      </c>
      <c r="L12" s="16" t="n"/>
      <c r="M12" s="17" t="n"/>
      <c r="N12" s="16" t="n"/>
      <c r="O12" s="18" t="n"/>
      <c r="P12" s="17" t="n"/>
      <c r="Q12" s="16" t="n"/>
    </row>
    <row r="13" ht="46.5" customHeight="1" s="25">
      <c r="A13" s="14" t="inlineStr">
        <is>
          <t>TC-012</t>
        </is>
      </c>
      <c r="B13" s="13" t="inlineStr">
        <is>
          <t>User Management</t>
        </is>
      </c>
      <c r="C13" s="15" t="inlineStr">
        <is>
          <t>Admin</t>
        </is>
      </c>
      <c r="D13" s="15" t="inlineStr">
        <is>
          <t>Web</t>
        </is>
      </c>
      <c r="E13" s="13" t="inlineStr">
        <is>
          <t>Functional suitability</t>
        </is>
      </c>
      <c r="F13" s="13" t="inlineStr">
        <is>
          <t>§6.2</t>
        </is>
      </c>
      <c r="G13" s="13" t="inlineStr">
        <is>
          <t>Create a user account</t>
        </is>
      </c>
      <c r="H13" s="13" t="inlineStr">
        <is>
          <t>Logged in as Admin.</t>
        </is>
      </c>
      <c r="I13" s="13" t="inlineStr">
        <is>
          <t>1. Open User Management.
2. Click Add User and fill in username, email, password and role.
3. Save.</t>
        </is>
      </c>
      <c r="J13" s="13" t="inlineStr">
        <is>
          <t>New test user</t>
        </is>
      </c>
      <c r="K13" s="13" t="inlineStr">
        <is>
          <t>The user appears in the list with the chosen role and Active status, and can log in.</t>
        </is>
      </c>
      <c r="L13" s="16" t="n"/>
      <c r="M13" s="17" t="n"/>
      <c r="N13" s="16" t="n"/>
      <c r="O13" s="18" t="n"/>
      <c r="P13" s="17" t="n"/>
      <c r="Q13" s="16" t="n"/>
    </row>
    <row r="14" ht="46.5" customHeight="1" s="25">
      <c r="A14" s="14" t="inlineStr">
        <is>
          <t>TC-013</t>
        </is>
      </c>
      <c r="B14" s="13" t="inlineStr">
        <is>
          <t>User Management</t>
        </is>
      </c>
      <c r="C14" s="15" t="inlineStr">
        <is>
          <t>Admin</t>
        </is>
      </c>
      <c r="D14" s="15" t="inlineStr">
        <is>
          <t>Web</t>
        </is>
      </c>
      <c r="E14" s="13" t="inlineStr">
        <is>
          <t>Functional suitability</t>
        </is>
      </c>
      <c r="F14" s="13" t="inlineStr">
        <is>
          <t>§6.2</t>
        </is>
      </c>
      <c r="G14" s="13" t="inlineStr">
        <is>
          <t>Edit a user and deactivate it</t>
        </is>
      </c>
      <c r="H14" s="13" t="inlineStr">
        <is>
          <t>A test user exists.</t>
        </is>
      </c>
      <c r="I14" s="13" t="inlineStr">
        <is>
          <t>1. Edit the user and change the role or email.
2. Set Status to Inactive and save.</t>
        </is>
      </c>
      <c r="J14" s="13" t="inlineStr">
        <is>
          <t>Test user</t>
        </is>
      </c>
      <c r="K14" s="13" t="inlineStr">
        <is>
          <t>Changes are saved and shown in the list. The inactive user can no longer log in (see TC for inactive login).</t>
        </is>
      </c>
      <c r="L14" s="16" t="n"/>
      <c r="M14" s="17" t="n"/>
      <c r="N14" s="16" t="n"/>
      <c r="O14" s="18" t="n"/>
      <c r="P14" s="17" t="n"/>
      <c r="Q14" s="16" t="n"/>
    </row>
    <row r="15" ht="46.5" customHeight="1" s="25">
      <c r="A15" s="14" t="inlineStr">
        <is>
          <t>TC-014</t>
        </is>
      </c>
      <c r="B15" s="13" t="inlineStr">
        <is>
          <t>User Management</t>
        </is>
      </c>
      <c r="C15" s="15" t="inlineStr">
        <is>
          <t>Admin</t>
        </is>
      </c>
      <c r="D15" s="15" t="inlineStr">
        <is>
          <t>Web</t>
        </is>
      </c>
      <c r="E15" s="13" t="inlineStr">
        <is>
          <t>Functional suitability</t>
        </is>
      </c>
      <c r="F15" s="13" t="inlineStr">
        <is>
          <t>L-02</t>
        </is>
      </c>
      <c r="G15" s="13" t="inlineStr">
        <is>
          <t>Admin resets a user's password</t>
        </is>
      </c>
      <c r="H15" s="13" t="inlineStr">
        <is>
          <t>A test user exists.</t>
        </is>
      </c>
      <c r="I15" s="13" t="inlineStr">
        <is>
          <t>1. Edit the user and set a new password.
2. Log in as that user with it.</t>
        </is>
      </c>
      <c r="J15" s="13" t="inlineStr">
        <is>
          <t>Test user</t>
        </is>
      </c>
      <c r="K15" s="13" t="inlineStr">
        <is>
          <t>The user can log in with the new password (this is the password-recovery path, see Known Limitations L-02).</t>
        </is>
      </c>
      <c r="L15" s="16" t="n"/>
      <c r="M15" s="17" t="n"/>
      <c r="N15" s="16" t="n"/>
      <c r="O15" s="18" t="n"/>
      <c r="P15" s="17" t="n"/>
      <c r="Q15" s="16" t="n"/>
    </row>
    <row r="16" ht="30" customHeight="1" s="25">
      <c r="A16" s="14" t="inlineStr">
        <is>
          <t>TC-015</t>
        </is>
      </c>
      <c r="B16" s="13" t="inlineStr">
        <is>
          <t>User Management</t>
        </is>
      </c>
      <c r="C16" s="15" t="inlineStr">
        <is>
          <t>Admin</t>
        </is>
      </c>
      <c r="D16" s="15" t="inlineStr">
        <is>
          <t>Web</t>
        </is>
      </c>
      <c r="E16" s="13" t="inlineStr">
        <is>
          <t>Usability</t>
        </is>
      </c>
      <c r="F16" s="13" t="inlineStr">
        <is>
          <t>§6.2</t>
        </is>
      </c>
      <c r="G16" s="13" t="inlineStr">
        <is>
          <t>Search users</t>
        </is>
      </c>
      <c r="H16" s="13" t="inlineStr">
        <is>
          <t>Several users exist.</t>
        </is>
      </c>
      <c r="I16" s="13" t="inlineStr">
        <is>
          <t>1. Type part of a username in the search box.</t>
        </is>
      </c>
      <c r="J16" s="13" t="inlineStr">
        <is>
          <t>e.g. grade6</t>
        </is>
      </c>
      <c r="K16" s="13" t="inlineStr">
        <is>
          <t>Only matching users are listed.</t>
        </is>
      </c>
      <c r="L16" s="16" t="n"/>
      <c r="M16" s="17" t="n"/>
      <c r="N16" s="16" t="n"/>
      <c r="O16" s="18" t="n"/>
      <c r="P16" s="17" t="n"/>
      <c r="Q16" s="16" t="n"/>
    </row>
    <row r="17" ht="46.5" customHeight="1" s="25">
      <c r="A17" s="14" t="inlineStr">
        <is>
          <t>TC-016</t>
        </is>
      </c>
      <c r="B17" s="13" t="inlineStr">
        <is>
          <t>Teacher Management</t>
        </is>
      </c>
      <c r="C17" s="15" t="inlineStr">
        <is>
          <t>Admin</t>
        </is>
      </c>
      <c r="D17" s="15" t="inlineStr">
        <is>
          <t>Web</t>
        </is>
      </c>
      <c r="E17" s="13" t="inlineStr">
        <is>
          <t>Functional suitability</t>
        </is>
      </c>
      <c r="F17" s="13" t="inlineStr">
        <is>
          <t>§6.2</t>
        </is>
      </c>
      <c r="G17" s="13" t="inlineStr">
        <is>
          <t>Add and edit a teacher profile</t>
        </is>
      </c>
      <c r="H17" s="13" t="inlineStr">
        <is>
          <t>Logged in as Admin.</t>
        </is>
      </c>
      <c r="I17" s="13" t="inlineStr">
        <is>
          <t>1. Open Teacher Management.
2. Add a teacher linked to a user account.
3. Edit the teacher's details.</t>
        </is>
      </c>
      <c r="J17" s="13" t="inlineStr">
        <is>
          <t>Test teacher</t>
        </is>
      </c>
      <c r="K17" s="13" t="inlineStr">
        <is>
          <t>The teacher is saved and the changes appear in the list.</t>
        </is>
      </c>
      <c r="L17" s="16" t="n"/>
      <c r="M17" s="17" t="n"/>
      <c r="N17" s="16" t="n"/>
      <c r="O17" s="18" t="n"/>
      <c r="P17" s="17" t="n"/>
      <c r="Q17" s="16" t="n"/>
    </row>
    <row r="18" ht="46.5" customHeight="1" s="25">
      <c r="A18" s="14" t="inlineStr">
        <is>
          <t>TC-017</t>
        </is>
      </c>
      <c r="B18" s="13" t="inlineStr">
        <is>
          <t>Section &amp; Assignments</t>
        </is>
      </c>
      <c r="C18" s="15" t="inlineStr">
        <is>
          <t>Admin</t>
        </is>
      </c>
      <c r="D18" s="15" t="inlineStr">
        <is>
          <t>Web</t>
        </is>
      </c>
      <c r="E18" s="13" t="inlineStr">
        <is>
          <t>Functional suitability</t>
        </is>
      </c>
      <c r="F18" s="13" t="inlineStr">
        <is>
          <t>§6.2, US-009</t>
        </is>
      </c>
      <c r="G18" s="13" t="inlineStr">
        <is>
          <t>Assign a Subject Teacher to a subject and section</t>
        </is>
      </c>
      <c r="H18" s="13" t="inlineStr">
        <is>
          <t>A section, a Subject Teacher and the subject exist.</t>
        </is>
      </c>
      <c r="I18" s="13" t="inlineStr">
        <is>
          <t>1. Open Section &amp; Teacher Assignments.
2. Assign the teacher to a subject for a section of the same grade level.</t>
        </is>
      </c>
      <c r="J18" s="13" t="inlineStr">
        <is>
          <t>e.g. Grade 6 English to Rizal</t>
        </is>
      </c>
      <c r="K18" s="13" t="inlineStr">
        <is>
          <t>The assignment is saved. The teacher now sees that subject and section on the upload page.</t>
        </is>
      </c>
      <c r="L18" s="16" t="n"/>
      <c r="M18" s="17" t="n"/>
      <c r="N18" s="16" t="n"/>
      <c r="O18" s="18" t="n"/>
      <c r="P18" s="17" t="n"/>
      <c r="Q18" s="16" t="n"/>
    </row>
    <row r="19" ht="33" customHeight="1" s="25">
      <c r="A19" s="14" t="inlineStr">
        <is>
          <t>TC-018</t>
        </is>
      </c>
      <c r="B19" s="13" t="inlineStr">
        <is>
          <t>Section &amp; Assignments</t>
        </is>
      </c>
      <c r="C19" s="15" t="inlineStr">
        <is>
          <t>Admin</t>
        </is>
      </c>
      <c r="D19" s="15" t="inlineStr">
        <is>
          <t>Web</t>
        </is>
      </c>
      <c r="E19" s="13" t="inlineStr">
        <is>
          <t>Functional suitability</t>
        </is>
      </c>
      <c r="F19" s="13" t="inlineStr">
        <is>
          <t>§6.2, US-009</t>
        </is>
      </c>
      <c r="G19" s="13" t="inlineStr">
        <is>
          <t>Grade-level mismatch is rejected</t>
        </is>
      </c>
      <c r="H19" s="13" t="inlineStr">
        <is>
          <t>Logged in as Admin.</t>
        </is>
      </c>
      <c r="I19" s="13" t="inlineStr">
        <is>
          <t>1. Try to assign a Grade 3 subject to a Grade 6 section.</t>
        </is>
      </c>
      <c r="J19" s="13" t="inlineStr">
        <is>
          <t>Grade 3 subject, Rizal (Grade 6)</t>
        </is>
      </c>
      <c r="K19" s="13" t="inlineStr">
        <is>
          <t>The assignment is refused with a message that the grade levels do not match.</t>
        </is>
      </c>
      <c r="L19" s="16" t="n"/>
      <c r="M19" s="17" t="n"/>
      <c r="N19" s="16" t="n"/>
      <c r="O19" s="18" t="n"/>
      <c r="P19" s="17" t="n"/>
      <c r="Q19" s="16" t="n"/>
    </row>
    <row r="20" ht="60" customHeight="1" s="25">
      <c r="A20" s="14" t="inlineStr">
        <is>
          <t>TC-019</t>
        </is>
      </c>
      <c r="B20" s="13" t="inlineStr">
        <is>
          <t>Section &amp; Assignments</t>
        </is>
      </c>
      <c r="C20" s="15" t="inlineStr">
        <is>
          <t>Admin</t>
        </is>
      </c>
      <c r="D20" s="15" t="inlineStr">
        <is>
          <t>Web</t>
        </is>
      </c>
      <c r="E20" s="13" t="inlineStr">
        <is>
          <t>Security</t>
        </is>
      </c>
      <c r="F20" s="13" t="inlineStr">
        <is>
          <t>§6.2</t>
        </is>
      </c>
      <c r="G20" s="13" t="inlineStr">
        <is>
          <t>Subject Teacher account cannot be Class Adviser</t>
        </is>
      </c>
      <c r="H20" s="13" t="inlineStr">
        <is>
          <t>A section without a Class Adviser.</t>
        </is>
      </c>
      <c r="I20" s="13" t="inlineStr">
        <is>
          <t>1. Choose a teacher with a Subject Teacher account.
2. Leave Subject blank (Class Adviser) and save.</t>
        </is>
      </c>
      <c r="J20" s="13" t="inlineStr">
        <is>
          <t>subject.grade6a</t>
        </is>
      </c>
      <c r="K20" s="13" t="inlineStr">
        <is>
          <t>The assignment is refused with a message that only an Adviser account can be Class Adviser. The section's Adviser slot stays free.</t>
        </is>
      </c>
      <c r="L20" s="16" t="n"/>
      <c r="M20" s="17" t="n"/>
      <c r="N20" s="16" t="n"/>
      <c r="O20" s="18" t="n"/>
      <c r="P20" s="17" t="n"/>
      <c r="Q20" s="16" t="n"/>
    </row>
    <row r="21" ht="46.5" customHeight="1" s="25">
      <c r="A21" s="14" t="inlineStr">
        <is>
          <t>TC-020</t>
        </is>
      </c>
      <c r="B21" s="13" t="inlineStr">
        <is>
          <t>Section &amp; Assignments</t>
        </is>
      </c>
      <c r="C21" s="15" t="inlineStr">
        <is>
          <t>Admin</t>
        </is>
      </c>
      <c r="D21" s="15" t="inlineStr">
        <is>
          <t>Web</t>
        </is>
      </c>
      <c r="E21" s="13" t="inlineStr">
        <is>
          <t>Functional suitability</t>
        </is>
      </c>
      <c r="F21" s="13" t="inlineStr">
        <is>
          <t>§6.2</t>
        </is>
      </c>
      <c r="G21" s="13" t="inlineStr">
        <is>
          <t>Set section staffing mode</t>
        </is>
      </c>
      <c r="H21" s="13" t="inlineStr">
        <is>
          <t>A section exists.</t>
        </is>
      </c>
      <c r="I21" s="13" t="inlineStr">
        <is>
          <t>1. Set a section to Self-Contained, then to Departmentalized.</t>
        </is>
      </c>
      <c r="J21" s="13" t="inlineStr">
        <is>
          <t>Mabini or Rizal</t>
        </is>
      </c>
      <c r="K21" s="13" t="inlineStr">
        <is>
          <t>Self-Contained: the Adviser sees the upload page. Departmentalized: the Adviser's upload menu is hidden.</t>
        </is>
      </c>
      <c r="L21" s="16" t="n"/>
      <c r="M21" s="17" t="n"/>
      <c r="N21" s="16" t="n"/>
      <c r="O21" s="18" t="n"/>
      <c r="P21" s="17" t="n"/>
      <c r="Q21" s="16" t="n"/>
    </row>
    <row r="22" ht="46.5" customHeight="1" s="25">
      <c r="A22" s="14" t="inlineStr">
        <is>
          <t>TC-021</t>
        </is>
      </c>
      <c r="B22" s="13" t="inlineStr">
        <is>
          <t>Audit Log</t>
        </is>
      </c>
      <c r="C22" s="15" t="inlineStr">
        <is>
          <t>Admin</t>
        </is>
      </c>
      <c r="D22" s="15" t="inlineStr">
        <is>
          <t>Web</t>
        </is>
      </c>
      <c r="E22" s="13" t="inlineStr">
        <is>
          <t>Functional suitability</t>
        </is>
      </c>
      <c r="F22" s="13" t="inlineStr">
        <is>
          <t>EPIC-07</t>
        </is>
      </c>
      <c r="G22" s="13" t="inlineStr">
        <is>
          <t>Actions are recorded in the audit log</t>
        </is>
      </c>
      <c r="H22" s="13" t="inlineStr">
        <is>
          <t>Logged in as Admin. Some uploads, approvals or edits were done.</t>
        </is>
      </c>
      <c r="I22" s="13" t="inlineStr">
        <is>
          <t>1. Open Audit Log.
2. Filter or search for a recent action.</t>
        </is>
      </c>
      <c r="J22" s="13" t="inlineStr">
        <is>
          <t>-</t>
        </is>
      </c>
      <c r="K22" s="13" t="inlineStr">
        <is>
          <t>Each action shows who did it, what was done and when.</t>
        </is>
      </c>
      <c r="L22" s="16" t="n"/>
      <c r="M22" s="17" t="n"/>
      <c r="N22" s="16" t="n"/>
      <c r="O22" s="18" t="n"/>
      <c r="P22" s="17" t="n"/>
      <c r="Q22" s="16" t="n"/>
    </row>
    <row r="23" ht="46.5" customHeight="1" s="25">
      <c r="A23" s="14" t="inlineStr">
        <is>
          <t>TC-022</t>
        </is>
      </c>
      <c r="B23" s="13" t="inlineStr">
        <is>
          <t>Upload</t>
        </is>
      </c>
      <c r="C23" s="15" t="inlineStr">
        <is>
          <t>Subject Teacher</t>
        </is>
      </c>
      <c r="D23" s="15" t="inlineStr">
        <is>
          <t>Web</t>
        </is>
      </c>
      <c r="E23" s="13" t="inlineStr">
        <is>
          <t>Functional suitability</t>
        </is>
      </c>
      <c r="F23" s="13" t="inlineStr">
        <is>
          <t>EPIC-02, US-002</t>
        </is>
      </c>
      <c r="G23" s="13" t="inlineStr">
        <is>
          <t>Upload a valid e-class record</t>
        </is>
      </c>
      <c r="H23" s="13" t="inlineStr">
        <is>
          <t>Teacher is assigned to the subject and section.</t>
        </is>
      </c>
      <c r="I23" s="13" t="inlineStr">
        <is>
          <t>1. Open Upload e-Class Record.
2. Select the subject, section and school year.
3. Choose the Excel file and upload.</t>
        </is>
      </c>
      <c r="J23" s="13" t="inlineStr">
        <is>
          <t>UAT-files/TC-022_valid-ecr-rizal.xlsx</t>
        </is>
      </c>
      <c r="K23" s="13" t="inlineStr">
        <is>
          <t>Upload succeeds. The record shows as Validated with 0 errors and appears in the teacher's upload list.</t>
        </is>
      </c>
      <c r="L23" s="16" t="n"/>
      <c r="M23" s="17" t="n"/>
      <c r="N23" s="16" t="n"/>
      <c r="O23" s="18" t="n"/>
      <c r="P23" s="17" t="n"/>
      <c r="Q23" s="16" t="n"/>
    </row>
    <row r="24" ht="33" customHeight="1" s="25">
      <c r="A24" s="14" t="inlineStr">
        <is>
          <t>TC-023</t>
        </is>
      </c>
      <c r="B24" s="13" t="inlineStr">
        <is>
          <t>Upload</t>
        </is>
      </c>
      <c r="C24" s="15" t="inlineStr">
        <is>
          <t>Subject Teacher</t>
        </is>
      </c>
      <c r="D24" s="15" t="inlineStr">
        <is>
          <t>Web</t>
        </is>
      </c>
      <c r="E24" s="13" t="inlineStr">
        <is>
          <t>Functional suitability</t>
        </is>
      </c>
      <c r="F24" s="13" t="inlineStr">
        <is>
          <t>EPIC-02, US-002</t>
        </is>
      </c>
      <c r="G24" s="13" t="inlineStr">
        <is>
          <t>Only assigned subjects and sections are offered</t>
        </is>
      </c>
      <c r="H24" s="13" t="inlineStr">
        <is>
          <t>Teacher has at least one assignment.</t>
        </is>
      </c>
      <c r="I24" s="13" t="inlineStr">
        <is>
          <t>1. Open the upload page and look at the subject and section choices.</t>
        </is>
      </c>
      <c r="J24" s="13" t="inlineStr">
        <is>
          <t>-</t>
        </is>
      </c>
      <c r="K24" s="13" t="inlineStr">
        <is>
          <t>Only the teacher's own assigned subject/section pairs are listed.</t>
        </is>
      </c>
      <c r="L24" s="16" t="n"/>
      <c r="M24" s="17" t="n"/>
      <c r="N24" s="16" t="n"/>
      <c r="O24" s="18" t="n"/>
      <c r="P24" s="17" t="n"/>
      <c r="Q24" s="16" t="n"/>
    </row>
    <row r="25" ht="33" customHeight="1" s="25">
      <c r="A25" s="14" t="inlineStr">
        <is>
          <t>TC-024</t>
        </is>
      </c>
      <c r="B25" s="13" t="inlineStr">
        <is>
          <t>Upload</t>
        </is>
      </c>
      <c r="C25" s="15" t="inlineStr">
        <is>
          <t>Subject Teacher</t>
        </is>
      </c>
      <c r="D25" s="15" t="inlineStr">
        <is>
          <t>Web</t>
        </is>
      </c>
      <c r="E25" s="13" t="inlineStr">
        <is>
          <t>Security</t>
        </is>
      </c>
      <c r="F25" s="13" t="inlineStr">
        <is>
          <t>EPIC-02</t>
        </is>
      </c>
      <c r="G25" s="13" t="inlineStr">
        <is>
          <t>Non-Excel file is rejected</t>
        </is>
      </c>
      <c r="H25" s="13" t="inlineStr">
        <is>
          <t>Logged in as Subject Teacher.</t>
        </is>
      </c>
      <c r="I25" s="13" t="inlineStr">
        <is>
          <t>1. Try to upload a .pdf or .txt file.</t>
        </is>
      </c>
      <c r="J25" s="13" t="inlineStr">
        <is>
          <t>UAT-files/TC-024_not-excel.txt</t>
        </is>
      </c>
      <c r="K25" s="13" t="inlineStr">
        <is>
          <t>The upload is refused with a message that only Excel files are accepted.</t>
        </is>
      </c>
      <c r="L25" s="16" t="n"/>
      <c r="M25" s="17" t="n"/>
      <c r="N25" s="16" t="n"/>
      <c r="O25" s="18" t="n"/>
      <c r="P25" s="17" t="n"/>
      <c r="Q25" s="16" t="n"/>
    </row>
    <row r="26" ht="33" customHeight="1" s="25">
      <c r="A26" s="14" t="inlineStr">
        <is>
          <t>TC-025</t>
        </is>
      </c>
      <c r="B26" s="13" t="inlineStr">
        <is>
          <t>Upload</t>
        </is>
      </c>
      <c r="C26" s="15" t="inlineStr">
        <is>
          <t>Subject Teacher</t>
        </is>
      </c>
      <c r="D26" s="15" t="inlineStr">
        <is>
          <t>Web</t>
        </is>
      </c>
      <c r="E26" s="13" t="inlineStr">
        <is>
          <t>Security</t>
        </is>
      </c>
      <c r="F26" s="13" t="inlineStr">
        <is>
          <t>D-06</t>
        </is>
      </c>
      <c r="G26" s="13" t="inlineStr">
        <is>
          <t>File over 10 MB is rejected</t>
        </is>
      </c>
      <c r="H26" s="13" t="inlineStr">
        <is>
          <t>Logged in as Subject Teacher.</t>
        </is>
      </c>
      <c r="I26" s="13" t="inlineStr">
        <is>
          <t>1. Try to upload an .xlsx file larger than 10 MB.</t>
        </is>
      </c>
      <c r="J26" s="13" t="inlineStr">
        <is>
          <t>UAT-files/TC-025_oversized-11MB.xlsx</t>
        </is>
      </c>
      <c r="K26" s="13" t="inlineStr">
        <is>
          <t>The upload is refused with "The file is larger than 10 MB..."</t>
        </is>
      </c>
      <c r="L26" s="16" t="n"/>
      <c r="M26" s="17" t="n"/>
      <c r="N26" s="16" t="n"/>
      <c r="O26" s="18" t="n"/>
      <c r="P26" s="17" t="n"/>
      <c r="Q26" s="16" t="n"/>
    </row>
    <row r="27" ht="46.5" customHeight="1" s="25">
      <c r="A27" s="14" t="inlineStr">
        <is>
          <t>TC-026</t>
        </is>
      </c>
      <c r="B27" s="13" t="inlineStr">
        <is>
          <t>Upload</t>
        </is>
      </c>
      <c r="C27" s="15" t="inlineStr">
        <is>
          <t>Subject Teacher</t>
        </is>
      </c>
      <c r="D27" s="15" t="inlineStr">
        <is>
          <t>Web</t>
        </is>
      </c>
      <c r="E27" s="13" t="inlineStr">
        <is>
          <t>Functional suitability</t>
        </is>
      </c>
      <c r="F27" s="13" t="inlineStr">
        <is>
          <t>EPIC-02/03</t>
        </is>
      </c>
      <c r="G27" s="13" t="inlineStr">
        <is>
          <t>Wrong-section roster is rejected</t>
        </is>
      </c>
      <c r="H27" s="13" t="inlineStr">
        <is>
          <t>The section already has a roster from an earlier upload.</t>
        </is>
      </c>
      <c r="I27" s="13" t="inlineStr">
        <is>
          <t>1. Upload a file whose learners belong to a different section.</t>
        </is>
      </c>
      <c r="J27" s="13" t="inlineStr">
        <is>
          <t>UAT-files/TC-026_ecr-other-section.xlsx (Mabini learners), uploaded to Rizal</t>
        </is>
      </c>
      <c r="K27" s="13" t="inlineStr">
        <is>
          <t>The upload is refused with a message that the learners do not match the section's roster.</t>
        </is>
      </c>
      <c r="L27" s="16" t="n"/>
      <c r="M27" s="17" t="n"/>
      <c r="N27" s="16" t="n"/>
      <c r="O27" s="18" t="n"/>
      <c r="P27" s="17" t="n"/>
      <c r="Q27" s="16" t="n"/>
    </row>
    <row r="28" ht="60" customHeight="1" s="25">
      <c r="A28" s="14" t="inlineStr">
        <is>
          <t>TC-027</t>
        </is>
      </c>
      <c r="B28" s="13" t="inlineStr">
        <is>
          <t>Validation</t>
        </is>
      </c>
      <c r="C28" s="15" t="inlineStr">
        <is>
          <t>Subject Teacher</t>
        </is>
      </c>
      <c r="D28" s="15" t="inlineStr">
        <is>
          <t>Web</t>
        </is>
      </c>
      <c r="E28" s="13" t="inlineStr">
        <is>
          <t>Functional suitability</t>
        </is>
      </c>
      <c r="F28" s="13" t="inlineStr">
        <is>
          <t>EPIC-04, US-004</t>
        </is>
      </c>
      <c r="G28" s="13" t="inlineStr">
        <is>
          <t>Validation errors are listed per learner</t>
        </is>
      </c>
      <c r="H28" s="13" t="inlineStr">
        <is>
          <t>A file with grade errors (e.g. a final grade that does not match the terms).</t>
        </is>
      </c>
      <c r="I28" s="13" t="inlineStr">
        <is>
          <t>1. Upload the file.
2. Open its Validation Results.</t>
        </is>
      </c>
      <c r="J28" s="13" t="inlineStr">
        <is>
          <t>UAT-files/TC-027_ecr-with-errors.xlsx (3 scores above the highest possible score)</t>
        </is>
      </c>
      <c r="K28" s="13" t="inlineStr">
        <is>
          <t>Status is Needs Attention. Each issue lists the learner, term, rule and a readable message, with errors and warnings told apart.</t>
        </is>
      </c>
      <c r="L28" s="16" t="n"/>
      <c r="M28" s="17" t="n"/>
      <c r="N28" s="16" t="n"/>
      <c r="O28" s="18" t="n"/>
      <c r="P28" s="17" t="n"/>
      <c r="Q28" s="16" t="n"/>
    </row>
    <row r="29" ht="33" customHeight="1" s="25">
      <c r="A29" s="14" t="inlineStr">
        <is>
          <t>TC-028</t>
        </is>
      </c>
      <c r="B29" s="13" t="inlineStr">
        <is>
          <t>Validation</t>
        </is>
      </c>
      <c r="C29" s="15" t="inlineStr">
        <is>
          <t>Subject Teacher</t>
        </is>
      </c>
      <c r="D29" s="15" t="inlineStr">
        <is>
          <t>Web</t>
        </is>
      </c>
      <c r="E29" s="13" t="inlineStr">
        <is>
          <t>Functional suitability</t>
        </is>
      </c>
      <c r="F29" s="13" t="inlineStr">
        <is>
          <t>EPIC-04, D-02</t>
        </is>
      </c>
      <c r="G29" s="13" t="inlineStr">
        <is>
          <t>Correct by re-upload</t>
        </is>
      </c>
      <c r="H29" s="13" t="inlineStr">
        <is>
          <t>A record is in Needs Attention.</t>
        </is>
      </c>
      <c r="I29" s="13" t="inlineStr">
        <is>
          <t>1. Fix the errors in Excel.
2. Upload the corrected file for the same subject and section.</t>
        </is>
      </c>
      <c r="J29" s="13" t="inlineStr">
        <is>
          <t>UAT-files/TC-022_valid-ecr-rizal.xlsx (the corrected version of the TC-027 file)</t>
        </is>
      </c>
      <c r="K29" s="13" t="inlineStr">
        <is>
          <t>The new upload is Validated and replaces the earlier grades for that subject.</t>
        </is>
      </c>
      <c r="L29" s="16" t="n"/>
      <c r="M29" s="17" t="n"/>
      <c r="N29" s="16" t="n"/>
      <c r="O29" s="18" t="n"/>
      <c r="P29" s="17" t="n"/>
      <c r="Q29" s="16" t="n"/>
    </row>
    <row r="30" ht="46.5" customHeight="1" s="25">
      <c r="A30" s="14" t="inlineStr">
        <is>
          <t>TC-029</t>
        </is>
      </c>
      <c r="B30" s="13" t="inlineStr">
        <is>
          <t>Validation</t>
        </is>
      </c>
      <c r="C30" s="15" t="inlineStr">
        <is>
          <t>Admin</t>
        </is>
      </c>
      <c r="D30" s="15" t="inlineStr">
        <is>
          <t>Web</t>
        </is>
      </c>
      <c r="E30" s="13" t="inlineStr">
        <is>
          <t>Functional suitability</t>
        </is>
      </c>
      <c r="F30" s="13" t="inlineStr">
        <is>
          <t>D-01</t>
        </is>
      </c>
      <c r="G30" s="13" t="inlineStr">
        <is>
          <t>Validation rules are read-only</t>
        </is>
      </c>
      <c r="H30" s="13" t="inlineStr">
        <is>
          <t>Logged in as Admin.</t>
        </is>
      </c>
      <c r="I30" s="13" t="inlineStr">
        <is>
          <t>1. Open Settings and find the validation rules card.</t>
        </is>
      </c>
      <c r="J30" s="13" t="inlineStr">
        <is>
          <t>-</t>
        </is>
      </c>
      <c r="K30" s="13" t="inlineStr">
        <is>
          <t>The DepEd rules are listed for reference. There is no way to edit or switch them off.</t>
        </is>
      </c>
      <c r="L30" s="16" t="n"/>
      <c r="M30" s="17" t="n"/>
      <c r="N30" s="16" t="n"/>
      <c r="O30" s="18" t="n"/>
      <c r="P30" s="17" t="n"/>
      <c r="Q30" s="16" t="n"/>
    </row>
    <row r="31" ht="33" customHeight="1" s="25">
      <c r="A31" s="14" t="inlineStr">
        <is>
          <t>TC-030</t>
        </is>
      </c>
      <c r="B31" s="13" t="inlineStr">
        <is>
          <t>Upload</t>
        </is>
      </c>
      <c r="C31" s="15" t="inlineStr">
        <is>
          <t>Adviser</t>
        </is>
      </c>
      <c r="D31" s="15" t="inlineStr">
        <is>
          <t>Web</t>
        </is>
      </c>
      <c r="E31" s="13" t="inlineStr">
        <is>
          <t>Functional suitability</t>
        </is>
      </c>
      <c r="F31" s="13" t="inlineStr">
        <is>
          <t>US-011</t>
        </is>
      </c>
      <c r="G31" s="13" t="inlineStr">
        <is>
          <t>Self-Contained Adviser can upload</t>
        </is>
      </c>
      <c r="H31" s="13" t="inlineStr">
        <is>
          <t>Adviser of a Self-Contained section.</t>
        </is>
      </c>
      <c r="I31" s="13" t="inlineStr">
        <is>
          <t>1. Open Upload Files.
2. Upload a record for a subject in the advisory section.</t>
        </is>
      </c>
      <c r="J31" s="13" t="inlineStr">
        <is>
          <t>adviser.grade6a, Rizal, UAT-files/TC-022_valid-ecr-rizal.xlsx</t>
        </is>
      </c>
      <c r="K31" s="13" t="inlineStr">
        <is>
          <t>Upload succeeds as for a Subject Teacher.</t>
        </is>
      </c>
      <c r="L31" s="16" t="n"/>
      <c r="M31" s="17" t="n"/>
      <c r="N31" s="16" t="n"/>
      <c r="O31" s="18" t="n"/>
      <c r="P31" s="17" t="n"/>
      <c r="Q31" s="16" t="n"/>
    </row>
    <row r="32" ht="46.5" customHeight="1" s="25">
      <c r="A32" s="14" t="inlineStr">
        <is>
          <t>TC-031</t>
        </is>
      </c>
      <c r="B32" s="13" t="inlineStr">
        <is>
          <t>Consolidation</t>
        </is>
      </c>
      <c r="C32" s="15" t="inlineStr">
        <is>
          <t>Adviser</t>
        </is>
      </c>
      <c r="D32" s="15" t="inlineStr">
        <is>
          <t>Web</t>
        </is>
      </c>
      <c r="E32" s="13" t="inlineStr">
        <is>
          <t>Functional suitability</t>
        </is>
      </c>
      <c r="F32" s="13" t="inlineStr">
        <is>
          <t>EPIC-03, US-008</t>
        </is>
      </c>
      <c r="G32" s="13" t="inlineStr">
        <is>
          <t>View own section's consolidated records</t>
        </is>
      </c>
      <c r="H32" s="13" t="inlineStr">
        <is>
          <t>Uploads exist for the section.</t>
        </is>
      </c>
      <c r="I32" s="13" t="inlineStr">
        <is>
          <t>1. Open Consolidated Records.</t>
        </is>
      </c>
      <c r="J32" s="13" t="inlineStr">
        <is>
          <t>adviser.grade6a</t>
        </is>
      </c>
      <c r="K32" s="13" t="inlineStr">
        <is>
          <t>Only learners of the Adviser's own section are listed, each with a subject count such as 8/8.</t>
        </is>
      </c>
      <c r="L32" s="16" t="n"/>
      <c r="M32" s="17" t="n"/>
      <c r="N32" s="16" t="n"/>
      <c r="O32" s="18" t="n"/>
      <c r="P32" s="17" t="n"/>
      <c r="Q32" s="16" t="n"/>
    </row>
    <row r="33" ht="33" customHeight="1" s="25">
      <c r="A33" s="14" t="inlineStr">
        <is>
          <t>TC-032</t>
        </is>
      </c>
      <c r="B33" s="13" t="inlineStr">
        <is>
          <t>Consolidation</t>
        </is>
      </c>
      <c r="C33" s="15" t="inlineStr">
        <is>
          <t>Adviser</t>
        </is>
      </c>
      <c r="D33" s="15" t="inlineStr">
        <is>
          <t>Web</t>
        </is>
      </c>
      <c r="E33" s="13" t="inlineStr">
        <is>
          <t>Security</t>
        </is>
      </c>
      <c r="F33" s="13" t="inlineStr">
        <is>
          <t>§6.2, US-008</t>
        </is>
      </c>
      <c r="G33" s="13" t="inlineStr">
        <is>
          <t>Adviser cannot see another section</t>
        </is>
      </c>
      <c r="H33" s="13" t="inlineStr">
        <is>
          <t>A second section exists.</t>
        </is>
      </c>
      <c r="I33" s="13" t="inlineStr">
        <is>
          <t>1. Look through Consolidated Records, Section Progress and Analytics for another section's learners.</t>
        </is>
      </c>
      <c r="J33" s="13" t="inlineStr">
        <is>
          <t>-</t>
        </is>
      </c>
      <c r="K33" s="13" t="inlineStr">
        <is>
          <t>No learners or grades from other sections are shown anywhere.</t>
        </is>
      </c>
      <c r="L33" s="16" t="n"/>
      <c r="M33" s="17" t="n"/>
      <c r="N33" s="16" t="n"/>
      <c r="O33" s="18" t="n"/>
      <c r="P33" s="17" t="n"/>
      <c r="Q33" s="16" t="n"/>
    </row>
    <row r="34" ht="46.5" customHeight="1" s="25">
      <c r="A34" s="14" t="inlineStr">
        <is>
          <t>TC-033</t>
        </is>
      </c>
      <c r="B34" s="13" t="inlineStr">
        <is>
          <t>Consolidation</t>
        </is>
      </c>
      <c r="C34" s="15" t="inlineStr">
        <is>
          <t>Adviser</t>
        </is>
      </c>
      <c r="D34" s="15" t="inlineStr">
        <is>
          <t>Web</t>
        </is>
      </c>
      <c r="E34" s="13" t="inlineStr">
        <is>
          <t>Functional suitability</t>
        </is>
      </c>
      <c r="F34" s="13" t="inlineStr">
        <is>
          <t>EPIC-06, US-006</t>
        </is>
      </c>
      <c r="G34" s="13" t="inlineStr">
        <is>
          <t>Return a subject to its teacher</t>
        </is>
      </c>
      <c r="H34" s="13" t="inlineStr">
        <is>
          <t>A learner record has a subject with a problem.</t>
        </is>
      </c>
      <c r="I34" s="13" t="inlineStr">
        <is>
          <t>1. Open the learner's record.
2. Return the subject to the teacher with a reason.</t>
        </is>
      </c>
      <c r="J34" s="13" t="inlineStr">
        <is>
          <t>Reason text</t>
        </is>
      </c>
      <c r="K34" s="13" t="inlineStr">
        <is>
          <t>Subject status becomes Needs Revision. The Subject Teacher gets a notification with the reason.</t>
        </is>
      </c>
      <c r="L34" s="16" t="n"/>
      <c r="M34" s="17" t="n"/>
      <c r="N34" s="16" t="n"/>
      <c r="O34" s="18" t="n"/>
      <c r="P34" s="17" t="n"/>
      <c r="Q34" s="16" t="n"/>
    </row>
    <row r="35" ht="33" customHeight="1" s="25">
      <c r="A35" s="14" t="inlineStr">
        <is>
          <t>TC-034</t>
        </is>
      </c>
      <c r="B35" s="13" t="inlineStr">
        <is>
          <t>Consolidation</t>
        </is>
      </c>
      <c r="C35" s="15" t="inlineStr">
        <is>
          <t>Adviser</t>
        </is>
      </c>
      <c r="D35" s="15" t="inlineStr">
        <is>
          <t>Web</t>
        </is>
      </c>
      <c r="E35" s="13" t="inlineStr">
        <is>
          <t>Functional suitability</t>
        </is>
      </c>
      <c r="F35" s="13" t="inlineStr">
        <is>
          <t>EPIC-06</t>
        </is>
      </c>
      <c r="G35" s="13" t="inlineStr">
        <is>
          <t>Returning without a reason is refused</t>
        </is>
      </c>
      <c r="H35" s="13" t="inlineStr">
        <is>
          <t>A learner record is open.</t>
        </is>
      </c>
      <c r="I35" s="13" t="inlineStr">
        <is>
          <t>1. Try to return a subject with an empty reason.</t>
        </is>
      </c>
      <c r="J35" s="13" t="inlineStr">
        <is>
          <t>Empty reason</t>
        </is>
      </c>
      <c r="K35" s="13" t="inlineStr">
        <is>
          <t>The return is refused and the user is asked for a reason.</t>
        </is>
      </c>
      <c r="L35" s="16" t="n"/>
      <c r="M35" s="17" t="n"/>
      <c r="N35" s="16" t="n"/>
      <c r="O35" s="18" t="n"/>
      <c r="P35" s="17" t="n"/>
      <c r="Q35" s="16" t="n"/>
    </row>
    <row r="36" ht="46.5" customHeight="1" s="25">
      <c r="A36" s="14" t="inlineStr">
        <is>
          <t>TC-035</t>
        </is>
      </c>
      <c r="B36" s="13" t="inlineStr">
        <is>
          <t>Submission</t>
        </is>
      </c>
      <c r="C36" s="15" t="inlineStr">
        <is>
          <t>Adviser</t>
        </is>
      </c>
      <c r="D36" s="15" t="inlineStr">
        <is>
          <t>Web</t>
        </is>
      </c>
      <c r="E36" s="13" t="inlineStr">
        <is>
          <t>Functional suitability</t>
        </is>
      </c>
      <c r="F36" s="13" t="inlineStr">
        <is>
          <t>EPIC-06, US-006</t>
        </is>
      </c>
      <c r="G36" s="13" t="inlineStr">
        <is>
          <t>Submit a complete record for approval</t>
        </is>
      </c>
      <c r="H36" s="13" t="inlineStr">
        <is>
          <t>Learner has a grade for every expected subject and none is Needs Revision.</t>
        </is>
      </c>
      <c r="I36" s="13" t="inlineStr">
        <is>
          <t>1. Open the learner's record.
2. Click Submit for approval and confirm.</t>
        </is>
      </c>
      <c r="J36" s="13" t="inlineStr">
        <is>
          <t>A complete learner</t>
        </is>
      </c>
      <c r="K36" s="13" t="inlineStr">
        <is>
          <t>Status becomes Pending Approval. The Admin is notified.</t>
        </is>
      </c>
      <c r="L36" s="16" t="n"/>
      <c r="M36" s="17" t="n"/>
      <c r="N36" s="16" t="n"/>
      <c r="O36" s="18" t="n"/>
      <c r="P36" s="17" t="n"/>
      <c r="Q36" s="16" t="n"/>
    </row>
    <row r="37" ht="33" customHeight="1" s="25">
      <c r="A37" s="14" t="inlineStr">
        <is>
          <t>TC-036</t>
        </is>
      </c>
      <c r="B37" s="13" t="inlineStr">
        <is>
          <t>Submission</t>
        </is>
      </c>
      <c r="C37" s="15" t="inlineStr">
        <is>
          <t>Adviser</t>
        </is>
      </c>
      <c r="D37" s="15" t="inlineStr">
        <is>
          <t>Web</t>
        </is>
      </c>
      <c r="E37" s="13" t="inlineStr">
        <is>
          <t>Functional suitability</t>
        </is>
      </c>
      <c r="F37" s="13" t="inlineStr">
        <is>
          <t>EPIC-06</t>
        </is>
      </c>
      <c r="G37" s="13" t="inlineStr">
        <is>
          <t>Incomplete record cannot be submitted</t>
        </is>
      </c>
      <c r="H37" s="13" t="inlineStr">
        <is>
          <t>Learner is missing at least one subject.</t>
        </is>
      </c>
      <c r="I37" s="13" t="inlineStr">
        <is>
          <t>1. Try to submit the learner's record.</t>
        </is>
      </c>
      <c r="J37" s="13" t="inlineStr">
        <is>
          <t>LRN 100000000099 or 100000000100 (no TLE grade, 7/8)</t>
        </is>
      </c>
      <c r="K37" s="13" t="inlineStr">
        <is>
          <t>Submission is refused: every expected subject must have a recorded grade first.</t>
        </is>
      </c>
      <c r="L37" s="16" t="n"/>
      <c r="M37" s="17" t="n"/>
      <c r="N37" s="16" t="n"/>
      <c r="O37" s="18" t="n"/>
      <c r="P37" s="17" t="n"/>
      <c r="Q37" s="16" t="n"/>
    </row>
    <row r="38" ht="46.5" customHeight="1" s="25">
      <c r="A38" s="14" t="inlineStr">
        <is>
          <t>TC-037</t>
        </is>
      </c>
      <c r="B38" s="13" t="inlineStr">
        <is>
          <t>Submission</t>
        </is>
      </c>
      <c r="C38" s="15" t="inlineStr">
        <is>
          <t>Adviser</t>
        </is>
      </c>
      <c r="D38" s="15" t="inlineStr">
        <is>
          <t>Web</t>
        </is>
      </c>
      <c r="E38" s="13" t="inlineStr">
        <is>
          <t>Functional suitability</t>
        </is>
      </c>
      <c r="F38" s="13" t="inlineStr">
        <is>
          <t>EPIC-06</t>
        </is>
      </c>
      <c r="G38" s="13" t="inlineStr">
        <is>
          <t>Submit all eligible records at once</t>
        </is>
      </c>
      <c r="H38" s="13" t="inlineStr">
        <is>
          <t>Several learners are complete.</t>
        </is>
      </c>
      <c r="I38" s="13" t="inlineStr">
        <is>
          <t>1. Click Submit all eligible and confirm.</t>
        </is>
      </c>
      <c r="J38" s="13" t="inlineStr">
        <is>
          <t>-</t>
        </is>
      </c>
      <c r="K38" s="13" t="inlineStr">
        <is>
          <t>Only the complete learners move to Pending Approval. Incomplete learners are skipped and counted.</t>
        </is>
      </c>
      <c r="L38" s="16" t="n"/>
      <c r="M38" s="17" t="n"/>
      <c r="N38" s="16" t="n"/>
      <c r="O38" s="18" t="n"/>
      <c r="P38" s="17" t="n"/>
      <c r="Q38" s="16" t="n"/>
    </row>
    <row r="39" ht="33" customHeight="1" s="25">
      <c r="A39" s="14" t="inlineStr">
        <is>
          <t>TC-038</t>
        </is>
      </c>
      <c r="B39" s="13" t="inlineStr">
        <is>
          <t>Section Progress</t>
        </is>
      </c>
      <c r="C39" s="15" t="inlineStr">
        <is>
          <t>Adviser</t>
        </is>
      </c>
      <c r="D39" s="15" t="inlineStr">
        <is>
          <t>Web</t>
        </is>
      </c>
      <c r="E39" s="13" t="inlineStr">
        <is>
          <t>Functional suitability</t>
        </is>
      </c>
      <c r="F39" s="13" t="inlineStr">
        <is>
          <t>EPIC-03</t>
        </is>
      </c>
      <c r="G39" s="13" t="inlineStr">
        <is>
          <t>Section progress shows per-subject status</t>
        </is>
      </c>
      <c r="H39" s="13" t="inlineStr">
        <is>
          <t>Uploads exist.</t>
        </is>
      </c>
      <c r="I39" s="13" t="inlineStr">
        <is>
          <t>1. Open Section Progress.</t>
        </is>
      </c>
      <c r="J39" s="13" t="inlineStr">
        <is>
          <t>-</t>
        </is>
      </c>
      <c r="K39" s="13" t="inlineStr">
        <is>
          <t>Each subject shows its upload/validation status and how complete the section is.</t>
        </is>
      </c>
      <c r="L39" s="16" t="n"/>
      <c r="M39" s="17" t="n"/>
      <c r="N39" s="16" t="n"/>
      <c r="O39" s="18" t="n"/>
      <c r="P39" s="17" t="n"/>
      <c r="Q39" s="16" t="n"/>
    </row>
    <row r="40" ht="46.5" customHeight="1" s="25">
      <c r="A40" s="14" t="inlineStr">
        <is>
          <t>TC-039</t>
        </is>
      </c>
      <c r="B40" s="13" t="inlineStr">
        <is>
          <t>Submission Review</t>
        </is>
      </c>
      <c r="C40" s="15" t="inlineStr">
        <is>
          <t>Admin</t>
        </is>
      </c>
      <c r="D40" s="15" t="inlineStr">
        <is>
          <t>Web</t>
        </is>
      </c>
      <c r="E40" s="13" t="inlineStr">
        <is>
          <t>Functional suitability</t>
        </is>
      </c>
      <c r="F40" s="13" t="inlineStr">
        <is>
          <t>EPIC-06, US-007</t>
        </is>
      </c>
      <c r="G40" s="13" t="inlineStr">
        <is>
          <t>Approve a submitted record</t>
        </is>
      </c>
      <c r="H40" s="13" t="inlineStr">
        <is>
          <t>A record is Pending Approval.</t>
        </is>
      </c>
      <c r="I40" s="13" t="inlineStr">
        <is>
          <t>1. Open Submission Review.
2. Open the learner and click Approve.</t>
        </is>
      </c>
      <c r="J40" s="13" t="inlineStr">
        <is>
          <t>A Pending learner, e.g. LRN 100000000005</t>
        </is>
      </c>
      <c r="K40" s="13" t="inlineStr">
        <is>
          <t>Status becomes Approved. The Adviser and subject teachers are notified. The record now appears in the repository.</t>
        </is>
      </c>
      <c r="L40" s="16" t="n"/>
      <c r="M40" s="17" t="n"/>
      <c r="N40" s="16" t="n"/>
      <c r="O40" s="18" t="n"/>
      <c r="P40" s="17" t="n"/>
      <c r="Q40" s="16" t="n"/>
    </row>
    <row r="41" ht="46.5" customHeight="1" s="25">
      <c r="A41" s="14" t="inlineStr">
        <is>
          <t>TC-040</t>
        </is>
      </c>
      <c r="B41" s="13" t="inlineStr">
        <is>
          <t>Submission Review</t>
        </is>
      </c>
      <c r="C41" s="15" t="inlineStr">
        <is>
          <t>Admin</t>
        </is>
      </c>
      <c r="D41" s="15" t="inlineStr">
        <is>
          <t>Web</t>
        </is>
      </c>
      <c r="E41" s="13" t="inlineStr">
        <is>
          <t>Functional suitability</t>
        </is>
      </c>
      <c r="F41" s="13" t="inlineStr">
        <is>
          <t>EPIC-06, US-007</t>
        </is>
      </c>
      <c r="G41" s="13" t="inlineStr">
        <is>
          <t>Reject a submitted record with a reason</t>
        </is>
      </c>
      <c r="H41" s="13" t="inlineStr">
        <is>
          <t>A record is Pending Approval.</t>
        </is>
      </c>
      <c r="I41" s="13" t="inlineStr">
        <is>
          <t>1. Open the learner and click Reject.
2. Enter a reason and confirm.</t>
        </is>
      </c>
      <c r="J41" s="13" t="inlineStr">
        <is>
          <t>A Pending learner, e.g. LRN 100000000006, and reason text</t>
        </is>
      </c>
      <c r="K41" s="13" t="inlineStr">
        <is>
          <t>Status becomes Rejected. The Adviser and subject teachers are notified with the reason.</t>
        </is>
      </c>
      <c r="L41" s="16" t="n"/>
      <c r="M41" s="17" t="n"/>
      <c r="N41" s="16" t="n"/>
      <c r="O41" s="18" t="n"/>
      <c r="P41" s="17" t="n"/>
      <c r="Q41" s="16" t="n"/>
    </row>
    <row r="42" ht="33" customHeight="1" s="25">
      <c r="A42" s="14" t="inlineStr">
        <is>
          <t>TC-041</t>
        </is>
      </c>
      <c r="B42" s="13" t="inlineStr">
        <is>
          <t>Submission Review</t>
        </is>
      </c>
      <c r="C42" s="15" t="inlineStr">
        <is>
          <t>Adviser</t>
        </is>
      </c>
      <c r="D42" s="15" t="inlineStr">
        <is>
          <t>Web</t>
        </is>
      </c>
      <c r="E42" s="13" t="inlineStr">
        <is>
          <t>Functional suitability</t>
        </is>
      </c>
      <c r="F42" s="13" t="inlineStr">
        <is>
          <t>D-04</t>
        </is>
      </c>
      <c r="G42" s="13" t="inlineStr">
        <is>
          <t>Approved record is locked against re-upload</t>
        </is>
      </c>
      <c r="H42" s="13" t="inlineStr">
        <is>
          <t>A learner's record is Approved.</t>
        </is>
      </c>
      <c r="I42" s="13" t="inlineStr">
        <is>
          <t>1. As the Subject Teacher, re-upload that subject for the section.</t>
        </is>
      </c>
      <c r="J42" s="13" t="inlineStr">
        <is>
          <t>Same section file</t>
        </is>
      </c>
      <c r="K42" s="13" t="inlineStr">
        <is>
          <t>The upload is refused because the record is approved.</t>
        </is>
      </c>
      <c r="L42" s="16" t="n"/>
      <c r="M42" s="17" t="n"/>
      <c r="N42" s="16" t="n"/>
      <c r="O42" s="18" t="n"/>
      <c r="P42" s="17" t="n"/>
      <c r="Q42" s="16" t="n"/>
    </row>
    <row r="43" ht="33" customHeight="1" s="25">
      <c r="A43" s="14" t="inlineStr">
        <is>
          <t>TC-042</t>
        </is>
      </c>
      <c r="B43" s="13" t="inlineStr">
        <is>
          <t>Submission Review</t>
        </is>
      </c>
      <c r="C43" s="15" t="inlineStr">
        <is>
          <t>Adviser</t>
        </is>
      </c>
      <c r="D43" s="15" t="inlineStr">
        <is>
          <t>Web</t>
        </is>
      </c>
      <c r="E43" s="13" t="inlineStr">
        <is>
          <t>Functional suitability</t>
        </is>
      </c>
      <c r="F43" s="13" t="inlineStr">
        <is>
          <t>D-04, EPIC-06</t>
        </is>
      </c>
      <c r="G43" s="13" t="inlineStr">
        <is>
          <t>Request an amendment on an approved record</t>
        </is>
      </c>
      <c r="H43" s="13" t="inlineStr">
        <is>
          <t>A learner's record is Approved.</t>
        </is>
      </c>
      <c r="I43" s="13" t="inlineStr">
        <is>
          <t>1. As the section's Adviser, request a revision on the approved record with a reason.
2. Re-upload the subject as the Subject Teacher.</t>
        </is>
      </c>
      <c r="J43" s="13" t="inlineStr">
        <is>
          <t>Reason text</t>
        </is>
      </c>
      <c r="K43" s="13" t="inlineStr">
        <is>
          <t>Status becomes Amendment Requested and the re-upload is then accepted.</t>
        </is>
      </c>
      <c r="L43" s="16" t="n"/>
      <c r="M43" s="17" t="n"/>
      <c r="N43" s="16" t="n"/>
      <c r="O43" s="18" t="n"/>
      <c r="P43" s="17" t="n"/>
      <c r="Q43" s="16" t="n"/>
    </row>
    <row r="44" ht="30" customHeight="1" s="25">
      <c r="A44" s="14" t="inlineStr">
        <is>
          <t>TC-043</t>
        </is>
      </c>
      <c r="B44" s="13" t="inlineStr">
        <is>
          <t>Principal</t>
        </is>
      </c>
      <c r="C44" s="15" t="inlineStr">
        <is>
          <t>Principal</t>
        </is>
      </c>
      <c r="D44" s="15" t="inlineStr">
        <is>
          <t>Web</t>
        </is>
      </c>
      <c r="E44" s="13" t="inlineStr">
        <is>
          <t>Functional suitability</t>
        </is>
      </c>
      <c r="F44" s="13" t="inlineStr">
        <is>
          <t>§6.2</t>
        </is>
      </c>
      <c r="G44" s="13" t="inlineStr">
        <is>
          <t>Principal can view school-wide data</t>
        </is>
      </c>
      <c r="H44" s="13" t="inlineStr">
        <is>
          <t>Logged in as Principal.</t>
        </is>
      </c>
      <c r="I44" s="13" t="inlineStr">
        <is>
          <t>1. Open Dashboard, Submission Review, Section Progress, Analytics and Records &amp; SF10.
2. In Records &amp; SF10, open a learner's Permanent Record (SF10).</t>
        </is>
      </c>
      <c r="J44" s="13" t="inlineStr">
        <is>
          <t>principal.educheck</t>
        </is>
      </c>
      <c r="K44" s="13" t="inlineStr">
        <is>
          <t>All sections are visible on every page.</t>
        </is>
      </c>
      <c r="L44" s="16" t="n"/>
      <c r="M44" s="17" t="n"/>
      <c r="N44" s="16" t="n"/>
      <c r="O44" s="18" t="n"/>
      <c r="P44" s="17" t="n"/>
      <c r="Q44" s="16" t="n"/>
    </row>
    <row r="45" ht="33" customHeight="1" s="25">
      <c r="A45" s="14" t="inlineStr">
        <is>
          <t>TC-044</t>
        </is>
      </c>
      <c r="B45" s="13" t="inlineStr">
        <is>
          <t>Principal</t>
        </is>
      </c>
      <c r="C45" s="15" t="inlineStr">
        <is>
          <t>Principal</t>
        </is>
      </c>
      <c r="D45" s="15" t="inlineStr">
        <is>
          <t>Web</t>
        </is>
      </c>
      <c r="E45" s="13" t="inlineStr">
        <is>
          <t>Security</t>
        </is>
      </c>
      <c r="F45" s="13" t="inlineStr">
        <is>
          <t>D-03</t>
        </is>
      </c>
      <c r="G45" s="13" t="inlineStr">
        <is>
          <t>Principal cannot change anything</t>
        </is>
      </c>
      <c r="H45" s="13" t="inlineStr">
        <is>
          <t>Logged in as Principal.</t>
        </is>
      </c>
      <c r="I45" s="13" t="inlineStr">
        <is>
          <t>1. Look for Approve, Reject, Upload, Edit or Download SF10 buttons on every page.</t>
        </is>
      </c>
      <c r="J45" s="13" t="inlineStr">
        <is>
          <t>principal.educheck</t>
        </is>
      </c>
      <c r="K45" s="13" t="inlineStr">
        <is>
          <t>No action buttons are shown. Everything is read-only.</t>
        </is>
      </c>
      <c r="L45" s="16" t="n"/>
      <c r="M45" s="17" t="n"/>
      <c r="N45" s="16" t="n"/>
      <c r="O45" s="18" t="n"/>
      <c r="P45" s="17" t="n"/>
      <c r="Q45" s="16" t="n"/>
    </row>
    <row r="46" ht="46.5" customHeight="1" s="25">
      <c r="A46" s="14" t="inlineStr">
        <is>
          <t>TC-045</t>
        </is>
      </c>
      <c r="B46" s="13" t="inlineStr">
        <is>
          <t>Repository</t>
        </is>
      </c>
      <c r="C46" s="15" t="inlineStr">
        <is>
          <t>Admin</t>
        </is>
      </c>
      <c r="D46" s="15" t="inlineStr">
        <is>
          <t>Web</t>
        </is>
      </c>
      <c r="E46" s="13" t="inlineStr">
        <is>
          <t>Functional suitability</t>
        </is>
      </c>
      <c r="F46" s="13" t="inlineStr">
        <is>
          <t>EPIC-05, US-013</t>
        </is>
      </c>
      <c r="G46" s="13" t="inlineStr">
        <is>
          <t>Search the repository</t>
        </is>
      </c>
      <c r="H46" s="13" t="inlineStr">
        <is>
          <t>Approved records exist.</t>
        </is>
      </c>
      <c r="I46" s="13" t="inlineStr">
        <is>
          <t>1. Open Records &amp; SF10.
2. Search by LRN, then by name, then by grade level and school year.</t>
        </is>
      </c>
      <c r="J46" s="13" t="inlineStr">
        <is>
          <t>LRN 100000000001</t>
        </is>
      </c>
      <c r="K46" s="13" t="inlineStr">
        <is>
          <t>Matching learners are listed for every type of search. An empty search asks for a search term.</t>
        </is>
      </c>
      <c r="L46" s="16" t="n"/>
      <c r="M46" s="17" t="n"/>
      <c r="N46" s="16" t="n"/>
      <c r="O46" s="18" t="n"/>
      <c r="P46" s="17" t="n"/>
      <c r="Q46" s="16" t="n"/>
    </row>
    <row r="47" ht="60" customHeight="1" s="25">
      <c r="A47" s="14" t="inlineStr">
        <is>
          <t>TC-046</t>
        </is>
      </c>
      <c r="B47" s="13" t="inlineStr">
        <is>
          <t>SF10</t>
        </is>
      </c>
      <c r="C47" s="15" t="inlineStr">
        <is>
          <t>Admin</t>
        </is>
      </c>
      <c r="D47" s="15" t="inlineStr">
        <is>
          <t>Web</t>
        </is>
      </c>
      <c r="E47" s="13" t="inlineStr">
        <is>
          <t>Functional suitability</t>
        </is>
      </c>
      <c r="F47" s="13" t="inlineStr">
        <is>
          <t>EPIC-05, US-005</t>
        </is>
      </c>
      <c r="G47" s="13" t="inlineStr">
        <is>
          <t>Download an SF10</t>
        </is>
      </c>
      <c r="H47" s="13" t="inlineStr">
        <is>
          <t>Learner 100000000001 has historical Grade 4 and Grade 5 records.</t>
        </is>
      </c>
      <c r="I47" s="13" t="inlineStr">
        <is>
          <t>1. Open Records &amp; SF10, search for the learner and click Permanent Record (SF10).
2. Check the readiness report.
3. Click Download and open the file in Excel.</t>
        </is>
      </c>
      <c r="J47" s="13" t="inlineStr">
        <is>
          <t>LRN 100000000001</t>
        </is>
      </c>
      <c r="K47" s="13" t="inlineStr">
        <is>
          <t>Readiness is PARTIAL. The file opens in Excel with Grade 4 on the Front and Grade 5 on the Back, and prints on the official form layout.</t>
        </is>
      </c>
      <c r="L47" s="16" t="n"/>
      <c r="M47" s="17" t="n"/>
      <c r="N47" s="16" t="n"/>
      <c r="O47" s="18" t="n"/>
      <c r="P47" s="17" t="n"/>
      <c r="Q47" s="16" t="n"/>
    </row>
    <row r="48" ht="46.5" customHeight="1" s="25">
      <c r="A48" s="14" t="inlineStr">
        <is>
          <t>TC-047</t>
        </is>
      </c>
      <c r="B48" s="13" t="inlineStr">
        <is>
          <t>SF10</t>
        </is>
      </c>
      <c r="C48" s="15" t="inlineStr">
        <is>
          <t>Admin</t>
        </is>
      </c>
      <c r="D48" s="15" t="inlineStr">
        <is>
          <t>Web</t>
        </is>
      </c>
      <c r="E48" s="13" t="inlineStr">
        <is>
          <t>Functional suitability</t>
        </is>
      </c>
      <c r="F48" s="13" t="inlineStr">
        <is>
          <t>D-05</t>
        </is>
      </c>
      <c r="G48" s="13" t="inlineStr">
        <is>
          <t>SF10 with no printable year shows a clear message</t>
        </is>
      </c>
      <c r="H48" s="13" t="inlineStr">
        <is>
          <t>Learner has only a 3-term year.</t>
        </is>
      </c>
      <c r="I48" s="13" t="inlineStr">
        <is>
          <t>1. Try to download the SF10 of any other Rizal learner.</t>
        </is>
      </c>
      <c r="J48" s="13" t="inlineStr">
        <is>
          <t>e.g. LRN 100000000004</t>
        </is>
      </c>
      <c r="K48" s="13" t="inlineStr">
        <is>
          <t>Download is refused with a message that there is nothing to put on the SF10 yet, and the readiness report explains why.</t>
        </is>
      </c>
      <c r="L48" s="16" t="n"/>
      <c r="M48" s="17" t="n"/>
      <c r="N48" s="16" t="n"/>
      <c r="O48" s="18" t="n"/>
      <c r="P48" s="17" t="n"/>
      <c r="Q48" s="16" t="n"/>
    </row>
    <row r="49" ht="46.5" customHeight="1" s="25">
      <c r="A49" s="14" t="inlineStr">
        <is>
          <t>TC-048</t>
        </is>
      </c>
      <c r="B49" s="13" t="inlineStr">
        <is>
          <t>SF10</t>
        </is>
      </c>
      <c r="C49" s="15" t="inlineStr">
        <is>
          <t>Adviser</t>
        </is>
      </c>
      <c r="D49" s="15" t="inlineStr">
        <is>
          <t>Web</t>
        </is>
      </c>
      <c r="E49" s="13" t="inlineStr">
        <is>
          <t>Functional suitability</t>
        </is>
      </c>
      <c r="F49" s="13" t="inlineStr">
        <is>
          <t>US-014</t>
        </is>
      </c>
      <c r="G49" s="13" t="inlineStr">
        <is>
          <t>Enter historical (pre-EduCheck) grades</t>
        </is>
      </c>
      <c r="H49" s="13" t="inlineStr">
        <is>
          <t>Adviser of the learner's section.</t>
        </is>
      </c>
      <c r="I49" s="13" t="inlineStr">
        <is>
          <t>1. Open Records &amp; SF10, search for the learner and click Permanent Record (SF10).
2. Add a past school year with 4 quarter grades per subject and save.</t>
        </is>
      </c>
      <c r="J49" s="13" t="inlineStr">
        <is>
          <t>e.g. Grade 3, 2022-2023</t>
        </is>
      </c>
      <c r="K49" s="13" t="inlineStr">
        <is>
          <t>The year is saved and appears in the readiness report and in the downloaded SF10. The action is in the audit log.</t>
        </is>
      </c>
      <c r="L49" s="16" t="n"/>
      <c r="M49" s="17" t="n"/>
      <c r="N49" s="16" t="n"/>
      <c r="O49" s="18" t="n"/>
      <c r="P49" s="17" t="n"/>
      <c r="Q49" s="16" t="n"/>
    </row>
    <row r="50" ht="33" customHeight="1" s="25">
      <c r="A50" s="14" t="inlineStr">
        <is>
          <t>TC-049</t>
        </is>
      </c>
      <c r="B50" s="13" t="inlineStr">
        <is>
          <t>SF10</t>
        </is>
      </c>
      <c r="C50" s="15" t="inlineStr">
        <is>
          <t>Adviser</t>
        </is>
      </c>
      <c r="D50" s="15" t="inlineStr">
        <is>
          <t>Web</t>
        </is>
      </c>
      <c r="E50" s="13" t="inlineStr">
        <is>
          <t>Functional suitability</t>
        </is>
      </c>
      <c r="F50" s="13" t="inlineStr">
        <is>
          <t>US-014</t>
        </is>
      </c>
      <c r="G50" s="13" t="inlineStr">
        <is>
          <t>Invalid historical grades are refused</t>
        </is>
      </c>
      <c r="H50" s="13" t="inlineStr">
        <is>
          <t>SF10 page open.</t>
        </is>
      </c>
      <c r="I50" s="13" t="inlineStr">
        <is>
          <t>1. Enter a grade below 60 or above 100, or a school year like 2022-2024.</t>
        </is>
      </c>
      <c r="J50" s="13" t="inlineStr">
        <is>
          <t>e.g. 105</t>
        </is>
      </c>
      <c r="K50" s="13" t="inlineStr">
        <is>
          <t>Saving is refused with a message naming the problem.</t>
        </is>
      </c>
      <c r="L50" s="16" t="n"/>
      <c r="M50" s="17" t="n"/>
      <c r="N50" s="16" t="n"/>
      <c r="O50" s="18" t="n"/>
      <c r="P50" s="17" t="n"/>
      <c r="Q50" s="16" t="n"/>
    </row>
    <row r="51" ht="46.5" customHeight="1" s="25">
      <c r="A51" s="14" t="inlineStr">
        <is>
          <t>TC-050</t>
        </is>
      </c>
      <c r="B51" s="13" t="inlineStr">
        <is>
          <t>Analytics</t>
        </is>
      </c>
      <c r="C51" s="15" t="inlineStr">
        <is>
          <t>Admin</t>
        </is>
      </c>
      <c r="D51" s="15" t="inlineStr">
        <is>
          <t>Web</t>
        </is>
      </c>
      <c r="E51" s="13" t="inlineStr">
        <is>
          <t>Functional suitability</t>
        </is>
      </c>
      <c r="F51" s="13" t="inlineStr">
        <is>
          <t>EPIC-08, US-012</t>
        </is>
      </c>
      <c r="G51" s="13" t="inlineStr">
        <is>
          <t>View academic analytics</t>
        </is>
      </c>
      <c r="H51" s="13" t="inlineStr">
        <is>
          <t>Grades exist for the school year.</t>
        </is>
      </c>
      <c r="I51" s="13" t="inlineStr">
        <is>
          <t>1. Open Academic Analytics and change the school year.</t>
        </is>
      </c>
      <c r="J51" s="13" t="inlineStr">
        <is>
          <t>-</t>
        </is>
      </c>
      <c r="K51" s="13" t="inlineStr">
        <is>
          <t>Charts show grade distribution and subject performance, and they update when the school year changes.</t>
        </is>
      </c>
      <c r="L51" s="16" t="n"/>
      <c r="M51" s="17" t="n"/>
      <c r="N51" s="16" t="n"/>
      <c r="O51" s="18" t="n"/>
      <c r="P51" s="17" t="n"/>
      <c r="Q51" s="16" t="n"/>
    </row>
    <row r="52" ht="46.5" customHeight="1" s="25">
      <c r="A52" s="14" t="inlineStr">
        <is>
          <t>TC-051</t>
        </is>
      </c>
      <c r="B52" s="13" t="inlineStr">
        <is>
          <t>Notifications</t>
        </is>
      </c>
      <c r="C52" s="15" t="inlineStr">
        <is>
          <t>Subject Teacher</t>
        </is>
      </c>
      <c r="D52" s="15" t="inlineStr">
        <is>
          <t>Web</t>
        </is>
      </c>
      <c r="E52" s="13" t="inlineStr">
        <is>
          <t>Functional suitability</t>
        </is>
      </c>
      <c r="F52" s="13" t="inlineStr">
        <is>
          <t>EPIC-06</t>
        </is>
      </c>
      <c r="G52" s="13" t="inlineStr">
        <is>
          <t>Notifications appear and can be marked read</t>
        </is>
      </c>
      <c r="H52" s="13" t="inlineStr">
        <is>
          <t>An action caused a notification (e.g. a returned subject).</t>
        </is>
      </c>
      <c r="I52" s="13" t="inlineStr">
        <is>
          <t>1. Open Notifications.
2. Mark one as read, then Mark all read.</t>
        </is>
      </c>
      <c r="J52" s="13" t="inlineStr">
        <is>
          <t>-</t>
        </is>
      </c>
      <c r="K52" s="13" t="inlineStr">
        <is>
          <t>New notifications are shown and the unread count drops to 0.</t>
        </is>
      </c>
      <c r="L52" s="16" t="n"/>
      <c r="M52" s="17" t="n"/>
      <c r="N52" s="16" t="n"/>
      <c r="O52" s="18" t="n"/>
      <c r="P52" s="17" t="n"/>
      <c r="Q52" s="16" t="n"/>
    </row>
    <row r="53" ht="46.5" customHeight="1" s="25">
      <c r="A53" s="14" t="inlineStr">
        <is>
          <t>TC-052</t>
        </is>
      </c>
      <c r="B53" s="13" t="inlineStr">
        <is>
          <t>Mobile</t>
        </is>
      </c>
      <c r="C53" s="15" t="inlineStr">
        <is>
          <t>All</t>
        </is>
      </c>
      <c r="D53" s="15" t="inlineStr">
        <is>
          <t>Mobile</t>
        </is>
      </c>
      <c r="E53" s="13" t="inlineStr">
        <is>
          <t>Compatibility</t>
        </is>
      </c>
      <c r="F53" s="13" t="inlineStr">
        <is>
          <t>Mobile app</t>
        </is>
      </c>
      <c r="G53" s="13" t="inlineStr">
        <is>
          <t>Install and log in on an Android phone</t>
        </is>
      </c>
      <c r="H53" s="13" t="inlineStr">
        <is>
          <t>APK installed. Phone on the same network as the server.</t>
        </is>
      </c>
      <c r="I53" s="13" t="inlineStr">
        <is>
          <t>1. Open the app.
2. Set the server address to the PC's network address.
3. Log in.</t>
        </is>
      </c>
      <c r="J53" s="13" t="inlineStr">
        <is>
          <t>Any test account</t>
        </is>
      </c>
      <c r="K53" s="13" t="inlineStr">
        <is>
          <t>The app connects and shows the role's home screen.</t>
        </is>
      </c>
      <c r="L53" s="16" t="n"/>
      <c r="M53" s="17" t="n"/>
      <c r="N53" s="16" t="n"/>
      <c r="O53" s="18" t="n"/>
      <c r="P53" s="17" t="n"/>
      <c r="Q53" s="16" t="n"/>
    </row>
    <row r="54" ht="33" customHeight="1" s="25">
      <c r="A54" s="14" t="inlineStr">
        <is>
          <t>TC-053</t>
        </is>
      </c>
      <c r="B54" s="13" t="inlineStr">
        <is>
          <t>Mobile</t>
        </is>
      </c>
      <c r="C54" s="15" t="inlineStr">
        <is>
          <t>Subject Teacher</t>
        </is>
      </c>
      <c r="D54" s="15" t="inlineStr">
        <is>
          <t>Mobile</t>
        </is>
      </c>
      <c r="E54" s="13" t="inlineStr">
        <is>
          <t>Functional suitability</t>
        </is>
      </c>
      <c r="F54" s="13" t="inlineStr">
        <is>
          <t>Mobile app</t>
        </is>
      </c>
      <c r="G54" s="13" t="inlineStr">
        <is>
          <t>View my uploads and validation results</t>
        </is>
      </c>
      <c r="H54" s="13" t="inlineStr">
        <is>
          <t>Teacher has uploads.</t>
        </is>
      </c>
      <c r="I54" s="13" t="inlineStr">
        <is>
          <t>1. Open My Uploads.
2. Open an upload.</t>
        </is>
      </c>
      <c r="J54" s="13" t="inlineStr">
        <is>
          <t>subject.grade6a</t>
        </is>
      </c>
      <c r="K54" s="13" t="inlineStr">
        <is>
          <t>Uploads match the web list. Validation issues are shown for the selected upload.</t>
        </is>
      </c>
      <c r="L54" s="16" t="n"/>
      <c r="M54" s="17" t="n"/>
      <c r="N54" s="16" t="n"/>
      <c r="O54" s="18" t="n"/>
      <c r="P54" s="17" t="n"/>
      <c r="Q54" s="16" t="n"/>
    </row>
    <row r="55" ht="33" customHeight="1" s="25">
      <c r="A55" s="14" t="inlineStr">
        <is>
          <t>TC-054</t>
        </is>
      </c>
      <c r="B55" s="13" t="inlineStr">
        <is>
          <t>Mobile</t>
        </is>
      </c>
      <c r="C55" s="15" t="inlineStr">
        <is>
          <t>Adviser</t>
        </is>
      </c>
      <c r="D55" s="15" t="inlineStr">
        <is>
          <t>Mobile</t>
        </is>
      </c>
      <c r="E55" s="13" t="inlineStr">
        <is>
          <t>Functional suitability</t>
        </is>
      </c>
      <c r="F55" s="13" t="inlineStr">
        <is>
          <t>Mobile app</t>
        </is>
      </c>
      <c r="G55" s="13" t="inlineStr">
        <is>
          <t>Submit a record for approval on mobile</t>
        </is>
      </c>
      <c r="H55" s="13" t="inlineStr">
        <is>
          <t>A complete learner exists.</t>
        </is>
      </c>
      <c r="I55" s="13" t="inlineStr">
        <is>
          <t>1. Open Records and a complete learner.
2. Tap Submit for approval and confirm.</t>
        </is>
      </c>
      <c r="J55" s="13" t="inlineStr">
        <is>
          <t>adviser.grade6a</t>
        </is>
      </c>
      <c r="K55" s="13" t="inlineStr">
        <is>
          <t>Status becomes Pending Approval and matches the web app.</t>
        </is>
      </c>
      <c r="L55" s="16" t="n"/>
      <c r="M55" s="17" t="n"/>
      <c r="N55" s="16" t="n"/>
      <c r="O55" s="18" t="n"/>
      <c r="P55" s="17" t="n"/>
      <c r="Q55" s="16" t="n"/>
    </row>
    <row r="56" ht="33" customHeight="1" s="25">
      <c r="A56" s="14" t="inlineStr">
        <is>
          <t>TC-055</t>
        </is>
      </c>
      <c r="B56" s="13" t="inlineStr">
        <is>
          <t>Mobile</t>
        </is>
      </c>
      <c r="C56" s="15" t="inlineStr">
        <is>
          <t>Adviser</t>
        </is>
      </c>
      <c r="D56" s="15" t="inlineStr">
        <is>
          <t>Mobile</t>
        </is>
      </c>
      <c r="E56" s="13" t="inlineStr">
        <is>
          <t>Functional suitability</t>
        </is>
      </c>
      <c r="F56" s="13" t="inlineStr">
        <is>
          <t>Mobile app</t>
        </is>
      </c>
      <c r="G56" s="13" t="inlineStr">
        <is>
          <t>Return a subject to its teacher on mobile</t>
        </is>
      </c>
      <c r="H56" s="13" t="inlineStr">
        <is>
          <t>A learner record is open.</t>
        </is>
      </c>
      <c r="I56" s="13" t="inlineStr">
        <is>
          <t>1. Tap Return on a subject, enter a reason, confirm.</t>
        </is>
      </c>
      <c r="J56" s="13" t="inlineStr">
        <is>
          <t>Reason text</t>
        </is>
      </c>
      <c r="K56" s="13" t="inlineStr">
        <is>
          <t>Subject becomes Needs Revision and the teacher is notified.</t>
        </is>
      </c>
      <c r="L56" s="16" t="n"/>
      <c r="M56" s="17" t="n"/>
      <c r="N56" s="16" t="n"/>
      <c r="O56" s="18" t="n"/>
      <c r="P56" s="17" t="n"/>
      <c r="Q56" s="16" t="n"/>
    </row>
    <row r="57" ht="46.5" customHeight="1" s="25">
      <c r="A57" s="14" t="inlineStr">
        <is>
          <t>TC-056</t>
        </is>
      </c>
      <c r="B57" s="13" t="inlineStr">
        <is>
          <t>Mobile</t>
        </is>
      </c>
      <c r="C57" s="15" t="inlineStr">
        <is>
          <t>Admin</t>
        </is>
      </c>
      <c r="D57" s="15" t="inlineStr">
        <is>
          <t>Mobile</t>
        </is>
      </c>
      <c r="E57" s="13" t="inlineStr">
        <is>
          <t>Functional suitability</t>
        </is>
      </c>
      <c r="F57" s="13" t="inlineStr">
        <is>
          <t>Mobile app</t>
        </is>
      </c>
      <c r="G57" s="13" t="inlineStr">
        <is>
          <t>Approve and return records on mobile</t>
        </is>
      </c>
      <c r="H57" s="13" t="inlineStr">
        <is>
          <t>Records are Pending Approval.</t>
        </is>
      </c>
      <c r="I57" s="13" t="inlineStr">
        <is>
          <t>1. Open Approvals.
2. Approve one record.
3. Return another with a reason.</t>
        </is>
      </c>
      <c r="J57" s="13" t="inlineStr">
        <is>
          <t>admin.educheck</t>
        </is>
      </c>
      <c r="K57" s="13" t="inlineStr">
        <is>
          <t>Statuses change to Approved and Rejected, and the web app shows the same.</t>
        </is>
      </c>
      <c r="L57" s="16" t="n"/>
      <c r="M57" s="17" t="n"/>
      <c r="N57" s="16" t="n"/>
      <c r="O57" s="18" t="n"/>
      <c r="P57" s="17" t="n"/>
      <c r="Q57" s="16" t="n"/>
    </row>
    <row r="58" ht="33" customHeight="1" s="25">
      <c r="A58" s="14" t="inlineStr">
        <is>
          <t>TC-057</t>
        </is>
      </c>
      <c r="B58" s="13" t="inlineStr">
        <is>
          <t>Mobile</t>
        </is>
      </c>
      <c r="C58" s="15" t="inlineStr">
        <is>
          <t>Principal</t>
        </is>
      </c>
      <c r="D58" s="15" t="inlineStr">
        <is>
          <t>Mobile</t>
        </is>
      </c>
      <c r="E58" s="13" t="inlineStr">
        <is>
          <t>Security</t>
        </is>
      </c>
      <c r="F58" s="13" t="inlineStr">
        <is>
          <t>D-03</t>
        </is>
      </c>
      <c r="G58" s="13" t="inlineStr">
        <is>
          <t>Principal is read-only on mobile</t>
        </is>
      </c>
      <c r="H58" s="13" t="inlineStr">
        <is>
          <t>Logged in as Principal.</t>
        </is>
      </c>
      <c r="I58" s="13" t="inlineStr">
        <is>
          <t>1. Open Submissions and a learner record.</t>
        </is>
      </c>
      <c r="J58" s="13" t="inlineStr">
        <is>
          <t>principal.educheck</t>
        </is>
      </c>
      <c r="K58" s="13" t="inlineStr">
        <is>
          <t>No Approve, Return or Submit buttons are shown.</t>
        </is>
      </c>
      <c r="L58" s="16" t="n"/>
      <c r="M58" s="17" t="n"/>
      <c r="N58" s="16" t="n"/>
      <c r="O58" s="18" t="n"/>
      <c r="P58" s="17" t="n"/>
      <c r="Q58" s="16" t="n"/>
    </row>
    <row r="59" ht="46.5" customHeight="1" s="25">
      <c r="A59" s="14" t="inlineStr">
        <is>
          <t>TC-058</t>
        </is>
      </c>
      <c r="B59" s="13" t="inlineStr">
        <is>
          <t>Mobile</t>
        </is>
      </c>
      <c r="C59" s="15" t="inlineStr">
        <is>
          <t>All</t>
        </is>
      </c>
      <c r="D59" s="15" t="inlineStr">
        <is>
          <t>Mobile</t>
        </is>
      </c>
      <c r="E59" s="13" t="inlineStr">
        <is>
          <t>Reliability</t>
        </is>
      </c>
      <c r="F59" s="13" t="inlineStr">
        <is>
          <t>Mobile app</t>
        </is>
      </c>
      <c r="G59" s="13" t="inlineStr">
        <is>
          <t>Offline: cached data is shown</t>
        </is>
      </c>
      <c r="H59" s="13" t="inlineStr">
        <is>
          <t>Records were viewed while online.</t>
        </is>
      </c>
      <c r="I59" s="13" t="inlineStr">
        <is>
          <t>1. Turn on airplane mode.
2. Reopen a screen viewed before (e.g. Repository).</t>
        </is>
      </c>
      <c r="J59" s="13" t="inlineStr">
        <is>
          <t>-</t>
        </is>
      </c>
      <c r="K59" s="13" t="inlineStr">
        <is>
          <t>Cached data is shown with an offline banner and the time it was saved. The app does not crash.</t>
        </is>
      </c>
      <c r="L59" s="16" t="n"/>
      <c r="M59" s="17" t="n"/>
      <c r="N59" s="16" t="n"/>
      <c r="O59" s="18" t="n"/>
      <c r="P59" s="17" t="n"/>
      <c r="Q59" s="16" t="n"/>
    </row>
    <row r="60" ht="33" customHeight="1" s="25">
      <c r="A60" s="14" t="inlineStr">
        <is>
          <t>TC-059</t>
        </is>
      </c>
      <c r="B60" s="13" t="inlineStr">
        <is>
          <t>Mobile</t>
        </is>
      </c>
      <c r="C60" s="15" t="inlineStr">
        <is>
          <t>All</t>
        </is>
      </c>
      <c r="D60" s="15" t="inlineStr">
        <is>
          <t>Mobile</t>
        </is>
      </c>
      <c r="E60" s="13" t="inlineStr">
        <is>
          <t>Functional suitability</t>
        </is>
      </c>
      <c r="F60" s="13" t="inlineStr">
        <is>
          <t>L-01</t>
        </is>
      </c>
      <c r="G60" s="13" t="inlineStr">
        <is>
          <t>New notification arrives while the app is open</t>
        </is>
      </c>
      <c r="H60" s="13" t="inlineStr">
        <is>
          <t>App open on the phone.</t>
        </is>
      </c>
      <c r="I60" s="13" t="inlineStr">
        <is>
          <t>1. On the web, do an action that notifies this user.
2. Wait up to 30 seconds.</t>
        </is>
      </c>
      <c r="J60" s="13" t="inlineStr">
        <is>
          <t>-</t>
        </is>
      </c>
      <c r="K60" s="13" t="inlineStr">
        <is>
          <t>A notification appears in the app within about 30 seconds.</t>
        </is>
      </c>
      <c r="L60" s="16" t="n"/>
      <c r="M60" s="17" t="n"/>
      <c r="N60" s="16" t="n"/>
      <c r="O60" s="18" t="n"/>
      <c r="P60" s="17" t="n"/>
      <c r="Q60" s="16" t="n"/>
    </row>
    <row r="61" ht="46.5" customHeight="1" s="25">
      <c r="A61" s="14" t="inlineStr">
        <is>
          <t>TC-060</t>
        </is>
      </c>
      <c r="B61" s="13" t="inlineStr">
        <is>
          <t>Mobile</t>
        </is>
      </c>
      <c r="C61" s="15" t="inlineStr">
        <is>
          <t>All</t>
        </is>
      </c>
      <c r="D61" s="15" t="inlineStr">
        <is>
          <t>Mobile</t>
        </is>
      </c>
      <c r="E61" s="13" t="inlineStr">
        <is>
          <t>Security</t>
        </is>
      </c>
      <c r="F61" s="13" t="inlineStr">
        <is>
          <t>Mobile app</t>
        </is>
      </c>
      <c r="G61" s="13" t="inlineStr">
        <is>
          <t>Log out clears the session</t>
        </is>
      </c>
      <c r="H61" s="13" t="inlineStr">
        <is>
          <t>Logged in.</t>
        </is>
      </c>
      <c r="I61" s="13" t="inlineStr">
        <is>
          <t>1. Open Account and tap Log out.
2. Log in as a different role.</t>
        </is>
      </c>
      <c r="J61" s="13" t="inlineStr">
        <is>
          <t>Two test accounts</t>
        </is>
      </c>
      <c r="K61" s="13" t="inlineStr">
        <is>
          <t>The second user sees only their own data. Nothing cached from the first user is shown.</t>
        </is>
      </c>
      <c r="L61" s="16" t="n"/>
      <c r="M61" s="17" t="n"/>
      <c r="N61" s="16" t="n"/>
      <c r="O61" s="18" t="n"/>
      <c r="P61" s="17" t="n"/>
      <c r="Q61" s="16" t="n"/>
    </row>
    <row r="62" ht="33" customHeight="1" s="25">
      <c r="A62" s="14" t="inlineStr">
        <is>
          <t>TC-061</t>
        </is>
      </c>
      <c r="B62" s="13" t="inlineStr">
        <is>
          <t>Performance</t>
        </is>
      </c>
      <c r="C62" s="15" t="inlineStr">
        <is>
          <t>Subject Teacher</t>
        </is>
      </c>
      <c r="D62" s="15" t="inlineStr">
        <is>
          <t>Web</t>
        </is>
      </c>
      <c r="E62" s="13" t="inlineStr">
        <is>
          <t>Performance efficiency</t>
        </is>
      </c>
      <c r="F62" s="13" t="inlineStr">
        <is>
          <t>ISO 25010</t>
        </is>
      </c>
      <c r="G62" s="13" t="inlineStr">
        <is>
          <t>Upload and validation time</t>
        </is>
      </c>
      <c r="H62" s="13" t="inlineStr">
        <is>
          <t>Network and server as in the real setting.</t>
        </is>
      </c>
      <c r="I62" s="13" t="inlineStr">
        <is>
          <t>1. Upload a full e-class record (about 2 MB).
2. Time from clicking Upload to seeing the result.</t>
        </is>
      </c>
      <c r="J62" s="13" t="inlineStr">
        <is>
          <t>UAT-files/TC-022_valid-ecr-rizal.xlsx</t>
        </is>
      </c>
      <c r="K62" s="13" t="inlineStr">
        <is>
          <t>Upload completes without a timeout. Record the seconds taken in Actual Result.</t>
        </is>
      </c>
      <c r="L62" s="16" t="n"/>
      <c r="M62" s="17" t="n"/>
      <c r="N62" s="16" t="n"/>
      <c r="O62" s="18" t="n"/>
      <c r="P62" s="17" t="n"/>
      <c r="Q62" s="16" t="n"/>
    </row>
    <row r="63" ht="33" customHeight="1" s="25">
      <c r="A63" s="14" t="inlineStr">
        <is>
          <t>TC-062</t>
        </is>
      </c>
      <c r="B63" s="13" t="inlineStr">
        <is>
          <t>Performance</t>
        </is>
      </c>
      <c r="C63" s="15" t="inlineStr">
        <is>
          <t>Admin</t>
        </is>
      </c>
      <c r="D63" s="15" t="inlineStr">
        <is>
          <t>Web</t>
        </is>
      </c>
      <c r="E63" s="13" t="inlineStr">
        <is>
          <t>Performance efficiency</t>
        </is>
      </c>
      <c r="F63" s="13" t="inlineStr">
        <is>
          <t>ISO 25010</t>
        </is>
      </c>
      <c r="G63" s="13" t="inlineStr">
        <is>
          <t>Page load time</t>
        </is>
      </c>
      <c r="H63" s="13" t="inlineStr">
        <is>
          <t>Logged in.</t>
        </is>
      </c>
      <c r="I63" s="13" t="inlineStr">
        <is>
          <t>1. Open Dashboard, Consolidated Records, Analytics and Records &amp; SF10.
2. Time each page until its data appears.</t>
        </is>
      </c>
      <c r="J63" s="13" t="inlineStr">
        <is>
          <t>-</t>
        </is>
      </c>
      <c r="K63" s="13" t="inlineStr">
        <is>
          <t>Each page shows its data without timeouts. Record the seconds for each page.</t>
        </is>
      </c>
      <c r="L63" s="16" t="n"/>
      <c r="M63" s="17" t="n"/>
      <c r="N63" s="16" t="n"/>
      <c r="O63" s="18" t="n"/>
      <c r="P63" s="17" t="n"/>
      <c r="Q63" s="16" t="n"/>
    </row>
    <row r="64" ht="33" customHeight="1" s="25">
      <c r="A64" s="14" t="inlineStr">
        <is>
          <t>TC-063</t>
        </is>
      </c>
      <c r="B64" s="13" t="inlineStr">
        <is>
          <t>Compatibility</t>
        </is>
      </c>
      <c r="C64" s="15" t="inlineStr">
        <is>
          <t>All</t>
        </is>
      </c>
      <c r="D64" s="15" t="inlineStr">
        <is>
          <t>Web</t>
        </is>
      </c>
      <c r="E64" s="13" t="inlineStr">
        <is>
          <t>Compatibility</t>
        </is>
      </c>
      <c r="F64" s="13" t="inlineStr">
        <is>
          <t>ISO 25010</t>
        </is>
      </c>
      <c r="G64" s="13" t="inlineStr">
        <is>
          <t>Works on Chrome, Edge and Firefox</t>
        </is>
      </c>
      <c r="H64" s="13" t="inlineStr">
        <is>
          <t>Latest versions of each browser.</t>
        </is>
      </c>
      <c r="I64" s="13" t="inlineStr">
        <is>
          <t>1. Repeat login, upload, consolidated records and SF10 download in each browser.</t>
        </is>
      </c>
      <c r="J64" s="13" t="inlineStr">
        <is>
          <t>-</t>
        </is>
      </c>
      <c r="K64" s="13" t="inlineStr">
        <is>
          <t>Same behaviour and layout in every browser. Note browser versions in Remarks.</t>
        </is>
      </c>
      <c r="L64" s="16" t="n"/>
      <c r="M64" s="17" t="n"/>
      <c r="N64" s="16" t="n"/>
      <c r="O64" s="18" t="n"/>
      <c r="P64" s="17" t="n"/>
      <c r="Q64" s="16" t="n"/>
    </row>
    <row r="65" ht="33" customHeight="1" s="25">
      <c r="A65" s="14" t="inlineStr">
        <is>
          <t>TC-064</t>
        </is>
      </c>
      <c r="B65" s="13" t="inlineStr">
        <is>
          <t>Compatibility</t>
        </is>
      </c>
      <c r="C65" s="15" t="inlineStr">
        <is>
          <t>All</t>
        </is>
      </c>
      <c r="D65" s="15" t="inlineStr">
        <is>
          <t>Web</t>
        </is>
      </c>
      <c r="E65" s="13" t="inlineStr">
        <is>
          <t>Compatibility</t>
        </is>
      </c>
      <c r="F65" s="13" t="inlineStr">
        <is>
          <t>ISO 25010</t>
        </is>
      </c>
      <c r="G65" s="13" t="inlineStr">
        <is>
          <t>Layout at laptop and tablet widths</t>
        </is>
      </c>
      <c r="H65" s="13" t="inlineStr">
        <is>
          <t>Any browser.</t>
        </is>
      </c>
      <c r="I65" s="13" t="inlineStr">
        <is>
          <t>1. View the main pages at a laptop width and at a tablet width.</t>
        </is>
      </c>
      <c r="J65" s="13" t="inlineStr">
        <is>
          <t>-</t>
        </is>
      </c>
      <c r="K65" s="13" t="inlineStr">
        <is>
          <t>Content stays readable, nothing overlaps, and all buttons can be reached.</t>
        </is>
      </c>
      <c r="L65" s="16" t="n"/>
      <c r="M65" s="17" t="n"/>
      <c r="N65" s="16" t="n"/>
      <c r="O65" s="18" t="n"/>
      <c r="P65" s="17" t="n"/>
      <c r="Q65" s="16" t="n"/>
    </row>
    <row r="66" ht="33" customHeight="1" s="25">
      <c r="A66" s="14" t="inlineStr">
        <is>
          <t>TC-065</t>
        </is>
      </c>
      <c r="B66" s="13" t="inlineStr">
        <is>
          <t>Usability</t>
        </is>
      </c>
      <c r="C66" s="15" t="inlineStr">
        <is>
          <t>All</t>
        </is>
      </c>
      <c r="D66" s="15" t="inlineStr">
        <is>
          <t>Web</t>
        </is>
      </c>
      <c r="E66" s="13" t="inlineStr">
        <is>
          <t>Usability</t>
        </is>
      </c>
      <c r="F66" s="13" t="inlineStr">
        <is>
          <t>ISO 25010</t>
        </is>
      </c>
      <c r="G66" s="13" t="inlineStr">
        <is>
          <t>First-time task completion</t>
        </is>
      </c>
      <c r="H66" s="13" t="inlineStr">
        <is>
          <t>Tester has not used EduCheck before.</t>
        </is>
      </c>
      <c r="I66" s="13" t="inlineStr">
        <is>
          <t>1. Without help, ask the tester to upload a record (teacher) or submit a learner (adviser).</t>
        </is>
      </c>
      <c r="J66" s="13" t="inlineStr">
        <is>
          <t>-</t>
        </is>
      </c>
      <c r="K66" s="13" t="inlineStr">
        <is>
          <t>The tester completes the task without help. Note where they hesitated in Remarks.</t>
        </is>
      </c>
      <c r="L66" s="16" t="n"/>
      <c r="M66" s="17" t="n"/>
      <c r="N66" s="16" t="n"/>
      <c r="O66" s="18" t="n"/>
      <c r="P66" s="17" t="n"/>
      <c r="Q66" s="16" t="n"/>
    </row>
    <row r="67" ht="33" customHeight="1" s="25">
      <c r="A67" s="14" t="inlineStr">
        <is>
          <t>TC-066</t>
        </is>
      </c>
      <c r="B67" s="13" t="inlineStr">
        <is>
          <t>Usability</t>
        </is>
      </c>
      <c r="C67" s="15" t="inlineStr">
        <is>
          <t>All</t>
        </is>
      </c>
      <c r="D67" s="15" t="inlineStr">
        <is>
          <t>Web</t>
        </is>
      </c>
      <c r="E67" s="13" t="inlineStr">
        <is>
          <t>Usability</t>
        </is>
      </c>
      <c r="F67" s="13" t="inlineStr">
        <is>
          <t>ISO 25010</t>
        </is>
      </c>
      <c r="G67" s="13" t="inlineStr">
        <is>
          <t>Light and dark theme are readable</t>
        </is>
      </c>
      <c r="H67" s="13" t="inlineStr">
        <is>
          <t>Any page.</t>
        </is>
      </c>
      <c r="I67" s="13" t="inlineStr">
        <is>
          <t>1. Switch the theme in Settings.
2. Look through the main pages.</t>
        </is>
      </c>
      <c r="J67" s="13" t="inlineStr">
        <is>
          <t>-</t>
        </is>
      </c>
      <c r="K67" s="13" t="inlineStr">
        <is>
          <t>Text, status badges and charts are readable in both themes.</t>
        </is>
      </c>
      <c r="L67" s="16" t="n"/>
      <c r="M67" s="17" t="n"/>
      <c r="N67" s="16" t="n"/>
      <c r="O67" s="18" t="n"/>
      <c r="P67" s="17" t="n"/>
      <c r="Q67" s="16" t="n"/>
    </row>
    <row r="68" ht="30" customHeight="1" s="25">
      <c r="A68" s="14" t="inlineStr">
        <is>
          <t>TC-067</t>
        </is>
      </c>
      <c r="B68" s="13" t="inlineStr">
        <is>
          <t>Security</t>
        </is>
      </c>
      <c r="C68" s="15" t="inlineStr">
        <is>
          <t>All</t>
        </is>
      </c>
      <c r="D68" s="15" t="inlineStr">
        <is>
          <t>Web</t>
        </is>
      </c>
      <c r="E68" s="13" t="inlineStr">
        <is>
          <t>Security</t>
        </is>
      </c>
      <c r="F68" s="13" t="inlineStr">
        <is>
          <t>ISO 25010</t>
        </is>
      </c>
      <c r="G68" s="13" t="inlineStr">
        <is>
          <t>Session expires</t>
        </is>
      </c>
      <c r="H68" s="13" t="inlineStr">
        <is>
          <t>Logged in.</t>
        </is>
      </c>
      <c r="I68" s="13" t="inlineStr">
        <is>
          <t>1. Leave the session idle for more than 8 hours (or clear the token), then click a menu item.</t>
        </is>
      </c>
      <c r="J68" s="13" t="inlineStr">
        <is>
          <t>-</t>
        </is>
      </c>
      <c r="K68" s="13" t="inlineStr">
        <is>
          <t>The user is asked to log in again.</t>
        </is>
      </c>
      <c r="L68" s="16" t="n"/>
      <c r="M68" s="17" t="n"/>
      <c r="N68" s="16" t="n"/>
      <c r="O68" s="18" t="n"/>
      <c r="P68" s="17" t="n"/>
      <c r="Q68" s="16" t="n"/>
    </row>
  </sheetData>
  <autoFilter ref="A1:Q68"/>
  <conditionalFormatting sqref="M2:M68">
    <cfRule type="cellIs" priority="1" operator="equal" dxfId="3">
      <formula>"Pass"</formula>
    </cfRule>
    <cfRule type="cellIs" priority="2" operator="equal" dxfId="2">
      <formula>"Fail"</formula>
    </cfRule>
    <cfRule type="cellIs" priority="3" operator="equal" dxfId="1">
      <formula>"Blocked"</formula>
    </cfRule>
    <cfRule type="cellIs" priority="4" operator="equal" dxfId="0">
      <formula>"Not Run"</formula>
    </cfRule>
  </conditionalFormatting>
  <dataValidations count="2">
    <dataValidation sqref="M2:M68" showDropDown="0" showInputMessage="0" showErrorMessage="0" allowBlank="1" errorTitle="Status" error="Choose Pass, Fail, Blocked or Not Run." type="list">
      <formula1>"Pass,Fail,Blocked,Not Run"</formula1>
    </dataValidation>
    <dataValidation sqref="O2:O68" showDropDown="0" showInputMessage="0" showErrorMessage="0" allowBlank="1" error="Enter a date (YYYY-MM-DD)." type="date" operator="greaterThan">
      <formula1>DATE(2026,1,1)</formula1>
    </dataValidation>
  </dataValidation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selection activeCell="A1" sqref="A1"/>
    </sheetView>
  </sheetViews>
  <sheetFormatPr baseColWidth="8" defaultRowHeight="14.4"/>
  <cols>
    <col width="30" customWidth="1" style="25" min="1" max="1"/>
    <col width="11" customWidth="1" style="25" min="2" max="7"/>
  </cols>
  <sheetData>
    <row r="1" ht="21" customHeight="1" s="25">
      <c r="A1" s="1" t="inlineStr">
        <is>
          <t>Test Summary</t>
        </is>
      </c>
    </row>
    <row r="2">
      <c r="A2" s="2" t="inlineStr">
        <is>
          <t>Counts update from the Status column of the Test Cases sheet.</t>
        </is>
      </c>
    </row>
    <row r="4">
      <c r="A4" s="19" t="inlineStr">
        <is>
          <t>Overall</t>
        </is>
      </c>
    </row>
    <row r="5">
      <c r="A5" s="9" t="inlineStr">
        <is>
          <t>Total test cases</t>
        </is>
      </c>
      <c r="B5" s="20">
        <f>COUNTA('Test Cases'!$A$2:$A$68)</f>
        <v/>
      </c>
    </row>
    <row r="6">
      <c r="A6" s="9" t="inlineStr">
        <is>
          <t>Pass</t>
        </is>
      </c>
      <c r="B6" s="20">
        <f>COUNTIF('Test Cases'!$M$2:$M$68,"Pass")</f>
        <v/>
      </c>
    </row>
    <row r="7">
      <c r="A7" s="9" t="inlineStr">
        <is>
          <t>Fail</t>
        </is>
      </c>
      <c r="B7" s="20">
        <f>COUNTIF('Test Cases'!$M$2:$M$68,"Fail")</f>
        <v/>
      </c>
    </row>
    <row r="8">
      <c r="A8" s="9" t="inlineStr">
        <is>
          <t>Blocked</t>
        </is>
      </c>
      <c r="B8" s="20">
        <f>COUNTIF('Test Cases'!$M$2:$M$68,"Blocked")</f>
        <v/>
      </c>
    </row>
    <row r="9">
      <c r="A9" s="9" t="inlineStr">
        <is>
          <t>Not Run (or blank)</t>
        </is>
      </c>
      <c r="B9" s="20">
        <f>B5-B6-B7-B8</f>
        <v/>
      </c>
    </row>
    <row r="10">
      <c r="A10" s="9" t="inlineStr">
        <is>
          <t>Executed (Pass + Fail)</t>
        </is>
      </c>
      <c r="B10" s="20">
        <f>B6+B7</f>
        <v/>
      </c>
    </row>
    <row r="11">
      <c r="A11" s="9" t="inlineStr">
        <is>
          <t>Pass rate of executed</t>
        </is>
      </c>
      <c r="B11" s="21">
        <f>IF(B10=0,"-",B6/B10)</f>
        <v/>
      </c>
    </row>
    <row r="12">
      <c r="A12" s="9" t="inlineStr">
        <is>
          <t>Progress (executed or blocked)</t>
        </is>
      </c>
      <c r="B12" s="21">
        <f>IF(B5=0,"-",(B10+B8)/B5)</f>
        <v/>
      </c>
    </row>
    <row r="15">
      <c r="A15" s="19" t="inlineStr">
        <is>
          <t>Results by module</t>
        </is>
      </c>
    </row>
    <row r="16">
      <c r="A16" s="11" t="inlineStr">
        <is>
          <t>Module</t>
        </is>
      </c>
      <c r="B16" s="11" t="inlineStr">
        <is>
          <t>Total</t>
        </is>
      </c>
      <c r="C16" s="11" t="inlineStr">
        <is>
          <t>Pass</t>
        </is>
      </c>
      <c r="D16" s="11" t="inlineStr">
        <is>
          <t>Fail</t>
        </is>
      </c>
      <c r="E16" s="11" t="inlineStr">
        <is>
          <t>Blocked</t>
        </is>
      </c>
      <c r="F16" s="11" t="inlineStr">
        <is>
          <t>Not Run</t>
        </is>
      </c>
      <c r="G16" s="11" t="inlineStr">
        <is>
          <t>Pass rate</t>
        </is>
      </c>
    </row>
    <row r="17">
      <c r="A17" s="12" t="inlineStr">
        <is>
          <t>Authentication</t>
        </is>
      </c>
      <c r="B17" s="20">
        <f>COUNTIF('Test Cases'!$B$2:$B$68,A17)</f>
        <v/>
      </c>
      <c r="C17" s="20">
        <f>COUNTIFS('Test Cases'!$B$2:$B$68,A17,'Test Cases'!$M$2:$M$68,"Pass")</f>
        <v/>
      </c>
      <c r="D17" s="20">
        <f>COUNTIFS('Test Cases'!$B$2:$B$68,A17,'Test Cases'!$M$2:$M$68,"Fail")</f>
        <v/>
      </c>
      <c r="E17" s="20">
        <f>COUNTIFS('Test Cases'!$B$2:$B$68,A17,'Test Cases'!$M$2:$M$68,"Blocked")</f>
        <v/>
      </c>
      <c r="F17" s="20">
        <f>B17-C17-D17-E17</f>
        <v/>
      </c>
      <c r="G17" s="21">
        <f>IF(C17+D17=0,"-",C17/(C17+D17))</f>
        <v/>
      </c>
    </row>
    <row r="18">
      <c r="A18" s="12" t="inlineStr">
        <is>
          <t>Account</t>
        </is>
      </c>
      <c r="B18" s="20">
        <f>COUNTIF('Test Cases'!$B$2:$B$68,A18)</f>
        <v/>
      </c>
      <c r="C18" s="20">
        <f>COUNTIFS('Test Cases'!$B$2:$B$68,A18,'Test Cases'!$M$2:$M$68,"Pass")</f>
        <v/>
      </c>
      <c r="D18" s="20">
        <f>COUNTIFS('Test Cases'!$B$2:$B$68,A18,'Test Cases'!$M$2:$M$68,"Fail")</f>
        <v/>
      </c>
      <c r="E18" s="20">
        <f>COUNTIFS('Test Cases'!$B$2:$B$68,A18,'Test Cases'!$M$2:$M$68,"Blocked")</f>
        <v/>
      </c>
      <c r="F18" s="20">
        <f>B18-C18-D18-E18</f>
        <v/>
      </c>
      <c r="G18" s="21">
        <f>IF(C18+D18=0,"-",C18/(C18+D18))</f>
        <v/>
      </c>
    </row>
    <row r="19">
      <c r="A19" s="12" t="inlineStr">
        <is>
          <t>User Management</t>
        </is>
      </c>
      <c r="B19" s="20">
        <f>COUNTIF('Test Cases'!$B$2:$B$68,A19)</f>
        <v/>
      </c>
      <c r="C19" s="20">
        <f>COUNTIFS('Test Cases'!$B$2:$B$68,A19,'Test Cases'!$M$2:$M$68,"Pass")</f>
        <v/>
      </c>
      <c r="D19" s="20">
        <f>COUNTIFS('Test Cases'!$B$2:$B$68,A19,'Test Cases'!$M$2:$M$68,"Fail")</f>
        <v/>
      </c>
      <c r="E19" s="20">
        <f>COUNTIFS('Test Cases'!$B$2:$B$68,A19,'Test Cases'!$M$2:$M$68,"Blocked")</f>
        <v/>
      </c>
      <c r="F19" s="20">
        <f>B19-C19-D19-E19</f>
        <v/>
      </c>
      <c r="G19" s="21">
        <f>IF(C19+D19=0,"-",C19/(C19+D19))</f>
        <v/>
      </c>
    </row>
    <row r="20">
      <c r="A20" s="12" t="inlineStr">
        <is>
          <t>Teacher Management</t>
        </is>
      </c>
      <c r="B20" s="20">
        <f>COUNTIF('Test Cases'!$B$2:$B$68,A20)</f>
        <v/>
      </c>
      <c r="C20" s="20">
        <f>COUNTIFS('Test Cases'!$B$2:$B$68,A20,'Test Cases'!$M$2:$M$68,"Pass")</f>
        <v/>
      </c>
      <c r="D20" s="20">
        <f>COUNTIFS('Test Cases'!$B$2:$B$68,A20,'Test Cases'!$M$2:$M$68,"Fail")</f>
        <v/>
      </c>
      <c r="E20" s="20">
        <f>COUNTIFS('Test Cases'!$B$2:$B$68,A20,'Test Cases'!$M$2:$M$68,"Blocked")</f>
        <v/>
      </c>
      <c r="F20" s="20">
        <f>B20-C20-D20-E20</f>
        <v/>
      </c>
      <c r="G20" s="21">
        <f>IF(C20+D20=0,"-",C20/(C20+D20))</f>
        <v/>
      </c>
    </row>
    <row r="21">
      <c r="A21" s="12" t="inlineStr">
        <is>
          <t>Section &amp; Assignments</t>
        </is>
      </c>
      <c r="B21" s="20">
        <f>COUNTIF('Test Cases'!$B$2:$B$68,A21)</f>
        <v/>
      </c>
      <c r="C21" s="20">
        <f>COUNTIFS('Test Cases'!$B$2:$B$68,A21,'Test Cases'!$M$2:$M$68,"Pass")</f>
        <v/>
      </c>
      <c r="D21" s="20">
        <f>COUNTIFS('Test Cases'!$B$2:$B$68,A21,'Test Cases'!$M$2:$M$68,"Fail")</f>
        <v/>
      </c>
      <c r="E21" s="20">
        <f>COUNTIFS('Test Cases'!$B$2:$B$68,A21,'Test Cases'!$M$2:$M$68,"Blocked")</f>
        <v/>
      </c>
      <c r="F21" s="20">
        <f>B21-C21-D21-E21</f>
        <v/>
      </c>
      <c r="G21" s="21">
        <f>IF(C21+D21=0,"-",C21/(C21+D21))</f>
        <v/>
      </c>
    </row>
    <row r="22">
      <c r="A22" s="12" t="inlineStr">
        <is>
          <t>Audit Log</t>
        </is>
      </c>
      <c r="B22" s="20">
        <f>COUNTIF('Test Cases'!$B$2:$B$68,A22)</f>
        <v/>
      </c>
      <c r="C22" s="20">
        <f>COUNTIFS('Test Cases'!$B$2:$B$68,A22,'Test Cases'!$M$2:$M$68,"Pass")</f>
        <v/>
      </c>
      <c r="D22" s="20">
        <f>COUNTIFS('Test Cases'!$B$2:$B$68,A22,'Test Cases'!$M$2:$M$68,"Fail")</f>
        <v/>
      </c>
      <c r="E22" s="20">
        <f>COUNTIFS('Test Cases'!$B$2:$B$68,A22,'Test Cases'!$M$2:$M$68,"Blocked")</f>
        <v/>
      </c>
      <c r="F22" s="20">
        <f>B22-C22-D22-E22</f>
        <v/>
      </c>
      <c r="G22" s="21">
        <f>IF(C22+D22=0,"-",C22/(C22+D22))</f>
        <v/>
      </c>
    </row>
    <row r="23">
      <c r="A23" s="12" t="inlineStr">
        <is>
          <t>Upload</t>
        </is>
      </c>
      <c r="B23" s="20">
        <f>COUNTIF('Test Cases'!$B$2:$B$68,A23)</f>
        <v/>
      </c>
      <c r="C23" s="20">
        <f>COUNTIFS('Test Cases'!$B$2:$B$68,A23,'Test Cases'!$M$2:$M$68,"Pass")</f>
        <v/>
      </c>
      <c r="D23" s="20">
        <f>COUNTIFS('Test Cases'!$B$2:$B$68,A23,'Test Cases'!$M$2:$M$68,"Fail")</f>
        <v/>
      </c>
      <c r="E23" s="20">
        <f>COUNTIFS('Test Cases'!$B$2:$B$68,A23,'Test Cases'!$M$2:$M$68,"Blocked")</f>
        <v/>
      </c>
      <c r="F23" s="20">
        <f>B23-C23-D23-E23</f>
        <v/>
      </c>
      <c r="G23" s="21">
        <f>IF(C23+D23=0,"-",C23/(C23+D23))</f>
        <v/>
      </c>
    </row>
    <row r="24">
      <c r="A24" s="12" t="inlineStr">
        <is>
          <t>Validation</t>
        </is>
      </c>
      <c r="B24" s="20">
        <f>COUNTIF('Test Cases'!$B$2:$B$68,A24)</f>
        <v/>
      </c>
      <c r="C24" s="20">
        <f>COUNTIFS('Test Cases'!$B$2:$B$68,A24,'Test Cases'!$M$2:$M$68,"Pass")</f>
        <v/>
      </c>
      <c r="D24" s="20">
        <f>COUNTIFS('Test Cases'!$B$2:$B$68,A24,'Test Cases'!$M$2:$M$68,"Fail")</f>
        <v/>
      </c>
      <c r="E24" s="20">
        <f>COUNTIFS('Test Cases'!$B$2:$B$68,A24,'Test Cases'!$M$2:$M$68,"Blocked")</f>
        <v/>
      </c>
      <c r="F24" s="20">
        <f>B24-C24-D24-E24</f>
        <v/>
      </c>
      <c r="G24" s="21">
        <f>IF(C24+D24=0,"-",C24/(C24+D24))</f>
        <v/>
      </c>
    </row>
    <row r="25">
      <c r="A25" s="12" t="inlineStr">
        <is>
          <t>Consolidation</t>
        </is>
      </c>
      <c r="B25" s="20">
        <f>COUNTIF('Test Cases'!$B$2:$B$68,A25)</f>
        <v/>
      </c>
      <c r="C25" s="20">
        <f>COUNTIFS('Test Cases'!$B$2:$B$68,A25,'Test Cases'!$M$2:$M$68,"Pass")</f>
        <v/>
      </c>
      <c r="D25" s="20">
        <f>COUNTIFS('Test Cases'!$B$2:$B$68,A25,'Test Cases'!$M$2:$M$68,"Fail")</f>
        <v/>
      </c>
      <c r="E25" s="20">
        <f>COUNTIFS('Test Cases'!$B$2:$B$68,A25,'Test Cases'!$M$2:$M$68,"Blocked")</f>
        <v/>
      </c>
      <c r="F25" s="20">
        <f>B25-C25-D25-E25</f>
        <v/>
      </c>
      <c r="G25" s="21">
        <f>IF(C25+D25=0,"-",C25/(C25+D25))</f>
        <v/>
      </c>
    </row>
    <row r="26">
      <c r="A26" s="12" t="inlineStr">
        <is>
          <t>Submission</t>
        </is>
      </c>
      <c r="B26" s="20">
        <f>COUNTIF('Test Cases'!$B$2:$B$68,A26)</f>
        <v/>
      </c>
      <c r="C26" s="20">
        <f>COUNTIFS('Test Cases'!$B$2:$B$68,A26,'Test Cases'!$M$2:$M$68,"Pass")</f>
        <v/>
      </c>
      <c r="D26" s="20">
        <f>COUNTIFS('Test Cases'!$B$2:$B$68,A26,'Test Cases'!$M$2:$M$68,"Fail")</f>
        <v/>
      </c>
      <c r="E26" s="20">
        <f>COUNTIFS('Test Cases'!$B$2:$B$68,A26,'Test Cases'!$M$2:$M$68,"Blocked")</f>
        <v/>
      </c>
      <c r="F26" s="20">
        <f>B26-C26-D26-E26</f>
        <v/>
      </c>
      <c r="G26" s="21">
        <f>IF(C26+D26=0,"-",C26/(C26+D26))</f>
        <v/>
      </c>
    </row>
    <row r="27">
      <c r="A27" s="12" t="inlineStr">
        <is>
          <t>Section Progress</t>
        </is>
      </c>
      <c r="B27" s="20">
        <f>COUNTIF('Test Cases'!$B$2:$B$68,A27)</f>
        <v/>
      </c>
      <c r="C27" s="20">
        <f>COUNTIFS('Test Cases'!$B$2:$B$68,A27,'Test Cases'!$M$2:$M$68,"Pass")</f>
        <v/>
      </c>
      <c r="D27" s="20">
        <f>COUNTIFS('Test Cases'!$B$2:$B$68,A27,'Test Cases'!$M$2:$M$68,"Fail")</f>
        <v/>
      </c>
      <c r="E27" s="20">
        <f>COUNTIFS('Test Cases'!$B$2:$B$68,A27,'Test Cases'!$M$2:$M$68,"Blocked")</f>
        <v/>
      </c>
      <c r="F27" s="20">
        <f>B27-C27-D27-E27</f>
        <v/>
      </c>
      <c r="G27" s="21">
        <f>IF(C27+D27=0,"-",C27/(C27+D27))</f>
        <v/>
      </c>
    </row>
    <row r="28">
      <c r="A28" s="12" t="inlineStr">
        <is>
          <t>Submission Review</t>
        </is>
      </c>
      <c r="B28" s="20">
        <f>COUNTIF('Test Cases'!$B$2:$B$68,A28)</f>
        <v/>
      </c>
      <c r="C28" s="20">
        <f>COUNTIFS('Test Cases'!$B$2:$B$68,A28,'Test Cases'!$M$2:$M$68,"Pass")</f>
        <v/>
      </c>
      <c r="D28" s="20">
        <f>COUNTIFS('Test Cases'!$B$2:$B$68,A28,'Test Cases'!$M$2:$M$68,"Fail")</f>
        <v/>
      </c>
      <c r="E28" s="20">
        <f>COUNTIFS('Test Cases'!$B$2:$B$68,A28,'Test Cases'!$M$2:$M$68,"Blocked")</f>
        <v/>
      </c>
      <c r="F28" s="20">
        <f>B28-C28-D28-E28</f>
        <v/>
      </c>
      <c r="G28" s="21">
        <f>IF(C28+D28=0,"-",C28/(C28+D28))</f>
        <v/>
      </c>
    </row>
    <row r="29">
      <c r="A29" s="12" t="inlineStr">
        <is>
          <t>Principal</t>
        </is>
      </c>
      <c r="B29" s="20">
        <f>COUNTIF('Test Cases'!$B$2:$B$68,A29)</f>
        <v/>
      </c>
      <c r="C29" s="20">
        <f>COUNTIFS('Test Cases'!$B$2:$B$68,A29,'Test Cases'!$M$2:$M$68,"Pass")</f>
        <v/>
      </c>
      <c r="D29" s="20">
        <f>COUNTIFS('Test Cases'!$B$2:$B$68,A29,'Test Cases'!$M$2:$M$68,"Fail")</f>
        <v/>
      </c>
      <c r="E29" s="20">
        <f>COUNTIFS('Test Cases'!$B$2:$B$68,A29,'Test Cases'!$M$2:$M$68,"Blocked")</f>
        <v/>
      </c>
      <c r="F29" s="20">
        <f>B29-C29-D29-E29</f>
        <v/>
      </c>
      <c r="G29" s="21">
        <f>IF(C29+D29=0,"-",C29/(C29+D29))</f>
        <v/>
      </c>
    </row>
    <row r="30">
      <c r="A30" s="12" t="inlineStr">
        <is>
          <t>Repository</t>
        </is>
      </c>
      <c r="B30" s="20">
        <f>COUNTIF('Test Cases'!$B$2:$B$68,A30)</f>
        <v/>
      </c>
      <c r="C30" s="20">
        <f>COUNTIFS('Test Cases'!$B$2:$B$68,A30,'Test Cases'!$M$2:$M$68,"Pass")</f>
        <v/>
      </c>
      <c r="D30" s="20">
        <f>COUNTIFS('Test Cases'!$B$2:$B$68,A30,'Test Cases'!$M$2:$M$68,"Fail")</f>
        <v/>
      </c>
      <c r="E30" s="20">
        <f>COUNTIFS('Test Cases'!$B$2:$B$68,A30,'Test Cases'!$M$2:$M$68,"Blocked")</f>
        <v/>
      </c>
      <c r="F30" s="20">
        <f>B30-C30-D30-E30</f>
        <v/>
      </c>
      <c r="G30" s="21">
        <f>IF(C30+D30=0,"-",C30/(C30+D30))</f>
        <v/>
      </c>
    </row>
    <row r="31">
      <c r="A31" s="12" t="inlineStr">
        <is>
          <t>SF10</t>
        </is>
      </c>
      <c r="B31" s="20">
        <f>COUNTIF('Test Cases'!$B$2:$B$68,A31)</f>
        <v/>
      </c>
      <c r="C31" s="20">
        <f>COUNTIFS('Test Cases'!$B$2:$B$68,A31,'Test Cases'!$M$2:$M$68,"Pass")</f>
        <v/>
      </c>
      <c r="D31" s="20">
        <f>COUNTIFS('Test Cases'!$B$2:$B$68,A31,'Test Cases'!$M$2:$M$68,"Fail")</f>
        <v/>
      </c>
      <c r="E31" s="20">
        <f>COUNTIFS('Test Cases'!$B$2:$B$68,A31,'Test Cases'!$M$2:$M$68,"Blocked")</f>
        <v/>
      </c>
      <c r="F31" s="20">
        <f>B31-C31-D31-E31</f>
        <v/>
      </c>
      <c r="G31" s="21">
        <f>IF(C31+D31=0,"-",C31/(C31+D31))</f>
        <v/>
      </c>
    </row>
    <row r="32">
      <c r="A32" s="12" t="inlineStr">
        <is>
          <t>Analytics</t>
        </is>
      </c>
      <c r="B32" s="20">
        <f>COUNTIF('Test Cases'!$B$2:$B$68,A32)</f>
        <v/>
      </c>
      <c r="C32" s="20">
        <f>COUNTIFS('Test Cases'!$B$2:$B$68,A32,'Test Cases'!$M$2:$M$68,"Pass")</f>
        <v/>
      </c>
      <c r="D32" s="20">
        <f>COUNTIFS('Test Cases'!$B$2:$B$68,A32,'Test Cases'!$M$2:$M$68,"Fail")</f>
        <v/>
      </c>
      <c r="E32" s="20">
        <f>COUNTIFS('Test Cases'!$B$2:$B$68,A32,'Test Cases'!$M$2:$M$68,"Blocked")</f>
        <v/>
      </c>
      <c r="F32" s="20">
        <f>B32-C32-D32-E32</f>
        <v/>
      </c>
      <c r="G32" s="21">
        <f>IF(C32+D32=0,"-",C32/(C32+D32))</f>
        <v/>
      </c>
    </row>
    <row r="33">
      <c r="A33" s="12" t="inlineStr">
        <is>
          <t>Notifications</t>
        </is>
      </c>
      <c r="B33" s="20">
        <f>COUNTIF('Test Cases'!$B$2:$B$68,A33)</f>
        <v/>
      </c>
      <c r="C33" s="20">
        <f>COUNTIFS('Test Cases'!$B$2:$B$68,A33,'Test Cases'!$M$2:$M$68,"Pass")</f>
        <v/>
      </c>
      <c r="D33" s="20">
        <f>COUNTIFS('Test Cases'!$B$2:$B$68,A33,'Test Cases'!$M$2:$M$68,"Fail")</f>
        <v/>
      </c>
      <c r="E33" s="20">
        <f>COUNTIFS('Test Cases'!$B$2:$B$68,A33,'Test Cases'!$M$2:$M$68,"Blocked")</f>
        <v/>
      </c>
      <c r="F33" s="20">
        <f>B33-C33-D33-E33</f>
        <v/>
      </c>
      <c r="G33" s="21">
        <f>IF(C33+D33=0,"-",C33/(C33+D33))</f>
        <v/>
      </c>
    </row>
    <row r="34">
      <c r="A34" s="12" t="inlineStr">
        <is>
          <t>Mobile</t>
        </is>
      </c>
      <c r="B34" s="20">
        <f>COUNTIF('Test Cases'!$B$2:$B$68,A34)</f>
        <v/>
      </c>
      <c r="C34" s="20">
        <f>COUNTIFS('Test Cases'!$B$2:$B$68,A34,'Test Cases'!$M$2:$M$68,"Pass")</f>
        <v/>
      </c>
      <c r="D34" s="20">
        <f>COUNTIFS('Test Cases'!$B$2:$B$68,A34,'Test Cases'!$M$2:$M$68,"Fail")</f>
        <v/>
      </c>
      <c r="E34" s="20">
        <f>COUNTIFS('Test Cases'!$B$2:$B$68,A34,'Test Cases'!$M$2:$M$68,"Blocked")</f>
        <v/>
      </c>
      <c r="F34" s="20">
        <f>B34-C34-D34-E34</f>
        <v/>
      </c>
      <c r="G34" s="21">
        <f>IF(C34+D34=0,"-",C34/(C34+D34))</f>
        <v/>
      </c>
    </row>
    <row r="35">
      <c r="A35" s="12" t="inlineStr">
        <is>
          <t>Performance</t>
        </is>
      </c>
      <c r="B35" s="20">
        <f>COUNTIF('Test Cases'!$B$2:$B$68,A35)</f>
        <v/>
      </c>
      <c r="C35" s="20">
        <f>COUNTIFS('Test Cases'!$B$2:$B$68,A35,'Test Cases'!$M$2:$M$68,"Pass")</f>
        <v/>
      </c>
      <c r="D35" s="20">
        <f>COUNTIFS('Test Cases'!$B$2:$B$68,A35,'Test Cases'!$M$2:$M$68,"Fail")</f>
        <v/>
      </c>
      <c r="E35" s="20">
        <f>COUNTIFS('Test Cases'!$B$2:$B$68,A35,'Test Cases'!$M$2:$M$68,"Blocked")</f>
        <v/>
      </c>
      <c r="F35" s="20">
        <f>B35-C35-D35-E35</f>
        <v/>
      </c>
      <c r="G35" s="21">
        <f>IF(C35+D35=0,"-",C35/(C35+D35))</f>
        <v/>
      </c>
    </row>
    <row r="36">
      <c r="A36" s="12" t="inlineStr">
        <is>
          <t>Compatibility</t>
        </is>
      </c>
      <c r="B36" s="20">
        <f>COUNTIF('Test Cases'!$B$2:$B$68,A36)</f>
        <v/>
      </c>
      <c r="C36" s="20">
        <f>COUNTIFS('Test Cases'!$B$2:$B$68,A36,'Test Cases'!$M$2:$M$68,"Pass")</f>
        <v/>
      </c>
      <c r="D36" s="20">
        <f>COUNTIFS('Test Cases'!$B$2:$B$68,A36,'Test Cases'!$M$2:$M$68,"Fail")</f>
        <v/>
      </c>
      <c r="E36" s="20">
        <f>COUNTIFS('Test Cases'!$B$2:$B$68,A36,'Test Cases'!$M$2:$M$68,"Blocked")</f>
        <v/>
      </c>
      <c r="F36" s="20">
        <f>B36-C36-D36-E36</f>
        <v/>
      </c>
      <c r="G36" s="21">
        <f>IF(C36+D36=0,"-",C36/(C36+D36))</f>
        <v/>
      </c>
    </row>
    <row r="37">
      <c r="A37" s="12" t="inlineStr">
        <is>
          <t>Usability</t>
        </is>
      </c>
      <c r="B37" s="20">
        <f>COUNTIF('Test Cases'!$B$2:$B$68,A37)</f>
        <v/>
      </c>
      <c r="C37" s="20">
        <f>COUNTIFS('Test Cases'!$B$2:$B$68,A37,'Test Cases'!$M$2:$M$68,"Pass")</f>
        <v/>
      </c>
      <c r="D37" s="20">
        <f>COUNTIFS('Test Cases'!$B$2:$B$68,A37,'Test Cases'!$M$2:$M$68,"Fail")</f>
        <v/>
      </c>
      <c r="E37" s="20">
        <f>COUNTIFS('Test Cases'!$B$2:$B$68,A37,'Test Cases'!$M$2:$M$68,"Blocked")</f>
        <v/>
      </c>
      <c r="F37" s="20">
        <f>B37-C37-D37-E37</f>
        <v/>
      </c>
      <c r="G37" s="21">
        <f>IF(C37+D37=0,"-",C37/(C37+D37))</f>
        <v/>
      </c>
    </row>
    <row r="38">
      <c r="A38" s="12" t="inlineStr">
        <is>
          <t>Security</t>
        </is>
      </c>
      <c r="B38" s="20">
        <f>COUNTIF('Test Cases'!$B$2:$B$68,A38)</f>
        <v/>
      </c>
      <c r="C38" s="20">
        <f>COUNTIFS('Test Cases'!$B$2:$B$68,A38,'Test Cases'!$M$2:$M$68,"Pass")</f>
        <v/>
      </c>
      <c r="D38" s="20">
        <f>COUNTIFS('Test Cases'!$B$2:$B$68,A38,'Test Cases'!$M$2:$M$68,"Fail")</f>
        <v/>
      </c>
      <c r="E38" s="20">
        <f>COUNTIFS('Test Cases'!$B$2:$B$68,A38,'Test Cases'!$M$2:$M$68,"Blocked")</f>
        <v/>
      </c>
      <c r="F38" s="20">
        <f>B38-C38-D38-E38</f>
        <v/>
      </c>
      <c r="G38" s="21">
        <f>IF(C38+D38=0,"-",C38/(C38+D38))</f>
        <v/>
      </c>
    </row>
    <row r="41">
      <c r="A41" s="19" t="inlineStr">
        <is>
          <t>Results by ISO 25010 characteristic</t>
        </is>
      </c>
    </row>
    <row r="42">
      <c r="A42" s="11" t="inlineStr">
        <is>
          <t>Iso 25010 characteristic</t>
        </is>
      </c>
      <c r="B42" s="11" t="inlineStr">
        <is>
          <t>Total</t>
        </is>
      </c>
      <c r="C42" s="11" t="inlineStr">
        <is>
          <t>Pass</t>
        </is>
      </c>
      <c r="D42" s="11" t="inlineStr">
        <is>
          <t>Fail</t>
        </is>
      </c>
      <c r="E42" s="11" t="inlineStr">
        <is>
          <t>Blocked</t>
        </is>
      </c>
      <c r="F42" s="11" t="inlineStr">
        <is>
          <t>Not Run</t>
        </is>
      </c>
      <c r="G42" s="11" t="inlineStr">
        <is>
          <t>Pass rate</t>
        </is>
      </c>
    </row>
    <row r="43">
      <c r="A43" s="12" t="inlineStr">
        <is>
          <t>Security</t>
        </is>
      </c>
      <c r="B43" s="20">
        <f>COUNTIF('Test Cases'!$E$2:$E$68,A43)</f>
        <v/>
      </c>
      <c r="C43" s="20">
        <f>COUNTIFS('Test Cases'!$E$2:$E$68,A43,'Test Cases'!$M$2:$M$68,"Pass")</f>
        <v/>
      </c>
      <c r="D43" s="20">
        <f>COUNTIFS('Test Cases'!$E$2:$E$68,A43,'Test Cases'!$M$2:$M$68,"Fail")</f>
        <v/>
      </c>
      <c r="E43" s="20">
        <f>COUNTIFS('Test Cases'!$E$2:$E$68,A43,'Test Cases'!$M$2:$M$68,"Blocked")</f>
        <v/>
      </c>
      <c r="F43" s="20">
        <f>B43-C43-D43-E43</f>
        <v/>
      </c>
      <c r="G43" s="21">
        <f>IF(C43+D43=0,"-",C43/(C43+D43))</f>
        <v/>
      </c>
    </row>
    <row r="44">
      <c r="A44" s="12" t="inlineStr">
        <is>
          <t>Usability</t>
        </is>
      </c>
      <c r="B44" s="20">
        <f>COUNTIF('Test Cases'!$E$2:$E$68,A44)</f>
        <v/>
      </c>
      <c r="C44" s="20">
        <f>COUNTIFS('Test Cases'!$E$2:$E$68,A44,'Test Cases'!$M$2:$M$68,"Pass")</f>
        <v/>
      </c>
      <c r="D44" s="20">
        <f>COUNTIFS('Test Cases'!$E$2:$E$68,A44,'Test Cases'!$M$2:$M$68,"Fail")</f>
        <v/>
      </c>
      <c r="E44" s="20">
        <f>COUNTIFS('Test Cases'!$E$2:$E$68,A44,'Test Cases'!$M$2:$M$68,"Blocked")</f>
        <v/>
      </c>
      <c r="F44" s="20">
        <f>B44-C44-D44-E44</f>
        <v/>
      </c>
      <c r="G44" s="21">
        <f>IF(C44+D44=0,"-",C44/(C44+D44))</f>
        <v/>
      </c>
    </row>
    <row r="45">
      <c r="A45" s="12" t="inlineStr">
        <is>
          <t>Functional suitability</t>
        </is>
      </c>
      <c r="B45" s="20">
        <f>COUNTIF('Test Cases'!$E$2:$E$68,A45)</f>
        <v/>
      </c>
      <c r="C45" s="20">
        <f>COUNTIFS('Test Cases'!$E$2:$E$68,A45,'Test Cases'!$M$2:$M$68,"Pass")</f>
        <v/>
      </c>
      <c r="D45" s="20">
        <f>COUNTIFS('Test Cases'!$E$2:$E$68,A45,'Test Cases'!$M$2:$M$68,"Fail")</f>
        <v/>
      </c>
      <c r="E45" s="20">
        <f>COUNTIFS('Test Cases'!$E$2:$E$68,A45,'Test Cases'!$M$2:$M$68,"Blocked")</f>
        <v/>
      </c>
      <c r="F45" s="20">
        <f>B45-C45-D45-E45</f>
        <v/>
      </c>
      <c r="G45" s="21">
        <f>IF(C45+D45=0,"-",C45/(C45+D45))</f>
        <v/>
      </c>
    </row>
    <row r="46">
      <c r="A46" s="12" t="inlineStr">
        <is>
          <t>Compatibility</t>
        </is>
      </c>
      <c r="B46" s="20">
        <f>COUNTIF('Test Cases'!$E$2:$E$68,A46)</f>
        <v/>
      </c>
      <c r="C46" s="20">
        <f>COUNTIFS('Test Cases'!$E$2:$E$68,A46,'Test Cases'!$M$2:$M$68,"Pass")</f>
        <v/>
      </c>
      <c r="D46" s="20">
        <f>COUNTIFS('Test Cases'!$E$2:$E$68,A46,'Test Cases'!$M$2:$M$68,"Fail")</f>
        <v/>
      </c>
      <c r="E46" s="20">
        <f>COUNTIFS('Test Cases'!$E$2:$E$68,A46,'Test Cases'!$M$2:$M$68,"Blocked")</f>
        <v/>
      </c>
      <c r="F46" s="20">
        <f>B46-C46-D46-E46</f>
        <v/>
      </c>
      <c r="G46" s="21">
        <f>IF(C46+D46=0,"-",C46/(C46+D46))</f>
        <v/>
      </c>
    </row>
    <row r="47">
      <c r="A47" s="12" t="inlineStr">
        <is>
          <t>Reliability</t>
        </is>
      </c>
      <c r="B47" s="20">
        <f>COUNTIF('Test Cases'!$E$2:$E$68,A47)</f>
        <v/>
      </c>
      <c r="C47" s="20">
        <f>COUNTIFS('Test Cases'!$E$2:$E$68,A47,'Test Cases'!$M$2:$M$68,"Pass")</f>
        <v/>
      </c>
      <c r="D47" s="20">
        <f>COUNTIFS('Test Cases'!$E$2:$E$68,A47,'Test Cases'!$M$2:$M$68,"Fail")</f>
        <v/>
      </c>
      <c r="E47" s="20">
        <f>COUNTIFS('Test Cases'!$E$2:$E$68,A47,'Test Cases'!$M$2:$M$68,"Blocked")</f>
        <v/>
      </c>
      <c r="F47" s="20">
        <f>B47-C47-D47-E47</f>
        <v/>
      </c>
      <c r="G47" s="21">
        <f>IF(C47+D47=0,"-",C47/(C47+D47))</f>
        <v/>
      </c>
    </row>
    <row r="48">
      <c r="A48" s="12" t="inlineStr">
        <is>
          <t>Performance efficiency</t>
        </is>
      </c>
      <c r="B48" s="20">
        <f>COUNTIF('Test Cases'!$E$2:$E$68,A48)</f>
        <v/>
      </c>
      <c r="C48" s="20">
        <f>COUNTIFS('Test Cases'!$E$2:$E$68,A48,'Test Cases'!$M$2:$M$68,"Pass")</f>
        <v/>
      </c>
      <c r="D48" s="20">
        <f>COUNTIFS('Test Cases'!$E$2:$E$68,A48,'Test Cases'!$M$2:$M$68,"Fail")</f>
        <v/>
      </c>
      <c r="E48" s="20">
        <f>COUNTIFS('Test Cases'!$E$2:$E$68,A48,'Test Cases'!$M$2:$M$68,"Blocked")</f>
        <v/>
      </c>
      <c r="F48" s="20">
        <f>B48-C48-D48-E48</f>
        <v/>
      </c>
      <c r="G48" s="21">
        <f>IF(C48+D48=0,"-",C48/(C48+D48))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0" customWidth="1" style="25" min="1" max="1"/>
    <col width="9" customWidth="1" style="25" min="2" max="2"/>
    <col width="11" customWidth="1" style="25" min="3" max="3"/>
    <col width="30" customWidth="1" style="25" min="4" max="4"/>
    <col width="40" customWidth="1" style="25" min="5" max="5"/>
    <col width="28" customWidth="1" style="25" min="6" max="7"/>
    <col width="14" customWidth="1" style="25" min="8" max="8"/>
    <col width="12" customWidth="1" style="25" min="9" max="10"/>
    <col width="16" customWidth="1" style="25" min="11" max="11"/>
    <col width="12" customWidth="1" style="25" min="12" max="12"/>
    <col width="24" customWidth="1" style="25" min="13" max="13"/>
  </cols>
  <sheetData>
    <row r="1" ht="30" customHeight="1" s="25">
      <c r="A1" s="11" t="inlineStr">
        <is>
          <t>Defect ID</t>
        </is>
      </c>
      <c r="B1" s="11" t="inlineStr">
        <is>
          <t>TC ID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Steps to Reproduce</t>
        </is>
      </c>
      <c r="F1" s="11" t="inlineStr">
        <is>
          <t>Expected</t>
        </is>
      </c>
      <c r="G1" s="11" t="inlineStr">
        <is>
          <t>Actual</t>
        </is>
      </c>
      <c r="H1" s="11" t="inlineStr">
        <is>
          <t>Found By</t>
        </is>
      </c>
      <c r="I1" s="11" t="inlineStr">
        <is>
          <t>Date Found</t>
        </is>
      </c>
      <c r="J1" s="11" t="inlineStr">
        <is>
          <t>Status</t>
        </is>
      </c>
      <c r="K1" s="11" t="inlineStr">
        <is>
          <t>Fixed In (commit)</t>
        </is>
      </c>
      <c r="L1" s="11" t="inlineStr">
        <is>
          <t>Retest Result</t>
        </is>
      </c>
      <c r="M1" s="11" t="inlineStr">
        <is>
          <t>Remarks</t>
        </is>
      </c>
    </row>
    <row r="2">
      <c r="A2" s="14" t="inlineStr">
        <is>
          <t>DEF-001</t>
        </is>
      </c>
      <c r="B2" s="16" t="n"/>
      <c r="C2" s="16" t="n"/>
      <c r="D2" s="16" t="n"/>
      <c r="E2" s="16" t="n"/>
      <c r="F2" s="16" t="n"/>
      <c r="G2" s="16" t="n"/>
      <c r="H2" s="16" t="n"/>
      <c r="I2" s="22" t="n"/>
      <c r="J2" s="16" t="n"/>
      <c r="K2" s="16" t="n"/>
      <c r="L2" s="16" t="n"/>
      <c r="M2" s="16" t="n"/>
    </row>
    <row r="3">
      <c r="A3" s="14" t="inlineStr">
        <is>
          <t>DEF-002</t>
        </is>
      </c>
      <c r="B3" s="16" t="n"/>
      <c r="C3" s="16" t="n"/>
      <c r="D3" s="16" t="n"/>
      <c r="E3" s="16" t="n"/>
      <c r="F3" s="16" t="n"/>
      <c r="G3" s="16" t="n"/>
      <c r="H3" s="16" t="n"/>
      <c r="I3" s="22" t="n"/>
      <c r="J3" s="16" t="n"/>
      <c r="K3" s="16" t="n"/>
      <c r="L3" s="16" t="n"/>
      <c r="M3" s="16" t="n"/>
    </row>
    <row r="4">
      <c r="A4" s="14" t="inlineStr">
        <is>
          <t>DEF-003</t>
        </is>
      </c>
      <c r="B4" s="16" t="n"/>
      <c r="C4" s="16" t="n"/>
      <c r="D4" s="16" t="n"/>
      <c r="E4" s="16" t="n"/>
      <c r="F4" s="16" t="n"/>
      <c r="G4" s="16" t="n"/>
      <c r="H4" s="16" t="n"/>
      <c r="I4" s="22" t="n"/>
      <c r="J4" s="16" t="n"/>
      <c r="K4" s="16" t="n"/>
      <c r="L4" s="16" t="n"/>
      <c r="M4" s="16" t="n"/>
    </row>
    <row r="5">
      <c r="A5" s="14" t="inlineStr">
        <is>
          <t>DEF-004</t>
        </is>
      </c>
      <c r="B5" s="16" t="n"/>
      <c r="C5" s="16" t="n"/>
      <c r="D5" s="16" t="n"/>
      <c r="E5" s="16" t="n"/>
      <c r="F5" s="16" t="n"/>
      <c r="G5" s="16" t="n"/>
      <c r="H5" s="16" t="n"/>
      <c r="I5" s="22" t="n"/>
      <c r="J5" s="16" t="n"/>
      <c r="K5" s="16" t="n"/>
      <c r="L5" s="16" t="n"/>
      <c r="M5" s="16" t="n"/>
    </row>
    <row r="6">
      <c r="A6" s="14" t="inlineStr">
        <is>
          <t>DEF-005</t>
        </is>
      </c>
      <c r="B6" s="16" t="n"/>
      <c r="C6" s="16" t="n"/>
      <c r="D6" s="16" t="n"/>
      <c r="E6" s="16" t="n"/>
      <c r="F6" s="16" t="n"/>
      <c r="G6" s="16" t="n"/>
      <c r="H6" s="16" t="n"/>
      <c r="I6" s="22" t="n"/>
      <c r="J6" s="16" t="n"/>
      <c r="K6" s="16" t="n"/>
      <c r="L6" s="16" t="n"/>
      <c r="M6" s="16" t="n"/>
    </row>
    <row r="7">
      <c r="A7" s="14" t="inlineStr">
        <is>
          <t>DEF-006</t>
        </is>
      </c>
      <c r="B7" s="16" t="n"/>
      <c r="C7" s="16" t="n"/>
      <c r="D7" s="16" t="n"/>
      <c r="E7" s="16" t="n"/>
      <c r="F7" s="16" t="n"/>
      <c r="G7" s="16" t="n"/>
      <c r="H7" s="16" t="n"/>
      <c r="I7" s="22" t="n"/>
      <c r="J7" s="16" t="n"/>
      <c r="K7" s="16" t="n"/>
      <c r="L7" s="16" t="n"/>
      <c r="M7" s="16" t="n"/>
    </row>
    <row r="8">
      <c r="A8" s="14" t="inlineStr">
        <is>
          <t>DEF-007</t>
        </is>
      </c>
      <c r="B8" s="16" t="n"/>
      <c r="C8" s="16" t="n"/>
      <c r="D8" s="16" t="n"/>
      <c r="E8" s="16" t="n"/>
      <c r="F8" s="16" t="n"/>
      <c r="G8" s="16" t="n"/>
      <c r="H8" s="16" t="n"/>
      <c r="I8" s="22" t="n"/>
      <c r="J8" s="16" t="n"/>
      <c r="K8" s="16" t="n"/>
      <c r="L8" s="16" t="n"/>
      <c r="M8" s="16" t="n"/>
    </row>
    <row r="9">
      <c r="A9" s="14" t="inlineStr">
        <is>
          <t>DEF-008</t>
        </is>
      </c>
      <c r="B9" s="16" t="n"/>
      <c r="C9" s="16" t="n"/>
      <c r="D9" s="16" t="n"/>
      <c r="E9" s="16" t="n"/>
      <c r="F9" s="16" t="n"/>
      <c r="G9" s="16" t="n"/>
      <c r="H9" s="16" t="n"/>
      <c r="I9" s="22" t="n"/>
      <c r="J9" s="16" t="n"/>
      <c r="K9" s="16" t="n"/>
      <c r="L9" s="16" t="n"/>
      <c r="M9" s="16" t="n"/>
    </row>
    <row r="10">
      <c r="A10" s="14" t="inlineStr">
        <is>
          <t>DEF-009</t>
        </is>
      </c>
      <c r="B10" s="16" t="n"/>
      <c r="C10" s="16" t="n"/>
      <c r="D10" s="16" t="n"/>
      <c r="E10" s="16" t="n"/>
      <c r="F10" s="16" t="n"/>
      <c r="G10" s="16" t="n"/>
      <c r="H10" s="16" t="n"/>
      <c r="I10" s="22" t="n"/>
      <c r="J10" s="16" t="n"/>
      <c r="K10" s="16" t="n"/>
      <c r="L10" s="16" t="n"/>
      <c r="M10" s="16" t="n"/>
    </row>
    <row r="11">
      <c r="A11" s="14" t="inlineStr">
        <is>
          <t>DEF-010</t>
        </is>
      </c>
      <c r="B11" s="16" t="n"/>
      <c r="C11" s="16" t="n"/>
      <c r="D11" s="16" t="n"/>
      <c r="E11" s="16" t="n"/>
      <c r="F11" s="16" t="n"/>
      <c r="G11" s="16" t="n"/>
      <c r="H11" s="16" t="n"/>
      <c r="I11" s="22" t="n"/>
      <c r="J11" s="16" t="n"/>
      <c r="K11" s="16" t="n"/>
      <c r="L11" s="16" t="n"/>
      <c r="M11" s="16" t="n"/>
    </row>
    <row r="12">
      <c r="A12" s="14" t="inlineStr">
        <is>
          <t>DEF-011</t>
        </is>
      </c>
      <c r="B12" s="16" t="n"/>
      <c r="C12" s="16" t="n"/>
      <c r="D12" s="16" t="n"/>
      <c r="E12" s="16" t="n"/>
      <c r="F12" s="16" t="n"/>
      <c r="G12" s="16" t="n"/>
      <c r="H12" s="16" t="n"/>
      <c r="I12" s="22" t="n"/>
      <c r="J12" s="16" t="n"/>
      <c r="K12" s="16" t="n"/>
      <c r="L12" s="16" t="n"/>
      <c r="M12" s="16" t="n"/>
    </row>
    <row r="13">
      <c r="A13" s="14" t="inlineStr">
        <is>
          <t>DEF-012</t>
        </is>
      </c>
      <c r="B13" s="16" t="n"/>
      <c r="C13" s="16" t="n"/>
      <c r="D13" s="16" t="n"/>
      <c r="E13" s="16" t="n"/>
      <c r="F13" s="16" t="n"/>
      <c r="G13" s="16" t="n"/>
      <c r="H13" s="16" t="n"/>
      <c r="I13" s="22" t="n"/>
      <c r="J13" s="16" t="n"/>
      <c r="K13" s="16" t="n"/>
      <c r="L13" s="16" t="n"/>
      <c r="M13" s="16" t="n"/>
    </row>
    <row r="14">
      <c r="A14" s="14" t="inlineStr">
        <is>
          <t>DEF-013</t>
        </is>
      </c>
      <c r="B14" s="16" t="n"/>
      <c r="C14" s="16" t="n"/>
      <c r="D14" s="16" t="n"/>
      <c r="E14" s="16" t="n"/>
      <c r="F14" s="16" t="n"/>
      <c r="G14" s="16" t="n"/>
      <c r="H14" s="16" t="n"/>
      <c r="I14" s="22" t="n"/>
      <c r="J14" s="16" t="n"/>
      <c r="K14" s="16" t="n"/>
      <c r="L14" s="16" t="n"/>
      <c r="M14" s="16" t="n"/>
    </row>
    <row r="15">
      <c r="A15" s="14" t="inlineStr">
        <is>
          <t>DEF-014</t>
        </is>
      </c>
      <c r="B15" s="16" t="n"/>
      <c r="C15" s="16" t="n"/>
      <c r="D15" s="16" t="n"/>
      <c r="E15" s="16" t="n"/>
      <c r="F15" s="16" t="n"/>
      <c r="G15" s="16" t="n"/>
      <c r="H15" s="16" t="n"/>
      <c r="I15" s="22" t="n"/>
      <c r="J15" s="16" t="n"/>
      <c r="K15" s="16" t="n"/>
      <c r="L15" s="16" t="n"/>
      <c r="M15" s="16" t="n"/>
    </row>
    <row r="16">
      <c r="A16" s="14" t="inlineStr">
        <is>
          <t>DEF-015</t>
        </is>
      </c>
      <c r="B16" s="16" t="n"/>
      <c r="C16" s="16" t="n"/>
      <c r="D16" s="16" t="n"/>
      <c r="E16" s="16" t="n"/>
      <c r="F16" s="16" t="n"/>
      <c r="G16" s="16" t="n"/>
      <c r="H16" s="16" t="n"/>
      <c r="I16" s="22" t="n"/>
      <c r="J16" s="16" t="n"/>
      <c r="K16" s="16" t="n"/>
      <c r="L16" s="16" t="n"/>
      <c r="M16" s="16" t="n"/>
    </row>
    <row r="17">
      <c r="A17" s="14" t="inlineStr">
        <is>
          <t>DEF-016</t>
        </is>
      </c>
      <c r="B17" s="16" t="n"/>
      <c r="C17" s="16" t="n"/>
      <c r="D17" s="16" t="n"/>
      <c r="E17" s="16" t="n"/>
      <c r="F17" s="16" t="n"/>
      <c r="G17" s="16" t="n"/>
      <c r="H17" s="16" t="n"/>
      <c r="I17" s="22" t="n"/>
      <c r="J17" s="16" t="n"/>
      <c r="K17" s="16" t="n"/>
      <c r="L17" s="16" t="n"/>
      <c r="M17" s="16" t="n"/>
    </row>
    <row r="18">
      <c r="A18" s="14" t="inlineStr">
        <is>
          <t>DEF-017</t>
        </is>
      </c>
      <c r="B18" s="16" t="n"/>
      <c r="C18" s="16" t="n"/>
      <c r="D18" s="16" t="n"/>
      <c r="E18" s="16" t="n"/>
      <c r="F18" s="16" t="n"/>
      <c r="G18" s="16" t="n"/>
      <c r="H18" s="16" t="n"/>
      <c r="I18" s="22" t="n"/>
      <c r="J18" s="16" t="n"/>
      <c r="K18" s="16" t="n"/>
      <c r="L18" s="16" t="n"/>
      <c r="M18" s="16" t="n"/>
    </row>
    <row r="19">
      <c r="A19" s="14" t="inlineStr">
        <is>
          <t>DEF-018</t>
        </is>
      </c>
      <c r="B19" s="16" t="n"/>
      <c r="C19" s="16" t="n"/>
      <c r="D19" s="16" t="n"/>
      <c r="E19" s="16" t="n"/>
      <c r="F19" s="16" t="n"/>
      <c r="G19" s="16" t="n"/>
      <c r="H19" s="16" t="n"/>
      <c r="I19" s="22" t="n"/>
      <c r="J19" s="16" t="n"/>
      <c r="K19" s="16" t="n"/>
      <c r="L19" s="16" t="n"/>
      <c r="M19" s="16" t="n"/>
    </row>
    <row r="20">
      <c r="A20" s="14" t="inlineStr">
        <is>
          <t>DEF-019</t>
        </is>
      </c>
      <c r="B20" s="16" t="n"/>
      <c r="C20" s="16" t="n"/>
      <c r="D20" s="16" t="n"/>
      <c r="E20" s="16" t="n"/>
      <c r="F20" s="16" t="n"/>
      <c r="G20" s="16" t="n"/>
      <c r="H20" s="16" t="n"/>
      <c r="I20" s="22" t="n"/>
      <c r="J20" s="16" t="n"/>
      <c r="K20" s="16" t="n"/>
      <c r="L20" s="16" t="n"/>
      <c r="M20" s="16" t="n"/>
    </row>
    <row r="21">
      <c r="A21" s="14" t="inlineStr">
        <is>
          <t>DEF-020</t>
        </is>
      </c>
      <c r="B21" s="16" t="n"/>
      <c r="C21" s="16" t="n"/>
      <c r="D21" s="16" t="n"/>
      <c r="E21" s="16" t="n"/>
      <c r="F21" s="16" t="n"/>
      <c r="G21" s="16" t="n"/>
      <c r="H21" s="16" t="n"/>
      <c r="I21" s="22" t="n"/>
      <c r="J21" s="16" t="n"/>
      <c r="K21" s="16" t="n"/>
      <c r="L21" s="16" t="n"/>
      <c r="M21" s="16" t="n"/>
    </row>
    <row r="22">
      <c r="A22" s="14" t="inlineStr">
        <is>
          <t>DEF-021</t>
        </is>
      </c>
      <c r="B22" s="16" t="n"/>
      <c r="C22" s="16" t="n"/>
      <c r="D22" s="16" t="n"/>
      <c r="E22" s="16" t="n"/>
      <c r="F22" s="16" t="n"/>
      <c r="G22" s="16" t="n"/>
      <c r="H22" s="16" t="n"/>
      <c r="I22" s="22" t="n"/>
      <c r="J22" s="16" t="n"/>
      <c r="K22" s="16" t="n"/>
      <c r="L22" s="16" t="n"/>
      <c r="M22" s="16" t="n"/>
    </row>
    <row r="23">
      <c r="A23" s="14" t="inlineStr">
        <is>
          <t>DEF-022</t>
        </is>
      </c>
      <c r="B23" s="16" t="n"/>
      <c r="C23" s="16" t="n"/>
      <c r="D23" s="16" t="n"/>
      <c r="E23" s="16" t="n"/>
      <c r="F23" s="16" t="n"/>
      <c r="G23" s="16" t="n"/>
      <c r="H23" s="16" t="n"/>
      <c r="I23" s="22" t="n"/>
      <c r="J23" s="16" t="n"/>
      <c r="K23" s="16" t="n"/>
      <c r="L23" s="16" t="n"/>
      <c r="M23" s="16" t="n"/>
    </row>
    <row r="24">
      <c r="A24" s="14" t="inlineStr">
        <is>
          <t>DEF-023</t>
        </is>
      </c>
      <c r="B24" s="16" t="n"/>
      <c r="C24" s="16" t="n"/>
      <c r="D24" s="16" t="n"/>
      <c r="E24" s="16" t="n"/>
      <c r="F24" s="16" t="n"/>
      <c r="G24" s="16" t="n"/>
      <c r="H24" s="16" t="n"/>
      <c r="I24" s="22" t="n"/>
      <c r="J24" s="16" t="n"/>
      <c r="K24" s="16" t="n"/>
      <c r="L24" s="16" t="n"/>
      <c r="M24" s="16" t="n"/>
    </row>
    <row r="25">
      <c r="A25" s="14" t="inlineStr">
        <is>
          <t>DEF-024</t>
        </is>
      </c>
      <c r="B25" s="16" t="n"/>
      <c r="C25" s="16" t="n"/>
      <c r="D25" s="16" t="n"/>
      <c r="E25" s="16" t="n"/>
      <c r="F25" s="16" t="n"/>
      <c r="G25" s="16" t="n"/>
      <c r="H25" s="16" t="n"/>
      <c r="I25" s="22" t="n"/>
      <c r="J25" s="16" t="n"/>
      <c r="K25" s="16" t="n"/>
      <c r="L25" s="16" t="n"/>
      <c r="M25" s="16" t="n"/>
    </row>
    <row r="26">
      <c r="A26" s="14" t="inlineStr">
        <is>
          <t>DEF-025</t>
        </is>
      </c>
      <c r="B26" s="16" t="n"/>
      <c r="C26" s="16" t="n"/>
      <c r="D26" s="16" t="n"/>
      <c r="E26" s="16" t="n"/>
      <c r="F26" s="16" t="n"/>
      <c r="G26" s="16" t="n"/>
      <c r="H26" s="16" t="n"/>
      <c r="I26" s="22" t="n"/>
      <c r="J26" s="16" t="n"/>
      <c r="K26" s="16" t="n"/>
      <c r="L26" s="16" t="n"/>
      <c r="M26" s="16" t="n"/>
    </row>
    <row r="27">
      <c r="A27" s="14" t="inlineStr">
        <is>
          <t>DEF-026</t>
        </is>
      </c>
      <c r="B27" s="16" t="n"/>
      <c r="C27" s="16" t="n"/>
      <c r="D27" s="16" t="n"/>
      <c r="E27" s="16" t="n"/>
      <c r="F27" s="16" t="n"/>
      <c r="G27" s="16" t="n"/>
      <c r="H27" s="16" t="n"/>
      <c r="I27" s="22" t="n"/>
      <c r="J27" s="16" t="n"/>
      <c r="K27" s="16" t="n"/>
      <c r="L27" s="16" t="n"/>
      <c r="M27" s="16" t="n"/>
    </row>
    <row r="28">
      <c r="A28" s="14" t="inlineStr">
        <is>
          <t>DEF-027</t>
        </is>
      </c>
      <c r="B28" s="16" t="n"/>
      <c r="C28" s="16" t="n"/>
      <c r="D28" s="16" t="n"/>
      <c r="E28" s="16" t="n"/>
      <c r="F28" s="16" t="n"/>
      <c r="G28" s="16" t="n"/>
      <c r="H28" s="16" t="n"/>
      <c r="I28" s="22" t="n"/>
      <c r="J28" s="16" t="n"/>
      <c r="K28" s="16" t="n"/>
      <c r="L28" s="16" t="n"/>
      <c r="M28" s="16" t="n"/>
    </row>
    <row r="29">
      <c r="A29" s="14" t="inlineStr">
        <is>
          <t>DEF-028</t>
        </is>
      </c>
      <c r="B29" s="16" t="n"/>
      <c r="C29" s="16" t="n"/>
      <c r="D29" s="16" t="n"/>
      <c r="E29" s="16" t="n"/>
      <c r="F29" s="16" t="n"/>
      <c r="G29" s="16" t="n"/>
      <c r="H29" s="16" t="n"/>
      <c r="I29" s="22" t="n"/>
      <c r="J29" s="16" t="n"/>
      <c r="K29" s="16" t="n"/>
      <c r="L29" s="16" t="n"/>
      <c r="M29" s="16" t="n"/>
    </row>
    <row r="30">
      <c r="A30" s="14" t="inlineStr">
        <is>
          <t>DEF-029</t>
        </is>
      </c>
      <c r="B30" s="16" t="n"/>
      <c r="C30" s="16" t="n"/>
      <c r="D30" s="16" t="n"/>
      <c r="E30" s="16" t="n"/>
      <c r="F30" s="16" t="n"/>
      <c r="G30" s="16" t="n"/>
      <c r="H30" s="16" t="n"/>
      <c r="I30" s="22" t="n"/>
      <c r="J30" s="16" t="n"/>
      <c r="K30" s="16" t="n"/>
      <c r="L30" s="16" t="n"/>
      <c r="M30" s="16" t="n"/>
    </row>
    <row r="31">
      <c r="A31" s="14" t="inlineStr">
        <is>
          <t>DEF-030</t>
        </is>
      </c>
      <c r="B31" s="16" t="n"/>
      <c r="C31" s="16" t="n"/>
      <c r="D31" s="16" t="n"/>
      <c r="E31" s="16" t="n"/>
      <c r="F31" s="16" t="n"/>
      <c r="G31" s="16" t="n"/>
      <c r="H31" s="16" t="n"/>
      <c r="I31" s="22" t="n"/>
      <c r="J31" s="16" t="n"/>
      <c r="K31" s="16" t="n"/>
      <c r="L31" s="16" t="n"/>
      <c r="M31" s="16" t="n"/>
    </row>
    <row r="32">
      <c r="A32" s="14" t="inlineStr">
        <is>
          <t>DEF-031</t>
        </is>
      </c>
      <c r="B32" s="16" t="n"/>
      <c r="C32" s="16" t="n"/>
      <c r="D32" s="16" t="n"/>
      <c r="E32" s="16" t="n"/>
      <c r="F32" s="16" t="n"/>
      <c r="G32" s="16" t="n"/>
      <c r="H32" s="16" t="n"/>
      <c r="I32" s="22" t="n"/>
      <c r="J32" s="16" t="n"/>
      <c r="K32" s="16" t="n"/>
      <c r="L32" s="16" t="n"/>
      <c r="M32" s="16" t="n"/>
    </row>
    <row r="33">
      <c r="A33" s="14" t="inlineStr">
        <is>
          <t>DEF-032</t>
        </is>
      </c>
      <c r="B33" s="16" t="n"/>
      <c r="C33" s="16" t="n"/>
      <c r="D33" s="16" t="n"/>
      <c r="E33" s="16" t="n"/>
      <c r="F33" s="16" t="n"/>
      <c r="G33" s="16" t="n"/>
      <c r="H33" s="16" t="n"/>
      <c r="I33" s="22" t="n"/>
      <c r="J33" s="16" t="n"/>
      <c r="K33" s="16" t="n"/>
      <c r="L33" s="16" t="n"/>
      <c r="M33" s="16" t="n"/>
    </row>
    <row r="34">
      <c r="A34" s="14" t="inlineStr">
        <is>
          <t>DEF-033</t>
        </is>
      </c>
      <c r="B34" s="16" t="n"/>
      <c r="C34" s="16" t="n"/>
      <c r="D34" s="16" t="n"/>
      <c r="E34" s="16" t="n"/>
      <c r="F34" s="16" t="n"/>
      <c r="G34" s="16" t="n"/>
      <c r="H34" s="16" t="n"/>
      <c r="I34" s="22" t="n"/>
      <c r="J34" s="16" t="n"/>
      <c r="K34" s="16" t="n"/>
      <c r="L34" s="16" t="n"/>
      <c r="M34" s="16" t="n"/>
    </row>
    <row r="35">
      <c r="A35" s="14" t="inlineStr">
        <is>
          <t>DEF-034</t>
        </is>
      </c>
      <c r="B35" s="16" t="n"/>
      <c r="C35" s="16" t="n"/>
      <c r="D35" s="16" t="n"/>
      <c r="E35" s="16" t="n"/>
      <c r="F35" s="16" t="n"/>
      <c r="G35" s="16" t="n"/>
      <c r="H35" s="16" t="n"/>
      <c r="I35" s="22" t="n"/>
      <c r="J35" s="16" t="n"/>
      <c r="K35" s="16" t="n"/>
      <c r="L35" s="16" t="n"/>
      <c r="M35" s="16" t="n"/>
    </row>
    <row r="36">
      <c r="A36" s="14" t="inlineStr">
        <is>
          <t>DEF-035</t>
        </is>
      </c>
      <c r="B36" s="16" t="n"/>
      <c r="C36" s="16" t="n"/>
      <c r="D36" s="16" t="n"/>
      <c r="E36" s="16" t="n"/>
      <c r="F36" s="16" t="n"/>
      <c r="G36" s="16" t="n"/>
      <c r="H36" s="16" t="n"/>
      <c r="I36" s="22" t="n"/>
      <c r="J36" s="16" t="n"/>
      <c r="K36" s="16" t="n"/>
      <c r="L36" s="16" t="n"/>
      <c r="M36" s="16" t="n"/>
    </row>
    <row r="37">
      <c r="A37" s="14" t="inlineStr">
        <is>
          <t>DEF-036</t>
        </is>
      </c>
      <c r="B37" s="16" t="n"/>
      <c r="C37" s="16" t="n"/>
      <c r="D37" s="16" t="n"/>
      <c r="E37" s="16" t="n"/>
      <c r="F37" s="16" t="n"/>
      <c r="G37" s="16" t="n"/>
      <c r="H37" s="16" t="n"/>
      <c r="I37" s="22" t="n"/>
      <c r="J37" s="16" t="n"/>
      <c r="K37" s="16" t="n"/>
      <c r="L37" s="16" t="n"/>
      <c r="M37" s="16" t="n"/>
    </row>
    <row r="38">
      <c r="A38" s="14" t="inlineStr">
        <is>
          <t>DEF-037</t>
        </is>
      </c>
      <c r="B38" s="16" t="n"/>
      <c r="C38" s="16" t="n"/>
      <c r="D38" s="16" t="n"/>
      <c r="E38" s="16" t="n"/>
      <c r="F38" s="16" t="n"/>
      <c r="G38" s="16" t="n"/>
      <c r="H38" s="16" t="n"/>
      <c r="I38" s="22" t="n"/>
      <c r="J38" s="16" t="n"/>
      <c r="K38" s="16" t="n"/>
      <c r="L38" s="16" t="n"/>
      <c r="M38" s="16" t="n"/>
    </row>
    <row r="39">
      <c r="A39" s="14" t="inlineStr">
        <is>
          <t>DEF-038</t>
        </is>
      </c>
      <c r="B39" s="16" t="n"/>
      <c r="C39" s="16" t="n"/>
      <c r="D39" s="16" t="n"/>
      <c r="E39" s="16" t="n"/>
      <c r="F39" s="16" t="n"/>
      <c r="G39" s="16" t="n"/>
      <c r="H39" s="16" t="n"/>
      <c r="I39" s="22" t="n"/>
      <c r="J39" s="16" t="n"/>
      <c r="K39" s="16" t="n"/>
      <c r="L39" s="16" t="n"/>
      <c r="M39" s="16" t="n"/>
    </row>
    <row r="40">
      <c r="A40" s="14" t="inlineStr">
        <is>
          <t>DEF-039</t>
        </is>
      </c>
      <c r="B40" s="16" t="n"/>
      <c r="C40" s="16" t="n"/>
      <c r="D40" s="16" t="n"/>
      <c r="E40" s="16" t="n"/>
      <c r="F40" s="16" t="n"/>
      <c r="G40" s="16" t="n"/>
      <c r="H40" s="16" t="n"/>
      <c r="I40" s="22" t="n"/>
      <c r="J40" s="16" t="n"/>
      <c r="K40" s="16" t="n"/>
      <c r="L40" s="16" t="n"/>
      <c r="M40" s="16" t="n"/>
    </row>
    <row r="41">
      <c r="A41" s="14" t="inlineStr">
        <is>
          <t>DEF-040</t>
        </is>
      </c>
      <c r="B41" s="16" t="n"/>
      <c r="C41" s="16" t="n"/>
      <c r="D41" s="16" t="n"/>
      <c r="E41" s="16" t="n"/>
      <c r="F41" s="16" t="n"/>
      <c r="G41" s="16" t="n"/>
      <c r="H41" s="16" t="n"/>
      <c r="I41" s="22" t="n"/>
      <c r="J41" s="16" t="n"/>
      <c r="K41" s="16" t="n"/>
      <c r="L41" s="16" t="n"/>
      <c r="M41" s="16" t="n"/>
    </row>
    <row r="42">
      <c r="A42" s="14" t="inlineStr">
        <is>
          <t>DEF-041</t>
        </is>
      </c>
      <c r="B42" s="16" t="n"/>
      <c r="C42" s="16" t="n"/>
      <c r="D42" s="16" t="n"/>
      <c r="E42" s="16" t="n"/>
      <c r="F42" s="16" t="n"/>
      <c r="G42" s="16" t="n"/>
      <c r="H42" s="16" t="n"/>
      <c r="I42" s="22" t="n"/>
      <c r="J42" s="16" t="n"/>
      <c r="K42" s="16" t="n"/>
      <c r="L42" s="16" t="n"/>
      <c r="M42" s="16" t="n"/>
    </row>
    <row r="43">
      <c r="A43" s="14" t="inlineStr">
        <is>
          <t>DEF-042</t>
        </is>
      </c>
      <c r="B43" s="16" t="n"/>
      <c r="C43" s="16" t="n"/>
      <c r="D43" s="16" t="n"/>
      <c r="E43" s="16" t="n"/>
      <c r="F43" s="16" t="n"/>
      <c r="G43" s="16" t="n"/>
      <c r="H43" s="16" t="n"/>
      <c r="I43" s="22" t="n"/>
      <c r="J43" s="16" t="n"/>
      <c r="K43" s="16" t="n"/>
      <c r="L43" s="16" t="n"/>
      <c r="M43" s="16" t="n"/>
    </row>
    <row r="44">
      <c r="A44" s="14" t="inlineStr">
        <is>
          <t>DEF-043</t>
        </is>
      </c>
      <c r="B44" s="16" t="n"/>
      <c r="C44" s="16" t="n"/>
      <c r="D44" s="16" t="n"/>
      <c r="E44" s="16" t="n"/>
      <c r="F44" s="16" t="n"/>
      <c r="G44" s="16" t="n"/>
      <c r="H44" s="16" t="n"/>
      <c r="I44" s="22" t="n"/>
      <c r="J44" s="16" t="n"/>
      <c r="K44" s="16" t="n"/>
      <c r="L44" s="16" t="n"/>
      <c r="M44" s="16" t="n"/>
    </row>
    <row r="45">
      <c r="A45" s="14" t="inlineStr">
        <is>
          <t>DEF-044</t>
        </is>
      </c>
      <c r="B45" s="16" t="n"/>
      <c r="C45" s="16" t="n"/>
      <c r="D45" s="16" t="n"/>
      <c r="E45" s="16" t="n"/>
      <c r="F45" s="16" t="n"/>
      <c r="G45" s="16" t="n"/>
      <c r="H45" s="16" t="n"/>
      <c r="I45" s="22" t="n"/>
      <c r="J45" s="16" t="n"/>
      <c r="K45" s="16" t="n"/>
      <c r="L45" s="16" t="n"/>
      <c r="M45" s="16" t="n"/>
    </row>
    <row r="46">
      <c r="A46" s="14" t="inlineStr">
        <is>
          <t>DEF-045</t>
        </is>
      </c>
      <c r="B46" s="16" t="n"/>
      <c r="C46" s="16" t="n"/>
      <c r="D46" s="16" t="n"/>
      <c r="E46" s="16" t="n"/>
      <c r="F46" s="16" t="n"/>
      <c r="G46" s="16" t="n"/>
      <c r="H46" s="16" t="n"/>
      <c r="I46" s="22" t="n"/>
      <c r="J46" s="16" t="n"/>
      <c r="K46" s="16" t="n"/>
      <c r="L46" s="16" t="n"/>
      <c r="M46" s="16" t="n"/>
    </row>
    <row r="47">
      <c r="A47" s="14" t="inlineStr">
        <is>
          <t>DEF-046</t>
        </is>
      </c>
      <c r="B47" s="16" t="n"/>
      <c r="C47" s="16" t="n"/>
      <c r="D47" s="16" t="n"/>
      <c r="E47" s="16" t="n"/>
      <c r="F47" s="16" t="n"/>
      <c r="G47" s="16" t="n"/>
      <c r="H47" s="16" t="n"/>
      <c r="I47" s="22" t="n"/>
      <c r="J47" s="16" t="n"/>
      <c r="K47" s="16" t="n"/>
      <c r="L47" s="16" t="n"/>
      <c r="M47" s="16" t="n"/>
    </row>
    <row r="48">
      <c r="A48" s="14" t="inlineStr">
        <is>
          <t>DEF-047</t>
        </is>
      </c>
      <c r="B48" s="16" t="n"/>
      <c r="C48" s="16" t="n"/>
      <c r="D48" s="16" t="n"/>
      <c r="E48" s="16" t="n"/>
      <c r="F48" s="16" t="n"/>
      <c r="G48" s="16" t="n"/>
      <c r="H48" s="16" t="n"/>
      <c r="I48" s="22" t="n"/>
      <c r="J48" s="16" t="n"/>
      <c r="K48" s="16" t="n"/>
      <c r="L48" s="16" t="n"/>
      <c r="M48" s="16" t="n"/>
    </row>
    <row r="49">
      <c r="A49" s="14" t="inlineStr">
        <is>
          <t>DEF-048</t>
        </is>
      </c>
      <c r="B49" s="16" t="n"/>
      <c r="C49" s="16" t="n"/>
      <c r="D49" s="16" t="n"/>
      <c r="E49" s="16" t="n"/>
      <c r="F49" s="16" t="n"/>
      <c r="G49" s="16" t="n"/>
      <c r="H49" s="16" t="n"/>
      <c r="I49" s="22" t="n"/>
      <c r="J49" s="16" t="n"/>
      <c r="K49" s="16" t="n"/>
      <c r="L49" s="16" t="n"/>
      <c r="M49" s="16" t="n"/>
    </row>
    <row r="50">
      <c r="A50" s="14" t="inlineStr">
        <is>
          <t>DEF-049</t>
        </is>
      </c>
      <c r="B50" s="16" t="n"/>
      <c r="C50" s="16" t="n"/>
      <c r="D50" s="16" t="n"/>
      <c r="E50" s="16" t="n"/>
      <c r="F50" s="16" t="n"/>
      <c r="G50" s="16" t="n"/>
      <c r="H50" s="16" t="n"/>
      <c r="I50" s="22" t="n"/>
      <c r="J50" s="16" t="n"/>
      <c r="K50" s="16" t="n"/>
      <c r="L50" s="16" t="n"/>
      <c r="M50" s="16" t="n"/>
    </row>
    <row r="51">
      <c r="A51" s="14" t="inlineStr">
        <is>
          <t>DEF-050</t>
        </is>
      </c>
      <c r="B51" s="16" t="n"/>
      <c r="C51" s="16" t="n"/>
      <c r="D51" s="16" t="n"/>
      <c r="E51" s="16" t="n"/>
      <c r="F51" s="16" t="n"/>
      <c r="G51" s="16" t="n"/>
      <c r="H51" s="16" t="n"/>
      <c r="I51" s="22" t="n"/>
      <c r="J51" s="16" t="n"/>
      <c r="K51" s="16" t="n"/>
      <c r="L51" s="16" t="n"/>
      <c r="M51" s="16" t="n"/>
    </row>
    <row r="52">
      <c r="A52" s="14" t="inlineStr">
        <is>
          <t>DEF-051</t>
        </is>
      </c>
      <c r="B52" s="16" t="n"/>
      <c r="C52" s="16" t="n"/>
      <c r="D52" s="16" t="n"/>
      <c r="E52" s="16" t="n"/>
      <c r="F52" s="16" t="n"/>
      <c r="G52" s="16" t="n"/>
      <c r="H52" s="16" t="n"/>
      <c r="I52" s="22" t="n"/>
      <c r="J52" s="16" t="n"/>
      <c r="K52" s="16" t="n"/>
      <c r="L52" s="16" t="n"/>
      <c r="M52" s="16" t="n"/>
    </row>
    <row r="53">
      <c r="A53" s="14" t="inlineStr">
        <is>
          <t>DEF-052</t>
        </is>
      </c>
      <c r="B53" s="16" t="n"/>
      <c r="C53" s="16" t="n"/>
      <c r="D53" s="16" t="n"/>
      <c r="E53" s="16" t="n"/>
      <c r="F53" s="16" t="n"/>
      <c r="G53" s="16" t="n"/>
      <c r="H53" s="16" t="n"/>
      <c r="I53" s="22" t="n"/>
      <c r="J53" s="16" t="n"/>
      <c r="K53" s="16" t="n"/>
      <c r="L53" s="16" t="n"/>
      <c r="M53" s="16" t="n"/>
    </row>
    <row r="54">
      <c r="A54" s="14" t="inlineStr">
        <is>
          <t>DEF-053</t>
        </is>
      </c>
      <c r="B54" s="16" t="n"/>
      <c r="C54" s="16" t="n"/>
      <c r="D54" s="16" t="n"/>
      <c r="E54" s="16" t="n"/>
      <c r="F54" s="16" t="n"/>
      <c r="G54" s="16" t="n"/>
      <c r="H54" s="16" t="n"/>
      <c r="I54" s="22" t="n"/>
      <c r="J54" s="16" t="n"/>
      <c r="K54" s="16" t="n"/>
      <c r="L54" s="16" t="n"/>
      <c r="M54" s="16" t="n"/>
    </row>
    <row r="55">
      <c r="A55" s="14" t="inlineStr">
        <is>
          <t>DEF-054</t>
        </is>
      </c>
      <c r="B55" s="16" t="n"/>
      <c r="C55" s="16" t="n"/>
      <c r="D55" s="16" t="n"/>
      <c r="E55" s="16" t="n"/>
      <c r="F55" s="16" t="n"/>
      <c r="G55" s="16" t="n"/>
      <c r="H55" s="16" t="n"/>
      <c r="I55" s="22" t="n"/>
      <c r="J55" s="16" t="n"/>
      <c r="K55" s="16" t="n"/>
      <c r="L55" s="16" t="n"/>
      <c r="M55" s="16" t="n"/>
    </row>
    <row r="56">
      <c r="A56" s="14" t="inlineStr">
        <is>
          <t>DEF-055</t>
        </is>
      </c>
      <c r="B56" s="16" t="n"/>
      <c r="C56" s="16" t="n"/>
      <c r="D56" s="16" t="n"/>
      <c r="E56" s="16" t="n"/>
      <c r="F56" s="16" t="n"/>
      <c r="G56" s="16" t="n"/>
      <c r="H56" s="16" t="n"/>
      <c r="I56" s="22" t="n"/>
      <c r="J56" s="16" t="n"/>
      <c r="K56" s="16" t="n"/>
      <c r="L56" s="16" t="n"/>
      <c r="M56" s="16" t="n"/>
    </row>
    <row r="57">
      <c r="A57" s="14" t="inlineStr">
        <is>
          <t>DEF-056</t>
        </is>
      </c>
      <c r="B57" s="16" t="n"/>
      <c r="C57" s="16" t="n"/>
      <c r="D57" s="16" t="n"/>
      <c r="E57" s="16" t="n"/>
      <c r="F57" s="16" t="n"/>
      <c r="G57" s="16" t="n"/>
      <c r="H57" s="16" t="n"/>
      <c r="I57" s="22" t="n"/>
      <c r="J57" s="16" t="n"/>
      <c r="K57" s="16" t="n"/>
      <c r="L57" s="16" t="n"/>
      <c r="M57" s="16" t="n"/>
    </row>
    <row r="58">
      <c r="A58" s="14" t="inlineStr">
        <is>
          <t>DEF-057</t>
        </is>
      </c>
      <c r="B58" s="16" t="n"/>
      <c r="C58" s="16" t="n"/>
      <c r="D58" s="16" t="n"/>
      <c r="E58" s="16" t="n"/>
      <c r="F58" s="16" t="n"/>
      <c r="G58" s="16" t="n"/>
      <c r="H58" s="16" t="n"/>
      <c r="I58" s="22" t="n"/>
      <c r="J58" s="16" t="n"/>
      <c r="K58" s="16" t="n"/>
      <c r="L58" s="16" t="n"/>
      <c r="M58" s="16" t="n"/>
    </row>
    <row r="59">
      <c r="A59" s="14" t="inlineStr">
        <is>
          <t>DEF-058</t>
        </is>
      </c>
      <c r="B59" s="16" t="n"/>
      <c r="C59" s="16" t="n"/>
      <c r="D59" s="16" t="n"/>
      <c r="E59" s="16" t="n"/>
      <c r="F59" s="16" t="n"/>
      <c r="G59" s="16" t="n"/>
      <c r="H59" s="16" t="n"/>
      <c r="I59" s="22" t="n"/>
      <c r="J59" s="16" t="n"/>
      <c r="K59" s="16" t="n"/>
      <c r="L59" s="16" t="n"/>
      <c r="M59" s="16" t="n"/>
    </row>
    <row r="60">
      <c r="A60" s="14" t="inlineStr">
        <is>
          <t>DEF-059</t>
        </is>
      </c>
      <c r="B60" s="16" t="n"/>
      <c r="C60" s="16" t="n"/>
      <c r="D60" s="16" t="n"/>
      <c r="E60" s="16" t="n"/>
      <c r="F60" s="16" t="n"/>
      <c r="G60" s="16" t="n"/>
      <c r="H60" s="16" t="n"/>
      <c r="I60" s="22" t="n"/>
      <c r="J60" s="16" t="n"/>
      <c r="K60" s="16" t="n"/>
      <c r="L60" s="16" t="n"/>
      <c r="M60" s="16" t="n"/>
    </row>
    <row r="61">
      <c r="A61" s="14" t="inlineStr">
        <is>
          <t>DEF-060</t>
        </is>
      </c>
      <c r="B61" s="16" t="n"/>
      <c r="C61" s="16" t="n"/>
      <c r="D61" s="16" t="n"/>
      <c r="E61" s="16" t="n"/>
      <c r="F61" s="16" t="n"/>
      <c r="G61" s="16" t="n"/>
      <c r="H61" s="16" t="n"/>
      <c r="I61" s="22" t="n"/>
      <c r="J61" s="16" t="n"/>
      <c r="K61" s="16" t="n"/>
      <c r="L61" s="16" t="n"/>
      <c r="M61" s="16" t="n"/>
    </row>
    <row r="63">
      <c r="A63" s="23" t="inlineStr">
        <is>
          <t>Severity guide</t>
        </is>
      </c>
    </row>
    <row r="64">
      <c r="A64" s="5" t="inlineStr">
        <is>
          <t>Critical</t>
        </is>
      </c>
      <c r="B64" s="26" t="inlineStr">
        <is>
          <t>Wrong grades saved or shown, data lost, or a user sees/changes data they should not.</t>
        </is>
      </c>
    </row>
    <row r="65">
      <c r="A65" s="5" t="inlineStr">
        <is>
          <t>High</t>
        </is>
      </c>
      <c r="B65" s="26" t="inlineStr">
        <is>
          <t>A main task (upload, submit, approve, SF10) cannot be completed.</t>
        </is>
      </c>
    </row>
    <row r="66">
      <c r="A66" s="5" t="inlineStr">
        <is>
          <t>Medium</t>
        </is>
      </c>
      <c r="B66" s="26" t="inlineStr">
        <is>
          <t>A task works but with a wrong message, wrong count or a workaround.</t>
        </is>
      </c>
    </row>
    <row r="67">
      <c r="A67" s="5" t="inlineStr">
        <is>
          <t>Low</t>
        </is>
      </c>
      <c r="B67" s="26" t="inlineStr">
        <is>
          <t>Cosmetic: layout, wording, alignment.</t>
        </is>
      </c>
    </row>
  </sheetData>
  <mergeCells count="4">
    <mergeCell ref="B65:F65"/>
    <mergeCell ref="B64:F64"/>
    <mergeCell ref="B67:F67"/>
    <mergeCell ref="B66:F66"/>
  </mergeCells>
  <dataValidations count="3">
    <dataValidation sqref="C2:C61" showDropDown="0" showInputMessage="0" showErrorMessage="0" allowBlank="1" type="list">
      <formula1>"Critical,High,Medium,Low"</formula1>
    </dataValidation>
    <dataValidation sqref="J2:J61" showDropDown="0" showInputMessage="0" showErrorMessage="0" allowBlank="1" type="list">
      <formula1>"Open,In Progress,Fixed,Closed,Won't Fix"</formula1>
    </dataValidation>
    <dataValidation sqref="L2:L61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2026-10-10T13:13:05Z</dcterms:created>
  <dcterms:modified xsi:type="dcterms:W3CDTF">2026-10-11T14:05:52Z</dcterms:modified>
  <cp:lastModifiedBy>Shaine Ella Pines</cp:lastModifiedBy>
</cp:coreProperties>
</file>