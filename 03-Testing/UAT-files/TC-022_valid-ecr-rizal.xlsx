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" sheetId="1" r:id="rId1"/>
    <sheet name="TERM1" sheetId="2" r:id="rId2"/>
    <sheet name="TERM2" sheetId="3" r:id="rId3"/>
    <sheet name="TERM3" sheetId="4" r:id="rId4"/>
    <sheet name="SUMMARY OF GRADES" sheetId="5" r:id="rId5"/>
    <sheet name="Helper (Do Not Delete)" sheetId="6" r:id="rId6" state="hidden"/>
    <sheet name="DO NOT DELETE" sheetId="7" r:id="rId7" state="hidden"/>
    <sheet name="LRN" sheetId="8" r:id="rId8"/>
  </sheets>
  <definedNames>
    <definedName name="_xlnm._FilterDatabase" localSheetId="0" hidden="1">'INPUT'!B11:B112</definedName>
    <definedName name="_xlnm._FilterDatabase" localSheetId="4" hidden="1">'SUMMARY OF GRADES'!B12:B113</definedName>
    <definedName name="_xlnm._FilterDatabase" localSheetId="1" hidden="1">'TERM1'!B11:B112</definedName>
    <definedName name="_xlnm._FilterDatabase" localSheetId="2" hidden="1">'TERM2'!B11:B112</definedName>
    <definedName name="_xlnm._FilterDatabase" localSheetId="3" hidden="1">'TERM3'!B11:B112</definedName>
    <definedName name="DESCRIPTORS">'Helper (Do Not Delete)'!$T$3:$W$7</definedName>
    <definedName name="FemaleLearners">INPUT!$B$63:$B$112</definedName>
    <definedName name="MaleLearners">INPUT!$B$12:$B$61</definedName>
    <definedName name="NewTransmu">'Helper (Do Not Delete)'!$H$3:$K$43</definedName>
    <definedName name="_xlnm.Print_Area" localSheetId="0">INPUT!$A$1:$Z$112</definedName>
    <definedName name="_xlnm.Print_Area" localSheetId="4">'SUMMARY OF GRADES'!$A$1:$AB$113</definedName>
    <definedName name="_xlnm.Print_Area" localSheetId="1">TERM1!$A$1:$AB$112</definedName>
    <definedName name="_xlnm.Print_Area" localSheetId="2">TERM2!$A$1:$AB$112</definedName>
    <definedName name="_xlnm.Print_Area" localSheetId="3">TERM3!$A$1:$AB$112</definedName>
    <definedName name="T1_Names">TERM1!$B$12:$B$112</definedName>
    <definedName name="TRANSMUTATION_TABLE">'DO NOT DELETE'!$G$2:$J$42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;;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9"/>
  <sheetViews>
    <sheetView workbookViewId="0" rightToLeft="0"/>
  </sheetViews>
  <sheetData>
    <row r="1">
      <c r="A1" t="str">
        <v xml:space="preserve">Class Record </v>
      </c>
    </row>
    <row r="3">
      <c r="A3" t="str">
        <v>(Waiting for the Official DepEd Order)</v>
      </c>
    </row>
    <row r="4">
      <c r="B4" t="str">
        <v>REGION</v>
      </c>
      <c r="G4" t="str">
        <v>Region IV-A CALABARZON</v>
      </c>
      <c r="I4" t="str">
        <v>DIVISION</v>
      </c>
      <c r="L4" t="str">
        <v>Division of Quezon</v>
      </c>
    </row>
    <row r="5">
      <c r="B5" t="str">
        <v>SCHOOL NAME</v>
      </c>
      <c r="G5" t="str">
        <v>San Isidro Elementary School</v>
      </c>
      <c r="Q5" t="str">
        <v>SCHOOL ID</v>
      </c>
      <c r="S5" t="str">
        <v>107845</v>
      </c>
      <c r="V5" t="str">
        <v>SCHOOL YEAR</v>
      </c>
      <c r="Y5" t="str">
        <v>2026-2027</v>
      </c>
    </row>
    <row r="7">
      <c r="F7" t="str">
        <v xml:space="preserve">GRADE &amp; SECTION: </v>
      </c>
      <c r="J7" t="str">
        <v>Grade 4 - Mabini</v>
      </c>
      <c r="N7" t="str">
        <v>TEACHER:</v>
      </c>
      <c r="Q7" t="str">
        <v>Maria Elena Santos</v>
      </c>
      <c r="W7" t="str">
        <v>SUBJECT:</v>
      </c>
      <c r="Y7" t="str">
        <v>English</v>
      </c>
    </row>
    <row r="8">
      <c r="B8" t="str">
        <v>LEARNERS' NAMES</v>
      </c>
    </row>
    <row r="10">
      <c r="B10" t="str">
        <v>HIGHEST POSSIBLE SCORE</v>
      </c>
    </row>
    <row r="11">
      <c r="B11" t="str">
        <v xml:space="preserve">MALE </v>
      </c>
    </row>
    <row r="12">
      <c r="A12">
        <v>1</v>
      </c>
      <c r="B12" t="str">
        <v>Aguilar, Adrian</v>
      </c>
      <c r="AS12" t="e">
        <f>(V12/$V$10)*100</f>
        <v>#DIV/0!</v>
      </c>
    </row>
    <row r="13">
      <c r="A13">
        <v>2</v>
      </c>
      <c r="B13" t="str">
        <v>Alcantara, Angelo</v>
      </c>
      <c r="AS13" t="e">
        <f>(V13/$V$10)*100</f>
        <v>#DIV/0!</v>
      </c>
    </row>
    <row r="14">
      <c r="A14">
        <v>3</v>
      </c>
      <c r="B14" t="str">
        <v>Andrada, Anton</v>
      </c>
      <c r="AS14" t="e">
        <f>(V14/$V$10)*100</f>
        <v>#DIV/0!</v>
      </c>
    </row>
    <row r="15">
      <c r="A15">
        <v>4</v>
      </c>
      <c r="B15" t="str">
        <v>Bautista, Bryan</v>
      </c>
      <c r="AS15" t="e">
        <f>(V15/$V$10)*100</f>
        <v>#DIV/0!</v>
      </c>
    </row>
    <row r="16">
      <c r="A16">
        <v>5</v>
      </c>
      <c r="B16" t="str">
        <v>Bernardo, Caleb</v>
      </c>
      <c r="AS16" t="e">
        <f>(V16/$V$10)*100</f>
        <v>#DIV/0!</v>
      </c>
    </row>
    <row r="17">
      <c r="A17">
        <v>6</v>
      </c>
      <c r="B17" t="str">
        <v>Castillo, Carlo</v>
      </c>
      <c r="AS17" t="e">
        <f>(V17/$V$10)*100</f>
        <v>#DIV/0!</v>
      </c>
    </row>
    <row r="18">
      <c r="A18">
        <v>7</v>
      </c>
      <c r="B18" t="str">
        <v>Cruz, Christian</v>
      </c>
      <c r="AS18" t="e">
        <f>(V18/$V$10)*100</f>
        <v>#DIV/0!</v>
      </c>
    </row>
    <row r="19">
      <c r="A19">
        <v>8</v>
      </c>
      <c r="B19" t="str">
        <v>Dela Cruz, Daniel</v>
      </c>
      <c r="AS19" t="e">
        <f>(V19/$V$10)*100</f>
        <v>#DIV/0!</v>
      </c>
    </row>
    <row r="20">
      <c r="A20">
        <v>9</v>
      </c>
      <c r="B20" t="str">
        <v>Diaz, Darren</v>
      </c>
      <c r="AS20" t="e">
        <f>(V20/$V$10)*100</f>
        <v>#DIV/0!</v>
      </c>
    </row>
    <row r="21">
      <c r="A21">
        <v>10</v>
      </c>
      <c r="B21" t="str">
        <v>Evangelista, Diego</v>
      </c>
      <c r="AS21" t="e">
        <f>(V21/$V$10)*100</f>
        <v>#DIV/0!</v>
      </c>
    </row>
    <row r="22">
      <c r="A22">
        <v>11</v>
      </c>
      <c r="B22" t="str">
        <v>Fernandez, Ethan</v>
      </c>
      <c r="AS22" t="e">
        <f>(V22/$V$10)*100</f>
        <v>#DIV/0!</v>
      </c>
    </row>
    <row r="23">
      <c r="A23">
        <v>12</v>
      </c>
      <c r="B23" t="str">
        <v>Garcia, Gabriel</v>
      </c>
      <c r="AS23" t="e">
        <f>(V23/$V$10)*100</f>
        <v>#DIV/0!</v>
      </c>
    </row>
    <row r="24">
      <c r="A24">
        <v>13</v>
      </c>
      <c r="B24" t="str">
        <v>Gonzales, Harold</v>
      </c>
      <c r="AS24" t="e">
        <f>(V24/$V$10)*100</f>
        <v>#DIV/0!</v>
      </c>
    </row>
    <row r="25">
      <c r="A25">
        <v>14</v>
      </c>
      <c r="B25" t="str">
        <v>Hernandez, Ivan</v>
      </c>
      <c r="AS25" t="e">
        <f>(V25/$V$10)*100</f>
        <v>#DIV/0!</v>
      </c>
    </row>
    <row r="26">
      <c r="A26">
        <v>15</v>
      </c>
      <c r="B26" t="str">
        <v>Ilagan, Jacob</v>
      </c>
      <c r="AS26" t="e">
        <f>(V26/$V$10)*100</f>
        <v>#DIV/0!</v>
      </c>
    </row>
    <row r="27">
      <c r="A27">
        <v>16</v>
      </c>
      <c r="B27" t="str">
        <v>Jimenez, James</v>
      </c>
      <c r="AS27" t="e">
        <f>(V27/$V$10)*100</f>
        <v>#DIV/0!</v>
      </c>
    </row>
    <row r="28">
      <c r="A28">
        <v>17</v>
      </c>
      <c r="B28" t="str">
        <v>Lacson, Jared</v>
      </c>
      <c r="AS28" t="e">
        <f>(V28/$V$10)*100</f>
        <v>#DIV/0!</v>
      </c>
    </row>
    <row r="29">
      <c r="A29">
        <v>18</v>
      </c>
      <c r="B29" t="str">
        <v>Lim, Jericho</v>
      </c>
      <c r="AS29" t="e">
        <f>(V29/$V$10)*100</f>
        <v>#DIV/0!</v>
      </c>
    </row>
    <row r="30">
      <c r="A30">
        <v>19</v>
      </c>
      <c r="B30" t="str">
        <v>Manalo, Joaquin</v>
      </c>
      <c r="AS30" t="e">
        <f>(V30/$V$10)*100</f>
        <v>#DIV/0!</v>
      </c>
    </row>
    <row r="31">
      <c r="A31">
        <v>20</v>
      </c>
      <c r="B31" t="str">
        <v>Mendoza, Joshua</v>
      </c>
      <c r="AS31" t="e">
        <f>(V31/$V$10)*100</f>
        <v>#DIV/0!</v>
      </c>
    </row>
    <row r="32">
      <c r="A32">
        <v>21</v>
      </c>
      <c r="B32" t="str">
        <v>Navarro, Lance</v>
      </c>
      <c r="AS32" t="e">
        <f>(V32/$V$10)*100</f>
        <v>#DIV/0!</v>
      </c>
    </row>
    <row r="33">
      <c r="A33">
        <v>22</v>
      </c>
      <c r="B33" t="str">
        <v>Ocampo, Luis</v>
      </c>
      <c r="AS33" t="e">
        <f>(V33/$V$10)*100</f>
        <v>#DIV/0!</v>
      </c>
    </row>
    <row r="34">
      <c r="A34">
        <v>23</v>
      </c>
      <c r="B34" t="str">
        <v>Ortega, Marco</v>
      </c>
      <c r="AS34" t="e">
        <f>(V34/$V$10)*100</f>
        <v>#DIV/0!</v>
      </c>
    </row>
    <row r="35">
      <c r="A35">
        <v>24</v>
      </c>
      <c r="B35" t="str">
        <v>Pascual, Martin</v>
      </c>
      <c r="AS35" t="e">
        <f>(V35/$V$10)*100</f>
        <v>#DIV/0!</v>
      </c>
    </row>
    <row r="36">
      <c r="A36">
        <v>25</v>
      </c>
      <c r="B36" t="str">
        <v>Quizon, Matthew</v>
      </c>
      <c r="AS36" t="e">
        <f>(V36/$V$10)*100</f>
        <v>#DIV/0!</v>
      </c>
    </row>
    <row r="37">
      <c r="A37">
        <v>26</v>
      </c>
      <c r="B37" t="str">
        <v>Ramos, Miguel</v>
      </c>
      <c r="AS37" t="e">
        <f>(V37/$V$10)*100</f>
        <v>#DIV/0!</v>
      </c>
    </row>
    <row r="38">
      <c r="A38">
        <v>27</v>
      </c>
      <c r="B38" t="str">
        <v>Reyes, Nathan</v>
      </c>
      <c r="AS38" t="e">
        <f>(V38/$V$10)*100</f>
        <v>#DIV/0!</v>
      </c>
    </row>
    <row r="39">
      <c r="A39">
        <v>28</v>
      </c>
      <c r="B39" t="str">
        <v>Rivera, Noah</v>
      </c>
      <c r="AS39" t="e">
        <f>(V39/$V$10)*100</f>
        <v>#DIV/0!</v>
      </c>
    </row>
    <row r="40">
      <c r="A40">
        <v>29</v>
      </c>
      <c r="B40" t="str">
        <v>Rosales, Oliver</v>
      </c>
      <c r="AS40" t="e">
        <f>(V40/$V$10)*100</f>
        <v>#DIV/0!</v>
      </c>
    </row>
    <row r="41">
      <c r="A41">
        <v>30</v>
      </c>
      <c r="B41" t="str">
        <v>Salazar, Paolo</v>
      </c>
      <c r="AS41" t="e">
        <f>(V41/$V$10)*100</f>
        <v>#DIV/0!</v>
      </c>
    </row>
    <row r="42">
      <c r="A42">
        <v>31</v>
      </c>
      <c r="B42" t="str">
        <v>Santiago, Patrick</v>
      </c>
      <c r="AS42" t="e">
        <f>(V42/$V$10)*100</f>
        <v>#DIV/0!</v>
      </c>
    </row>
    <row r="43">
      <c r="A43">
        <v>32</v>
      </c>
      <c r="B43" t="str">
        <v>Santos, Rafael</v>
      </c>
      <c r="AS43" t="e">
        <f>(V43/$V$10)*100</f>
        <v>#DIV/0!</v>
      </c>
    </row>
    <row r="44">
      <c r="A44">
        <v>33</v>
      </c>
      <c r="B44" t="str">
        <v>Soriano, Raymond</v>
      </c>
      <c r="AS44" t="e">
        <f>(V44/$V$10)*100</f>
        <v>#DIV/0!</v>
      </c>
    </row>
    <row r="45">
      <c r="A45">
        <v>34</v>
      </c>
      <c r="B45" t="str">
        <v>Torres, Rico</v>
      </c>
      <c r="AS45" t="e">
        <f>(V45/$V$10)*100</f>
        <v>#DIV/0!</v>
      </c>
    </row>
    <row r="46">
      <c r="A46">
        <v>35</v>
      </c>
      <c r="B46" t="str">
        <v>Valdez, Samuel</v>
      </c>
      <c r="AS46" t="e">
        <f>(V46/$V$10)*100</f>
        <v>#DIV/0!</v>
      </c>
    </row>
    <row r="47">
      <c r="A47">
        <v>36</v>
      </c>
      <c r="B47" t="str">
        <v>Velasco, Sebastian</v>
      </c>
      <c r="AS47" t="e">
        <f>(V47/$V$10)*100</f>
        <v>#DIV/0!</v>
      </c>
    </row>
    <row r="48">
      <c r="A48">
        <v>37</v>
      </c>
      <c r="B48" t="str">
        <v>Villanueva, Simon</v>
      </c>
      <c r="AS48" t="e">
        <f>(V48/$V$10)*100</f>
        <v>#DIV/0!</v>
      </c>
    </row>
    <row r="49">
      <c r="A49">
        <v>38</v>
      </c>
      <c r="B49" t="str">
        <v>Yap, Stephen</v>
      </c>
      <c r="AS49" t="e">
        <f>(V49/$V$10)*100</f>
        <v>#DIV/0!</v>
      </c>
    </row>
    <row r="50">
      <c r="A50">
        <v>39</v>
      </c>
      <c r="B50" t="str">
        <v>Zamora, Thomas</v>
      </c>
      <c r="AS50" t="e">
        <f>(V50/$V$10)*100</f>
        <v>#DIV/0!</v>
      </c>
    </row>
    <row r="51">
      <c r="A51">
        <v>40</v>
      </c>
      <c r="B51" t="str">
        <v>Zuniga, Vincent</v>
      </c>
      <c r="AS51" t="e">
        <f>(V51/$V$10)*100</f>
        <v>#DIV/0!</v>
      </c>
    </row>
    <row r="52">
      <c r="A52">
        <v>41</v>
      </c>
      <c r="B52" t="str">
        <v>Abad, Xavier</v>
      </c>
      <c r="AS52" t="e">
        <f>(V52/$V$10)*100</f>
        <v>#DIV/0!</v>
      </c>
    </row>
    <row r="53">
      <c r="A53">
        <v>42</v>
      </c>
      <c r="B53" t="str">
        <v>Agustin, Zachary</v>
      </c>
      <c r="AS53" t="e">
        <f>(V53/$V$10)*100</f>
        <v>#DIV/0!</v>
      </c>
    </row>
    <row r="54">
      <c r="A54">
        <v>43</v>
      </c>
      <c r="B54" t="str">
        <v>Alvarez, Alvin</v>
      </c>
      <c r="AS54" t="e">
        <f>(V54/$V$10)*100</f>
        <v>#DIV/0!</v>
      </c>
    </row>
    <row r="55">
      <c r="A55">
        <v>44</v>
      </c>
      <c r="B55" t="str">
        <v>Aquino, Andre</v>
      </c>
      <c r="AS55" t="e">
        <f>(V55/$V$10)*100</f>
        <v>#DIV/0!</v>
      </c>
    </row>
    <row r="56">
      <c r="A56">
        <v>45</v>
      </c>
      <c r="B56" t="str">
        <v>Arceo, Benedict</v>
      </c>
      <c r="AS56" t="e">
        <f>(V56/$V$10)*100</f>
        <v>#DIV/0!</v>
      </c>
    </row>
    <row r="57">
      <c r="A57">
        <v>46</v>
      </c>
      <c r="B57" t="str">
        <v>Arellano, Cyrus</v>
      </c>
      <c r="AS57" t="e">
        <f>(V57/$V$10)*100</f>
        <v>#DIV/0!</v>
      </c>
    </row>
    <row r="58">
      <c r="A58">
        <v>47</v>
      </c>
      <c r="B58" t="str">
        <v>Barrera, Dominic</v>
      </c>
      <c r="AS58" t="e">
        <f>(V58/$V$10)*100</f>
        <v>#DIV/0!</v>
      </c>
    </row>
    <row r="59">
      <c r="A59">
        <v>48</v>
      </c>
      <c r="B59" t="str">
        <v>Cabral, Emmanuel</v>
      </c>
      <c r="AS59" t="e">
        <f>(V59/$V$10)*100</f>
        <v>#DIV/0!</v>
      </c>
    </row>
    <row r="60">
      <c r="A60">
        <v>49</v>
      </c>
      <c r="B60" t="str">
        <v>David, Francis</v>
      </c>
      <c r="AS60" t="e">
        <f>(V60/$V$10)*100</f>
        <v>#DIV/0!</v>
      </c>
    </row>
    <row r="61">
      <c r="A61">
        <v>50</v>
      </c>
      <c r="B61" t="str">
        <v>Escobar, Gian</v>
      </c>
      <c r="AS61" t="e">
        <f>(V61/$V$10)*100</f>
        <v>#DIV/0!</v>
      </c>
    </row>
    <row r="62">
      <c r="B62" t="str">
        <v xml:space="preserve">FEMALE </v>
      </c>
      <c r="AS62" t="e">
        <f>(V62/$V$10)*100</f>
        <v>#DIV/0!</v>
      </c>
    </row>
    <row r="63">
      <c r="A63">
        <v>1</v>
      </c>
      <c r="B63" t="str">
        <v>Fernandez, Alyssa</v>
      </c>
      <c r="AS63" t="e">
        <f>(V63/$V$10)*100</f>
        <v>#DIV/0!</v>
      </c>
    </row>
    <row r="64">
      <c r="A64">
        <v>2</v>
      </c>
      <c r="B64" t="str">
        <v>Garcia, Angela</v>
      </c>
      <c r="AS64" t="e">
        <f>(V64/$V$10)*100</f>
        <v>#DIV/0!</v>
      </c>
    </row>
    <row r="65">
      <c r="A65">
        <v>3</v>
      </c>
      <c r="B65" t="str">
        <v>Gonzales, Bea</v>
      </c>
      <c r="AS65" t="e">
        <f>(V65/$V$10)*100</f>
        <v>#DIV/0!</v>
      </c>
    </row>
    <row r="66">
      <c r="A66">
        <v>4</v>
      </c>
      <c r="B66" t="str">
        <v>Hernandez, Bianca</v>
      </c>
      <c r="AS66" t="e">
        <f>(V66/$V$10)*100</f>
        <v>#DIV/0!</v>
      </c>
    </row>
    <row r="67">
      <c r="A67">
        <v>5</v>
      </c>
      <c r="B67" t="str">
        <v>Ilagan, Camille</v>
      </c>
      <c r="AS67" t="e">
        <f>(V67/$V$10)*100</f>
        <v>#DIV/0!</v>
      </c>
    </row>
    <row r="68">
      <c r="A68">
        <v>6</v>
      </c>
      <c r="B68" t="str">
        <v>Jimenez, Carla</v>
      </c>
      <c r="AS68" t="e">
        <f>(V68/$V$10)*100</f>
        <v>#DIV/0!</v>
      </c>
    </row>
    <row r="69">
      <c r="A69">
        <v>7</v>
      </c>
      <c r="B69" t="str">
        <v>Lacson, Chloe</v>
      </c>
      <c r="AS69" t="e">
        <f>(V69/$V$10)*100</f>
        <v>#DIV/0!</v>
      </c>
    </row>
    <row r="70">
      <c r="A70">
        <v>8</v>
      </c>
      <c r="B70" t="str">
        <v>Lim, Clarisse</v>
      </c>
      <c r="AS70" t="e">
        <f>(V70/$V$10)*100</f>
        <v>#DIV/0!</v>
      </c>
    </row>
    <row r="71">
      <c r="A71">
        <v>9</v>
      </c>
      <c r="B71" t="str">
        <v>Manalo, Danica</v>
      </c>
      <c r="AS71" t="e">
        <f>(V71/$V$10)*100</f>
        <v>#DIV/0!</v>
      </c>
    </row>
    <row r="72">
      <c r="A72">
        <v>10</v>
      </c>
      <c r="B72" t="str">
        <v>Mendoza, Diana</v>
      </c>
      <c r="AS72" t="e">
        <f>(V72/$V$10)*100</f>
        <v>#DIV/0!</v>
      </c>
    </row>
    <row r="73">
      <c r="A73">
        <v>11</v>
      </c>
      <c r="B73" t="str">
        <v>Navarro, Elena</v>
      </c>
      <c r="AS73" t="e">
        <f>(V73/$V$10)*100</f>
        <v>#DIV/0!</v>
      </c>
    </row>
    <row r="74">
      <c r="A74">
        <v>12</v>
      </c>
      <c r="B74" t="str">
        <v>Ocampo, Ella</v>
      </c>
      <c r="AS74" t="e">
        <f>(V74/$V$10)*100</f>
        <v>#DIV/0!</v>
      </c>
    </row>
    <row r="75">
      <c r="A75">
        <v>13</v>
      </c>
      <c r="B75" t="str">
        <v>Ortega, Erika</v>
      </c>
      <c r="AS75" t="e">
        <f>(V75/$V$10)*100</f>
        <v>#DIV/0!</v>
      </c>
    </row>
    <row r="76">
      <c r="A76">
        <v>14</v>
      </c>
      <c r="B76" t="str">
        <v>Pascual, Faith</v>
      </c>
      <c r="AS76" t="e">
        <f>(V76/$V$10)*100</f>
        <v>#DIV/0!</v>
      </c>
    </row>
    <row r="77">
      <c r="A77">
        <v>15</v>
      </c>
      <c r="B77" t="str">
        <v>Quizon, Gabrielle</v>
      </c>
      <c r="AS77" t="e">
        <f>(V77/$V$10)*100</f>
        <v>#DIV/0!</v>
      </c>
    </row>
    <row r="78">
      <c r="A78">
        <v>16</v>
      </c>
      <c r="B78" t="str">
        <v>Ramos, Hannah</v>
      </c>
      <c r="AS78" t="e">
        <f>(V78/$V$10)*100</f>
        <v>#DIV/0!</v>
      </c>
    </row>
    <row r="79">
      <c r="A79">
        <v>17</v>
      </c>
      <c r="B79" t="str">
        <v>Reyes, Isabelle</v>
      </c>
      <c r="AS79" t="e">
        <f>(V79/$V$10)*100</f>
        <v>#DIV/0!</v>
      </c>
    </row>
    <row r="80">
      <c r="A80">
        <v>18</v>
      </c>
      <c r="B80" t="str">
        <v>Rivera, Jasmine</v>
      </c>
      <c r="AS80" t="e">
        <f>(V80/$V$10)*100</f>
        <v>#DIV/0!</v>
      </c>
    </row>
    <row r="81">
      <c r="A81">
        <v>19</v>
      </c>
      <c r="B81" t="str">
        <v>Rosales, Jillian</v>
      </c>
      <c r="AS81" t="e">
        <f>(V81/$V$10)*100</f>
        <v>#DIV/0!</v>
      </c>
    </row>
    <row r="82">
      <c r="A82">
        <v>20</v>
      </c>
      <c r="B82" t="str">
        <v>Salazar, Julia</v>
      </c>
      <c r="AS82" t="e">
        <f>(V82/$V$10)*100</f>
        <v>#DIV/0!</v>
      </c>
    </row>
    <row r="83">
      <c r="A83">
        <v>21</v>
      </c>
      <c r="B83" t="str">
        <v>Santiago, Katrina</v>
      </c>
      <c r="AS83" t="e">
        <f>(V83/$V$10)*100</f>
        <v>#DIV/0!</v>
      </c>
    </row>
    <row r="84">
      <c r="A84">
        <v>22</v>
      </c>
      <c r="B84" t="str">
        <v>Santos, Kayla</v>
      </c>
      <c r="AS84" t="e">
        <f>(V84/$V$10)*100</f>
        <v>#DIV/0!</v>
      </c>
    </row>
    <row r="85">
      <c r="A85">
        <v>23</v>
      </c>
      <c r="B85" t="str">
        <v>Soriano, Kiana</v>
      </c>
      <c r="AS85" t="e">
        <f>(V85/$V$10)*100</f>
        <v>#DIV/0!</v>
      </c>
    </row>
    <row r="86">
      <c r="A86">
        <v>24</v>
      </c>
      <c r="B86" t="str">
        <v>Torres, Leah</v>
      </c>
      <c r="AS86" t="e">
        <f>(V86/$V$10)*100</f>
        <v>#DIV/0!</v>
      </c>
    </row>
    <row r="87">
      <c r="A87">
        <v>25</v>
      </c>
      <c r="B87" t="str">
        <v>Valdez, Liana</v>
      </c>
      <c r="AS87" t="e">
        <f>(V87/$V$10)*100</f>
        <v>#DIV/0!</v>
      </c>
    </row>
    <row r="88">
      <c r="A88">
        <v>26</v>
      </c>
      <c r="B88" t="str">
        <v>Velasco, Lia</v>
      </c>
      <c r="AS88" t="e">
        <f>(V88/$V$10)*100</f>
        <v>#DIV/0!</v>
      </c>
    </row>
    <row r="89">
      <c r="A89">
        <v>27</v>
      </c>
      <c r="B89" t="str">
        <v>Villanueva, Mara</v>
      </c>
      <c r="AS89" t="e">
        <f>(V89/$V$10)*100</f>
        <v>#DIV/0!</v>
      </c>
    </row>
    <row r="90">
      <c r="A90">
        <v>28</v>
      </c>
      <c r="B90" t="str">
        <v>Yap, Maria</v>
      </c>
      <c r="AS90" t="e">
        <f>(V90/$V$10)*100</f>
        <v>#DIV/0!</v>
      </c>
    </row>
    <row r="91">
      <c r="A91">
        <v>29</v>
      </c>
      <c r="B91" t="str">
        <v>Zamora, Mika</v>
      </c>
      <c r="AS91" t="e">
        <f>(V91/$V$10)*100</f>
        <v>#DIV/0!</v>
      </c>
    </row>
    <row r="92">
      <c r="A92">
        <v>30</v>
      </c>
      <c r="B92" t="str">
        <v>Zuniga, Nicole</v>
      </c>
      <c r="AS92" t="e">
        <f>(V92/$V$10)*100</f>
        <v>#DIV/0!</v>
      </c>
    </row>
    <row r="93">
      <c r="A93">
        <v>31</v>
      </c>
      <c r="B93" t="str">
        <v>Abad, Patricia</v>
      </c>
      <c r="AS93" t="e">
        <f>(V93/$V$10)*100</f>
        <v>#DIV/0!</v>
      </c>
    </row>
    <row r="94">
      <c r="A94">
        <v>32</v>
      </c>
      <c r="B94" t="str">
        <v>Agustin, Rachel</v>
      </c>
      <c r="AS94" t="e">
        <f>(V94/$V$10)*100</f>
        <v>#DIV/0!</v>
      </c>
    </row>
    <row r="95">
      <c r="A95">
        <v>33</v>
      </c>
      <c r="B95" t="str">
        <v>Alvarez, Rebecca</v>
      </c>
      <c r="AS95" t="e">
        <f>(V95/$V$10)*100</f>
        <v>#DIV/0!</v>
      </c>
    </row>
    <row r="96">
      <c r="A96">
        <v>34</v>
      </c>
      <c r="B96" t="str">
        <v>Aquino, Rhea</v>
      </c>
      <c r="AS96" t="e">
        <f>(V96/$V$10)*100</f>
        <v>#DIV/0!</v>
      </c>
    </row>
    <row r="97">
      <c r="A97">
        <v>35</v>
      </c>
      <c r="B97" t="str">
        <v>Arceo, Samantha</v>
      </c>
      <c r="AS97" t="e">
        <f>(V97/$V$10)*100</f>
        <v>#DIV/0!</v>
      </c>
    </row>
    <row r="98">
      <c r="A98">
        <v>36</v>
      </c>
      <c r="B98" t="str">
        <v>Arellano, Sofia</v>
      </c>
      <c r="AS98" t="e">
        <f>(V98/$V$10)*100</f>
        <v>#DIV/0!</v>
      </c>
    </row>
    <row r="99">
      <c r="A99">
        <v>37</v>
      </c>
      <c r="B99" t="str">
        <v>Barrera, Sophia</v>
      </c>
      <c r="AS99" t="e">
        <f>(V99/$V$10)*100</f>
        <v>#DIV/0!</v>
      </c>
    </row>
    <row r="100">
      <c r="A100">
        <v>38</v>
      </c>
      <c r="B100" t="str">
        <v>Cabral, Therese</v>
      </c>
      <c r="AS100" t="e">
        <f>(V100/$V$10)*100</f>
        <v>#DIV/0!</v>
      </c>
    </row>
    <row r="101">
      <c r="A101">
        <v>39</v>
      </c>
      <c r="B101" t="str">
        <v>David, Trisha</v>
      </c>
      <c r="AS101" t="e">
        <f>(V101/$V$10)*100</f>
        <v>#DIV/0!</v>
      </c>
    </row>
    <row r="102">
      <c r="A102">
        <v>40</v>
      </c>
      <c r="B102" t="str">
        <v>Escobar, Valerie</v>
      </c>
      <c r="AS102" t="e">
        <f>(V102/$V$10)*100</f>
        <v>#DIV/0!</v>
      </c>
    </row>
    <row r="103">
      <c r="A103">
        <v>41</v>
      </c>
      <c r="B103" t="str">
        <v>Aguilar, Vanessa</v>
      </c>
      <c r="AS103" t="e">
        <f>(V103/$V$10)*100</f>
        <v>#DIV/0!</v>
      </c>
    </row>
    <row r="104">
      <c r="A104">
        <v>42</v>
      </c>
      <c r="B104" t="str">
        <v>Alcantara, Veronica</v>
      </c>
      <c r="AS104" t="e">
        <f>(V104/$V$10)*100</f>
        <v>#DIV/0!</v>
      </c>
    </row>
    <row r="105">
      <c r="A105">
        <v>43</v>
      </c>
      <c r="B105" t="str">
        <v>Andrada, Victoria</v>
      </c>
      <c r="AS105" t="e">
        <f>(V105/$V$10)*100</f>
        <v>#DIV/0!</v>
      </c>
    </row>
    <row r="106">
      <c r="A106">
        <v>44</v>
      </c>
      <c r="B106" t="str">
        <v>Bautista, Yasmine</v>
      </c>
      <c r="AS106" t="e">
        <f>(V106/$V$10)*100</f>
        <v>#DIV/0!</v>
      </c>
    </row>
    <row r="107">
      <c r="A107">
        <v>45</v>
      </c>
      <c r="B107" t="str">
        <v>Bernardo, Zoe</v>
      </c>
      <c r="AS107" t="e">
        <f>(V107/$V$10)*100</f>
        <v>#DIV/0!</v>
      </c>
    </row>
    <row r="108">
      <c r="A108">
        <v>46</v>
      </c>
      <c r="B108" t="str">
        <v>Castillo, Amara</v>
      </c>
      <c r="AS108" t="e">
        <f>(V108/$V$10)*100</f>
        <v>#DIV/0!</v>
      </c>
    </row>
    <row r="109">
      <c r="A109">
        <v>47</v>
      </c>
      <c r="B109" t="str">
        <v>Cruz, Andrea</v>
      </c>
      <c r="AS109" t="e">
        <f>(V109/$V$10)*100</f>
        <v>#DIV/0!</v>
      </c>
    </row>
    <row r="110">
      <c r="A110">
        <v>48</v>
      </c>
      <c r="B110" t="str">
        <v>Dela Cruz, Beatriz</v>
      </c>
      <c r="AS110" t="e">
        <f>(V110/$V$10)*100</f>
        <v>#DIV/0!</v>
      </c>
    </row>
    <row r="111">
      <c r="A111">
        <v>49</v>
      </c>
      <c r="B111" t="str">
        <v>Diaz, Celine</v>
      </c>
      <c r="AS111" t="e">
        <f>(V111/$V$10)*100</f>
        <v>#DIV/0!</v>
      </c>
    </row>
    <row r="112">
      <c r="A112">
        <v>50</v>
      </c>
      <c r="B112" t="str">
        <v>Evangelista, Danielle</v>
      </c>
      <c r="AS112" t="e">
        <f>(V112/$V$10)*100</f>
        <v>#DIV/0!</v>
      </c>
    </row>
  </sheetData>
  <autoFilter ref="B11:B112"/>
  <mergeCells count="24">
    <mergeCell ref="T8:X8"/>
    <mergeCell ref="G4:H4"/>
    <mergeCell ref="N7:P7"/>
    <mergeCell ref="B4:F4"/>
    <mergeCell ref="Z8:Z10"/>
    <mergeCell ref="N8:S8"/>
    <mergeCell ref="A7:B7"/>
    <mergeCell ref="Y8:Y10"/>
    <mergeCell ref="G5:O5"/>
    <mergeCell ref="Q5:R5"/>
    <mergeCell ref="Y5:Z5"/>
    <mergeCell ref="I4:K4"/>
    <mergeCell ref="F8:M8"/>
    <mergeCell ref="W7:X7"/>
    <mergeCell ref="Y7:Z7"/>
    <mergeCell ref="S5:U5"/>
    <mergeCell ref="A1:Z2"/>
    <mergeCell ref="V5:X5"/>
    <mergeCell ref="B5:F5"/>
    <mergeCell ref="L4:O4"/>
    <mergeCell ref="J7:M7"/>
    <mergeCell ref="A3:Z3"/>
    <mergeCell ref="Q7:V7"/>
    <mergeCell ref="F7:I7"/>
  </mergeCells>
  <pageMargins left="0.25" right="0.25" top="0.5" bottom="0.25" header="0.31496062992126" footer="0.31496062992126"/>
  <ignoredErrors>
    <ignoredError numberStoredAsText="1" sqref="A1:AS1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Z119"/>
  <sheetViews>
    <sheetView workbookViewId="0" rightToLeft="0"/>
  </sheetViews>
  <sheetData>
    <row r="1">
      <c r="A1" t="str">
        <v xml:space="preserve">Class Record </v>
      </c>
    </row>
    <row r="4">
      <c r="B4" t="str">
        <v>REGION</v>
      </c>
      <c r="G4" t="str">
        <f>INPUT!G4</f>
        <v>Region IV-A CALABARZON</v>
      </c>
      <c r="I4" t="str">
        <v>DIVISION</v>
      </c>
      <c r="L4" t="str">
        <f>INPUT!L4</f>
        <v>Division of Quezon</v>
      </c>
    </row>
    <row r="5">
      <c r="B5" t="str">
        <v>SCHOOL NAME</v>
      </c>
      <c r="G5" t="str">
        <f>INPUT!G5</f>
        <v>San Isidro Elementary School</v>
      </c>
      <c r="Q5" t="str">
        <v>SCHOOL ID</v>
      </c>
      <c r="S5" t="str">
        <f>INPUT!S5</f>
        <v>107845</v>
      </c>
      <c r="V5" t="str">
        <v>SCHOOL YEAR</v>
      </c>
      <c r="Z5" t="str">
        <f>INPUT!Y5</f>
        <v>2026-2027</v>
      </c>
    </row>
    <row r="7">
      <c r="A7" t="str">
        <v>TERM 1</v>
      </c>
      <c r="F7" t="str">
        <v xml:space="preserve">GRADE &amp; SECTION: </v>
      </c>
      <c r="J7" t="str">
        <f>INPUT!J7</f>
        <v>Grade 4 - Mabini</v>
      </c>
      <c r="N7" t="str">
        <v>TEACHER:</v>
      </c>
      <c r="Q7" t="str">
        <f>INPUT!Q7</f>
        <v>Maria Elena Santos</v>
      </c>
      <c r="X7" t="str">
        <v>SUBJECT:</v>
      </c>
      <c r="Z7" t="str">
        <f>INPUT!Y7</f>
        <v>English</v>
      </c>
    </row>
    <row r="8">
      <c r="B8" t="str">
        <v>LEARNERS' NAMES</v>
      </c>
      <c r="F8" t="str">
        <v>WRITTEN / ORAL WORKS (20%)</v>
      </c>
      <c r="N8" t="str">
        <v>PRODUCT / PERFORMANCE TASKS (50%)</v>
      </c>
      <c r="T8" t="str">
        <v>SUMMATIVE TESTS AND TERM EXAMINATIONS (30%)</v>
      </c>
      <c r="Z8" t="str">
        <v>Initial Grade</v>
      </c>
      <c r="AA8" t="str">
        <v>TERM GRADE</v>
      </c>
      <c r="AB8" t="str">
        <v>DESCRIPTOR</v>
      </c>
    </row>
    <row r="9">
      <c r="F9">
        <v>1</v>
      </c>
      <c r="G9">
        <v>2</v>
      </c>
      <c r="H9">
        <v>3</v>
      </c>
      <c r="I9">
        <v>4</v>
      </c>
      <c r="J9">
        <v>5</v>
      </c>
      <c r="K9" t="str">
        <v>Total</v>
      </c>
      <c r="L9" t="str">
        <v>PS</v>
      </c>
      <c r="M9" t="str">
        <v>WS</v>
      </c>
      <c r="N9">
        <v>1</v>
      </c>
      <c r="O9">
        <v>2</v>
      </c>
      <c r="P9">
        <v>3</v>
      </c>
      <c r="Q9" t="str">
        <v>Total</v>
      </c>
      <c r="R9" t="str">
        <v>PS</v>
      </c>
      <c r="S9" t="str">
        <v>WS</v>
      </c>
      <c r="T9" t="str">
        <v>ST1</v>
      </c>
      <c r="U9" t="str">
        <v>ST2</v>
      </c>
      <c r="V9" t="str">
        <v>TE</v>
      </c>
      <c r="W9" t="str">
        <v>Total</v>
      </c>
      <c r="X9" t="str">
        <v>PS</v>
      </c>
      <c r="Y9" t="str">
        <v>WS</v>
      </c>
    </row>
    <row r="10">
      <c r="B10" t="str">
        <v>HIGHEST POSSIBLE SCORE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</row>
    <row r="11">
      <c r="B11" t="str">
        <v xml:space="preserve">MALE </v>
      </c>
      <c r="AD11" t="str">
        <v>TEST/EXAM RESULT ANALYSIS</v>
      </c>
      <c r="AV11" t="str">
        <v>ST1</v>
      </c>
      <c r="AW11" t="str">
        <v>ST2</v>
      </c>
      <c r="AX11" t="str">
        <v>TE</v>
      </c>
    </row>
    <row r="12">
      <c r="A12">
        <v>1</v>
      </c>
      <c r="B12" t="str">
        <f>INPUT!B12</f>
        <v>Aguilar, Adrian</v>
      </c>
      <c r="F12">
        <v>20</v>
      </c>
      <c r="G12">
        <v>20</v>
      </c>
      <c r="H12">
        <v>20</v>
      </c>
      <c r="I12">
        <v>20</v>
      </c>
      <c r="J12">
        <v>20</v>
      </c>
      <c r="K12">
        <f>IF(COUNT($F12:$J12)=0,"",SUM($F12:$J12))</f>
        <v>100</v>
      </c>
      <c r="L12">
        <f>IF(ISERROR(IF($K12="","",ROUND(($K12/$K$10)*$L$10,2))),"",IF($K12="","",ROUND(($K12/$K$10)*$L$10,2)))</f>
        <v>100</v>
      </c>
      <c r="M12">
        <f>IF($L12="","",ROUND($L12*$M$10,2))</f>
        <v>20</v>
      </c>
      <c r="N12">
        <v>50</v>
      </c>
      <c r="O12">
        <v>50</v>
      </c>
      <c r="P12">
        <v>50</v>
      </c>
      <c r="Q12">
        <f>IF(COUNT($N12:$P12)=0,"",SUM($N12:$P12))</f>
        <v>150</v>
      </c>
      <c r="R12">
        <f>IF(ISERROR(IF($Q12="","",ROUND(($Q12/$Q$10)*$R$10,2))),"",IF($Q12="","",ROUND(($Q12/$Q$10)*$R$10,2)))</f>
        <v>100</v>
      </c>
      <c r="S12">
        <f>IF($R12="","",ROUND($R12*$S$10,2))</f>
        <v>50</v>
      </c>
      <c r="T12">
        <v>33</v>
      </c>
      <c r="U12">
        <v>31</v>
      </c>
      <c r="V12">
        <v>31</v>
      </c>
      <c r="W12">
        <f>IF(COUNT($T12:$V12)=0,"",SUM($T12:$V12))</f>
        <v>95</v>
      </c>
      <c r="X12">
        <f>IF(ISERROR(IF($W12="","",ROUND(($W12/$W$10)*$X$10,2))),"",IF($W12="","",ROUND(($W12/$W$10)*$X$10,2)))</f>
        <v>79.17</v>
      </c>
      <c r="Y12">
        <f>IF($X12="","",ROUND($X12*$Y$10,2))</f>
        <v>23.75</v>
      </c>
      <c r="Z12">
        <f>IF(ISERROR(IF($W12="","",ROUND(SUM($M12,$S12,$Y12),2))),"",IF($W12="","",ROUND(SUM($M12,$S12,$Y12),2)))</f>
        <v>93.75</v>
      </c>
      <c r="AA12">
        <f>IF(ISERROR(IF($W12="","",VLOOKUP(Z12,NewTransmu,4,TRUE))),"",IF($W12="","",VLOOKUP(Z12,NewTransmu,4,TRUE)))</f>
        <v>95</v>
      </c>
      <c r="AB12" t="str">
        <f>IF(ISERROR(IF(AA12="","",VLOOKUP(AA12,DESCRIPTORS,4,TRUE))),"",IF(AA12="","",VLOOKUP(AA12,DESCRIPTORS,4,TRUE)))</f>
        <v>Advancing</v>
      </c>
      <c r="AV12">
        <f>(T12/$T$10)*100</f>
        <v>82.5</v>
      </c>
      <c r="AW12">
        <f>(U12/$U$10)*100</f>
        <v>77.5</v>
      </c>
      <c r="AX12">
        <f>(V12/$V$10)*100</f>
        <v>77.5</v>
      </c>
    </row>
    <row r="13">
      <c r="A13">
        <v>2</v>
      </c>
      <c r="B13" t="str">
        <f>INPUT!B13</f>
        <v>Alcantara, Angelo</v>
      </c>
      <c r="F13">
        <v>20</v>
      </c>
      <c r="G13">
        <v>20</v>
      </c>
      <c r="H13">
        <v>20</v>
      </c>
      <c r="I13">
        <v>20</v>
      </c>
      <c r="J13">
        <v>20</v>
      </c>
      <c r="K13">
        <f>IF(COUNT($F13:$J13)=0,"",SUM($F13:$J13))</f>
        <v>100</v>
      </c>
      <c r="L13">
        <f>IF(ISERROR(IF($K13="","",ROUND(($K13/$K$10)*$L$10,2))),"",IF($K13="","",ROUND(($K13/$K$10)*$L$10,2)))</f>
        <v>100</v>
      </c>
      <c r="M13">
        <f>IF($L13="","",ROUND($L13*$M$10,2))</f>
        <v>20</v>
      </c>
      <c r="N13">
        <v>50</v>
      </c>
      <c r="O13">
        <v>50</v>
      </c>
      <c r="P13">
        <v>50</v>
      </c>
      <c r="Q13">
        <f>IF(COUNT($N13:$P13)=0,"",SUM($N13:$P13))</f>
        <v>150</v>
      </c>
      <c r="R13">
        <f>IF(ISERROR(IF($Q13="","",ROUND(($Q13/$Q$10)*$R$10,2))),"",IF($Q13="","",ROUND(($Q13/$Q$10)*$R$10,2)))</f>
        <v>100</v>
      </c>
      <c r="S13">
        <f>IF($R13="","",ROUND($R13*$S$10,2))</f>
        <v>50</v>
      </c>
      <c r="T13">
        <v>30</v>
      </c>
      <c r="U13">
        <v>31</v>
      </c>
      <c r="V13">
        <v>30</v>
      </c>
      <c r="W13">
        <f>IF(COUNT($T13:$V13)=0,"",SUM($T13:$V13))</f>
        <v>91</v>
      </c>
      <c r="X13">
        <f>IF(ISERROR(IF($W13="","",ROUND(($W13/$W$10)*$X$10,2))),"",IF($W13="","",ROUND(($W13/$W$10)*$X$10,2)))</f>
        <v>75.83</v>
      </c>
      <c r="Y13">
        <f>IF($X13="","",ROUND($X13*$Y$10,2))</f>
        <v>22.75</v>
      </c>
      <c r="Z13">
        <f>IF(ISERROR(IF($V13="","",ROUND(SUM($M13,$S13,$Y13),2))),"",IF($V13="","",ROUND(SUM($M13,$S13,$Y13),2)))</f>
        <v>92.75</v>
      </c>
      <c r="AA13">
        <f>IF(ISERROR(IF($V13="","",VLOOKUP(Z13,NewTransmu,4,TRUE))),"",IF($V13="","",VLOOKUP(Z13,NewTransmu,4,TRUE)))</f>
        <v>94</v>
      </c>
      <c r="AB13" t="str">
        <f>IF(ISERROR(IF(AA13="","",VLOOKUP(AA13,DESCRIPTORS,4,TRUE))),"",IF(AA13="","",VLOOKUP(AA13,DESCRIPTORS,4,TRUE)))</f>
        <v>Advancing</v>
      </c>
      <c r="AE13" t="str">
        <v>ST1</v>
      </c>
      <c r="AF13" t="str">
        <v>ST2</v>
      </c>
      <c r="AG13" t="str">
        <v>TE</v>
      </c>
      <c r="AV13">
        <f>(T13/$T$10)*100</f>
        <v>75</v>
      </c>
      <c r="AW13">
        <f>(U13/$U$10)*100</f>
        <v>77.5</v>
      </c>
      <c r="AX13">
        <f>(V13/$V$10)*100</f>
        <v>75</v>
      </c>
    </row>
    <row r="14">
      <c r="A14">
        <v>3</v>
      </c>
      <c r="B14" t="str">
        <f>INPUT!B14</f>
        <v>Andrada, Anton</v>
      </c>
      <c r="F14">
        <v>20</v>
      </c>
      <c r="G14">
        <v>20</v>
      </c>
      <c r="H14">
        <v>20</v>
      </c>
      <c r="I14">
        <v>20</v>
      </c>
      <c r="J14">
        <v>20</v>
      </c>
      <c r="K14">
        <f>IF(COUNT($F14:$J14)=0,"",SUM($F14:$J14))</f>
        <v>100</v>
      </c>
      <c r="L14">
        <f>IF(ISERROR(IF($K14="","",ROUND(($K14/$K$10)*$L$10,2))),"",IF($K14="","",ROUND(($K14/$K$10)*$L$10,2)))</f>
        <v>100</v>
      </c>
      <c r="M14">
        <f>IF($L14="","",ROUND($L14*$M$10,2))</f>
        <v>20</v>
      </c>
      <c r="N14">
        <v>50</v>
      </c>
      <c r="O14">
        <v>50</v>
      </c>
      <c r="P14">
        <v>50</v>
      </c>
      <c r="Q14">
        <f>IF(COUNT($N14:$P14)=0,"",SUM($N14:$P14))</f>
        <v>150</v>
      </c>
      <c r="R14">
        <f>IF(ISERROR(IF($Q14="","",ROUND(($Q14/$Q$10)*$R$10,2))),"",IF($Q14="","",ROUND(($Q14/$Q$10)*$R$10,2)))</f>
        <v>100</v>
      </c>
      <c r="S14">
        <f>IF($R14="","",ROUND($R14*$S$10,2))</f>
        <v>50</v>
      </c>
      <c r="T14">
        <v>30</v>
      </c>
      <c r="U14">
        <v>29</v>
      </c>
      <c r="V14">
        <v>36</v>
      </c>
      <c r="W14">
        <f>IF(COUNT($T14:$V14)=0,"",SUM($T14:$V14))</f>
        <v>95</v>
      </c>
      <c r="X14">
        <f>IF(ISERROR(IF($W14="","",ROUND(($W14/$W$10)*$X$10,2))),"",IF($W14="","",ROUND(($W14/$W$10)*$X$10,2)))</f>
        <v>79.17</v>
      </c>
      <c r="Y14">
        <f>IF($X14="","",ROUND($X14*$Y$10,2))</f>
        <v>23.75</v>
      </c>
      <c r="Z14">
        <f>IF(ISERROR(IF($V14="","",ROUND(SUM($M14,$S14,$Y14),2))),"",IF($V14="","",ROUND(SUM($M14,$S14,$Y14),2)))</f>
        <v>93.75</v>
      </c>
      <c r="AA14">
        <f>IF(ISERROR(IF($V14="","",VLOOKUP(Z14,NewTransmu,4,TRUE))),"",IF($V14="","",VLOOKUP(Z14,NewTransmu,4,TRUE)))</f>
        <v>95</v>
      </c>
      <c r="AB14" t="str">
        <f>IF(ISERROR(IF(AA14="","",VLOOKUP(AA14,DESCRIPTORS,4,TRUE))),"",IF(AA14="","",VLOOKUP(AA14,DESCRIPTORS,4,TRUE)))</f>
        <v>Advancing</v>
      </c>
      <c r="AD14" t="str">
        <v>Number of Examinees: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>(T14/$T$10)*100</f>
        <v>75</v>
      </c>
      <c r="AW14">
        <f>(U14/$U$10)*100</f>
        <v>72.5</v>
      </c>
      <c r="AX14">
        <f>(V14/$V$10)*100</f>
        <v>90</v>
      </c>
    </row>
    <row r="15">
      <c r="A15">
        <v>4</v>
      </c>
      <c r="B15" t="str">
        <f>INPUT!B15</f>
        <v>Bautista, Bryan</v>
      </c>
      <c r="F15">
        <v>20</v>
      </c>
      <c r="G15">
        <v>20</v>
      </c>
      <c r="H15">
        <v>20</v>
      </c>
      <c r="I15">
        <v>20</v>
      </c>
      <c r="J15">
        <v>20</v>
      </c>
      <c r="K15">
        <f>IF(COUNT($F15:$J15)=0,"",SUM($F15:$J15))</f>
        <v>100</v>
      </c>
      <c r="L15">
        <f>IF(ISERROR(IF($K15="","",ROUND(($K15/$K$10)*$L$10,2))),"",IF($K15="","",ROUND(($K15/$K$10)*$L$10,2)))</f>
        <v>100</v>
      </c>
      <c r="M15">
        <f>IF($L15="","",ROUND($L15*$M$10,2))</f>
        <v>20</v>
      </c>
      <c r="N15">
        <v>50</v>
      </c>
      <c r="O15">
        <v>50</v>
      </c>
      <c r="P15">
        <v>50</v>
      </c>
      <c r="Q15">
        <f>IF(COUNT($N15:$P15)=0,"",SUM($N15:$P15))</f>
        <v>150</v>
      </c>
      <c r="R15">
        <f>IF(ISERROR(IF($Q15="","",ROUND(($Q15/$Q$10)*$R$10,2))),"",IF($Q15="","",ROUND(($Q15/$Q$10)*$R$10,2)))</f>
        <v>100</v>
      </c>
      <c r="S15">
        <f>IF($R15="","",ROUND($R15*$S$10,2))</f>
        <v>50</v>
      </c>
      <c r="T15">
        <v>34</v>
      </c>
      <c r="U15">
        <v>35</v>
      </c>
      <c r="V15">
        <v>30</v>
      </c>
      <c r="W15">
        <f>IF(COUNT($T15:$V15)=0,"",SUM($T15:$V15))</f>
        <v>99</v>
      </c>
      <c r="X15">
        <f>IF(ISERROR(IF($W15="","",ROUND(($W15/$W$10)*$X$10,2))),"",IF($W15="","",ROUND(($W15/$W$10)*$X$10,2)))</f>
        <v>82.5</v>
      </c>
      <c r="Y15">
        <f>IF($X15="","",ROUND($X15*$Y$10,2))</f>
        <v>24.75</v>
      </c>
      <c r="Z15">
        <f>IF(ISERROR(IF($V15="","",ROUND(SUM($M15,$S15,$Y15),2))),"",IF($V15="","",ROUND(SUM($M15,$S15,$Y15),2)))</f>
        <v>94.75</v>
      </c>
      <c r="AA15">
        <f>IF(ISERROR(IF($V15="","",VLOOKUP(Z15,NewTransmu,4,TRUE))),"",IF($V15="","",VLOOKUP(Z15,NewTransmu,4,TRUE)))</f>
        <v>96</v>
      </c>
      <c r="AB15" t="str">
        <f>IF(ISERROR(IF(AA15="","",VLOOKUP(AA15,DESCRIPTORS,4,TRUE))),"",IF(AA15="","",VLOOKUP(AA15,DESCRIPTORS,4,TRUE)))</f>
        <v>Advancing</v>
      </c>
      <c r="AD15" t="str">
        <v>Highest Possible Score:</v>
      </c>
      <c r="AE15">
        <f>T10</f>
        <v>40</v>
      </c>
      <c r="AF15">
        <f>U10</f>
        <v>40</v>
      </c>
      <c r="AG15">
        <f>V10</f>
        <v>40</v>
      </c>
      <c r="AV15">
        <f>(T15/$T$10)*100</f>
        <v>85</v>
      </c>
      <c r="AW15">
        <f>(U15/$U$10)*100</f>
        <v>87.5</v>
      </c>
      <c r="AX15">
        <f>(V15/$V$10)*100</f>
        <v>75</v>
      </c>
    </row>
    <row r="16">
      <c r="A16">
        <v>5</v>
      </c>
      <c r="B16" t="str">
        <f>INPUT!B16</f>
        <v>Bernardo, Caleb</v>
      </c>
      <c r="F16">
        <v>20</v>
      </c>
      <c r="G16">
        <v>20</v>
      </c>
      <c r="H16">
        <v>20</v>
      </c>
      <c r="I16">
        <v>20</v>
      </c>
      <c r="J16">
        <v>20</v>
      </c>
      <c r="K16">
        <f>IF(COUNT($F16:$J16)=0,"",SUM($F16:$J16))</f>
        <v>100</v>
      </c>
      <c r="L16">
        <f>IF(ISERROR(IF($K16="","",ROUND(($K16/$K$10)*$L$10,2))),"",IF($K16="","",ROUND(($K16/$K$10)*$L$10,2)))</f>
        <v>100</v>
      </c>
      <c r="M16">
        <f>IF($L16="","",ROUND($L16*$M$10,2))</f>
        <v>20</v>
      </c>
      <c r="N16">
        <v>50</v>
      </c>
      <c r="O16">
        <v>50</v>
      </c>
      <c r="P16">
        <v>50</v>
      </c>
      <c r="Q16">
        <f>IF(COUNT($N16:$P16)=0,"",SUM($N16:$P16))</f>
        <v>150</v>
      </c>
      <c r="R16">
        <f>IF(ISERROR(IF($Q16="","",ROUND(($Q16/$Q$10)*$R$10,2))),"",IF($Q16="","",ROUND(($Q16/$Q$10)*$R$10,2)))</f>
        <v>100</v>
      </c>
      <c r="S16">
        <f>IF($R16="","",ROUND($R16*$S$10,2))</f>
        <v>50</v>
      </c>
      <c r="T16">
        <v>28</v>
      </c>
      <c r="U16">
        <v>32</v>
      </c>
      <c r="V16">
        <v>30</v>
      </c>
      <c r="W16">
        <f>IF(COUNT($T16:$V16)=0,"",SUM($T16:$V16))</f>
        <v>90</v>
      </c>
      <c r="X16">
        <f>IF(ISERROR(IF($W16="","",ROUND(($W16/$W$10)*$X$10,2))),"",IF($W16="","",ROUND(($W16/$W$10)*$X$10,2)))</f>
        <v>75</v>
      </c>
      <c r="Y16">
        <f>IF($X16="","",ROUND($X16*$Y$10,2))</f>
        <v>22.5</v>
      </c>
      <c r="Z16">
        <f>IF(ISERROR(IF($V16="","",ROUND(SUM($M16,$S16,$Y16),2))),"",IF($V16="","",ROUND(SUM($M16,$S16,$Y16),2)))</f>
        <v>92.5</v>
      </c>
      <c r="AA16">
        <f>IF(ISERROR(IF($V16="","",VLOOKUP(Z16,NewTransmu,4,TRUE))),"",IF($V16="","",VLOOKUP(Z16,NewTransmu,4,TRUE)))</f>
        <v>94</v>
      </c>
      <c r="AB16" t="str">
        <f>IF(ISERROR(IF(AA16="","",VLOOKUP(AA16,DESCRIPTORS,4,TRUE))),"",IF(AA16="","",VLOOKUP(AA16,DESCRIPTORS,4,TRUE)))</f>
        <v>Advancing</v>
      </c>
      <c r="AV16">
        <f>(T16/$T$10)*100</f>
        <v>70</v>
      </c>
      <c r="AW16">
        <f>(U16/$U$10)*100</f>
        <v>80</v>
      </c>
      <c r="AX16">
        <f>(V16/$V$10)*100</f>
        <v>75</v>
      </c>
    </row>
    <row r="17">
      <c r="A17">
        <v>6</v>
      </c>
      <c r="B17" t="str">
        <f>INPUT!B17</f>
        <v>Castillo, Carlo</v>
      </c>
      <c r="F17">
        <v>20</v>
      </c>
      <c r="G17">
        <v>20</v>
      </c>
      <c r="H17">
        <v>20</v>
      </c>
      <c r="I17">
        <v>20</v>
      </c>
      <c r="J17">
        <v>20</v>
      </c>
      <c r="K17">
        <f>IF(COUNT($F17:$J17)=0,"",SUM($F17:$J17))</f>
        <v>100</v>
      </c>
      <c r="L17">
        <f>IF(ISERROR(IF($K17="","",ROUND(($K17/$K$10)*$L$10,2))),"",IF($K17="","",ROUND(($K17/$K$10)*$L$10,2)))</f>
        <v>100</v>
      </c>
      <c r="M17">
        <f>IF($L17="","",ROUND($L17*$M$10,2))</f>
        <v>20</v>
      </c>
      <c r="N17">
        <v>50</v>
      </c>
      <c r="O17">
        <v>50</v>
      </c>
      <c r="P17">
        <v>50</v>
      </c>
      <c r="Q17">
        <f>IF(COUNT($N17:$P17)=0,"",SUM($N17:$P17))</f>
        <v>150</v>
      </c>
      <c r="R17">
        <f>IF(ISERROR(IF($Q17="","",ROUND(($Q17/$Q$10)*$R$10,2))),"",IF($Q17="","",ROUND(($Q17/$Q$10)*$R$10,2)))</f>
        <v>100</v>
      </c>
      <c r="S17">
        <f>IF($R17="","",ROUND($R17*$S$10,2))</f>
        <v>50</v>
      </c>
      <c r="T17">
        <v>35</v>
      </c>
      <c r="U17">
        <v>35</v>
      </c>
      <c r="V17">
        <v>35</v>
      </c>
      <c r="W17">
        <f>IF(COUNT($T17:$V17)=0,"",SUM($T17:$V17))</f>
        <v>105</v>
      </c>
      <c r="X17">
        <f>IF(ISERROR(IF($W17="","",ROUND(($W17/$W$10)*$X$10,2))),"",IF($W17="","",ROUND(($W17/$W$10)*$X$10,2)))</f>
        <v>87.5</v>
      </c>
      <c r="Y17">
        <f>IF($X17="","",ROUND($X17*$Y$10,2))</f>
        <v>26.25</v>
      </c>
      <c r="Z17">
        <f>IF(ISERROR(IF($V17="","",ROUND(SUM($M17,$S17,$Y17),2))),"",IF($V17="","",ROUND(SUM($M17,$S17,$Y17),2)))</f>
        <v>96.25</v>
      </c>
      <c r="AA17">
        <f>IF(ISERROR(IF($V17="","",VLOOKUP(Z17,NewTransmu,4,TRUE))),"",IF($V17="","",VLOOKUP(Z17,NewTransmu,4,TRUE)))</f>
        <v>98</v>
      </c>
      <c r="AB17" t="str">
        <f>IF(ISERROR(IF(AA17="","",VLOOKUP(AA17,DESCRIPTORS,4,TRUE))),"",IF(AA17="","",VLOOKUP(AA17,DESCRIPTORS,4,TRUE)))</f>
        <v>Advancing</v>
      </c>
      <c r="AD17" t="str">
        <v>CRITERION-REFERENCED</v>
      </c>
      <c r="AE17" t="str">
        <v>ST1</v>
      </c>
      <c r="AF17" t="str">
        <v>ST2</v>
      </c>
      <c r="AG17" t="str">
        <v>TE</v>
      </c>
      <c r="AV17">
        <f>(T17/$T$10)*100</f>
        <v>87.5</v>
      </c>
      <c r="AW17">
        <f>(U17/$U$10)*100</f>
        <v>87.5</v>
      </c>
      <c r="AX17">
        <f>(V17/$V$10)*100</f>
        <v>87.5</v>
      </c>
    </row>
    <row r="18">
      <c r="A18">
        <v>7</v>
      </c>
      <c r="B18" t="str">
        <f>INPUT!B18</f>
        <v>Cruz, Christian</v>
      </c>
      <c r="F18">
        <v>20</v>
      </c>
      <c r="G18">
        <v>20</v>
      </c>
      <c r="H18">
        <v>20</v>
      </c>
      <c r="I18">
        <v>20</v>
      </c>
      <c r="J18">
        <v>20</v>
      </c>
      <c r="K18">
        <f>IF(COUNT($F18:$J18)=0,"",SUM($F18:$J18))</f>
        <v>100</v>
      </c>
      <c r="L18">
        <f>IF(ISERROR(IF($K18="","",ROUND(($K18/$K$10)*$L$10,2))),"",IF($K18="","",ROUND(($K18/$K$10)*$L$10,2)))</f>
        <v>100</v>
      </c>
      <c r="M18">
        <f>IF($L18="","",ROUND($L18*$M$10,2))</f>
        <v>20</v>
      </c>
      <c r="N18">
        <v>50</v>
      </c>
      <c r="O18">
        <v>50</v>
      </c>
      <c r="P18">
        <v>50</v>
      </c>
      <c r="Q18">
        <f>IF(COUNT($N18:$P18)=0,"",SUM($N18:$P18))</f>
        <v>150</v>
      </c>
      <c r="R18">
        <f>IF(ISERROR(IF($Q18="","",ROUND(($Q18/$Q$10)*$R$10,2))),"",IF($Q18="","",ROUND(($Q18/$Q$10)*$R$10,2)))</f>
        <v>100</v>
      </c>
      <c r="S18">
        <f>IF($R18="","",ROUND($R18*$S$10,2))</f>
        <v>50</v>
      </c>
      <c r="T18">
        <v>38</v>
      </c>
      <c r="U18">
        <v>38</v>
      </c>
      <c r="V18">
        <v>33</v>
      </c>
      <c r="W18">
        <f>IF(COUNT($T18:$V18)=0,"",SUM($T18:$V18))</f>
        <v>109</v>
      </c>
      <c r="X18">
        <f>IF(ISERROR(IF($W18="","",ROUND(($W18/$W$10)*$X$10,2))),"",IF($W18="","",ROUND(($W18/$W$10)*$X$10,2)))</f>
        <v>90.83</v>
      </c>
      <c r="Y18">
        <f>IF($X18="","",ROUND($X18*$Y$10,2))</f>
        <v>27.25</v>
      </c>
      <c r="Z18">
        <f>IF(ISERROR(IF($V18="","",ROUND(SUM($M18,$S18,$Y18),2))),"",IF($V18="","",ROUND(SUM($M18,$S18,$Y18),2)))</f>
        <v>97.25</v>
      </c>
      <c r="AA18">
        <f>IF(ISERROR(IF($V18="","",VLOOKUP(Z18,NewTransmu,4,TRUE))),"",IF($V18="","",VLOOKUP(Z18,NewTransmu,4,TRUE)))</f>
        <v>98</v>
      </c>
      <c r="AB18" t="str">
        <f>IF(ISERROR(IF(AA18="","",VLOOKUP(AA18,DESCRIPTORS,4,TRUE))),"",IF(AA18="","",VLOOKUP(AA18,DESCRIPTORS,4,TRUE)))</f>
        <v>Advancing</v>
      </c>
      <c r="AD18" t="str">
        <v xml:space="preserve"> Got 75% &amp; above</v>
      </c>
      <c r="AE18">
        <f>COUNTIF(AV12:AV112,"&gt;=75")</f>
        <v>91</v>
      </c>
      <c r="AF18">
        <f>COUNTIF(AW12:AW112,"&gt;=75")</f>
        <v>87</v>
      </c>
      <c r="AG18">
        <f>COUNTIF(AX12:AX112,"&gt;=75")</f>
        <v>85</v>
      </c>
      <c r="AV18">
        <f>(T18/$T$10)*100</f>
        <v>95</v>
      </c>
      <c r="AW18">
        <f>(U18/$U$10)*100</f>
        <v>95</v>
      </c>
      <c r="AX18">
        <f>(V18/$V$10)*100</f>
        <v>82.5</v>
      </c>
    </row>
    <row r="19">
      <c r="A19">
        <v>8</v>
      </c>
      <c r="B19" t="str">
        <f>INPUT!B19</f>
        <v>Dela Cruz, Daniel</v>
      </c>
      <c r="F19">
        <v>20</v>
      </c>
      <c r="G19">
        <v>20</v>
      </c>
      <c r="H19">
        <v>20</v>
      </c>
      <c r="I19">
        <v>20</v>
      </c>
      <c r="J19">
        <v>20</v>
      </c>
      <c r="K19">
        <f>IF(COUNT($F19:$J19)=0,"",SUM($F19:$J19))</f>
        <v>100</v>
      </c>
      <c r="L19">
        <f>IF(ISERROR(IF($K19="","",ROUND(($K19/$K$10)*$L$10,2))),"",IF($K19="","",ROUND(($K19/$K$10)*$L$10,2)))</f>
        <v>100</v>
      </c>
      <c r="M19">
        <f>IF($L19="","",ROUND($L19*$M$10,2))</f>
        <v>20</v>
      </c>
      <c r="N19">
        <v>50</v>
      </c>
      <c r="O19">
        <v>50</v>
      </c>
      <c r="P19">
        <v>50</v>
      </c>
      <c r="Q19">
        <f>IF(COUNT($N19:$P19)=0,"",SUM($N19:$P19))</f>
        <v>150</v>
      </c>
      <c r="R19">
        <f>IF(ISERROR(IF($Q19="","",ROUND(($Q19/$Q$10)*$R$10,2))),"",IF($Q19="","",ROUND(($Q19/$Q$10)*$R$10,2)))</f>
        <v>100</v>
      </c>
      <c r="S19">
        <f>IF($R19="","",ROUND($R19*$S$10,2))</f>
        <v>50</v>
      </c>
      <c r="T19">
        <v>37</v>
      </c>
      <c r="U19">
        <v>37</v>
      </c>
      <c r="V19">
        <v>35</v>
      </c>
      <c r="W19">
        <f>IF(COUNT($T19:$V19)=0,"",SUM($T19:$V19))</f>
        <v>109</v>
      </c>
      <c r="X19">
        <f>IF(ISERROR(IF($W19="","",ROUND(($W19/$W$10)*$X$10,2))),"",IF($W19="","",ROUND(($W19/$W$10)*$X$10,2)))</f>
        <v>90.83</v>
      </c>
      <c r="Y19">
        <f>IF($X19="","",ROUND($X19*$Y$10,2))</f>
        <v>27.25</v>
      </c>
      <c r="Z19">
        <f>IF(ISERROR(IF($V19="","",ROUND(SUM($M19,$S19,$Y19),2))),"",IF($V19="","",ROUND(SUM($M19,$S19,$Y19),2)))</f>
        <v>97.25</v>
      </c>
      <c r="AA19">
        <f>IF(ISERROR(IF($V19="","",VLOOKUP(Z19,NewTransmu,4,TRUE))),"",IF($V19="","",VLOOKUP(Z19,NewTransmu,4,TRUE)))</f>
        <v>98</v>
      </c>
      <c r="AB19" t="str">
        <f>IF(ISERROR(IF(AA19="","",VLOOKUP(AA19,DESCRIPTORS,4,TRUE))),"",IF(AA19="","",VLOOKUP(AA19,DESCRIPTORS,4,TRUE)))</f>
        <v>Advancing</v>
      </c>
      <c r="AD19" t="str">
        <v>Percentage</v>
      </c>
      <c r="AE19">
        <f>IFERROR(AE18/AE14,"")</f>
        <v>0.91</v>
      </c>
      <c r="AF19">
        <f>IFERROR(AF18/AF14,"")</f>
        <v>0.87</v>
      </c>
      <c r="AG19">
        <f>IFERROR(AG18/AG14,"")</f>
        <v>0.85</v>
      </c>
      <c r="AV19">
        <f>(T19/$T$10)*100</f>
        <v>92.5</v>
      </c>
      <c r="AW19">
        <f>(U19/$U$10)*100</f>
        <v>92.5</v>
      </c>
      <c r="AX19">
        <f>(V19/$V$10)*100</f>
        <v>87.5</v>
      </c>
    </row>
    <row r="20">
      <c r="A20">
        <v>9</v>
      </c>
      <c r="B20" t="str">
        <f>INPUT!B20</f>
        <v>Diaz, Darren</v>
      </c>
      <c r="F20">
        <v>20</v>
      </c>
      <c r="G20">
        <v>20</v>
      </c>
      <c r="H20">
        <v>20</v>
      </c>
      <c r="I20">
        <v>20</v>
      </c>
      <c r="J20">
        <v>20</v>
      </c>
      <c r="K20">
        <f>IF(COUNT($F20:$J20)=0,"",SUM($F20:$J20))</f>
        <v>100</v>
      </c>
      <c r="L20">
        <f>IF(ISERROR(IF($K20="","",ROUND(($K20/$K$10)*$L$10,2))),"",IF($K20="","",ROUND(($K20/$K$10)*$L$10,2)))</f>
        <v>100</v>
      </c>
      <c r="M20">
        <f>IF($L20="","",ROUND($L20*$M$10,2))</f>
        <v>20</v>
      </c>
      <c r="N20">
        <v>50</v>
      </c>
      <c r="O20">
        <v>50</v>
      </c>
      <c r="P20">
        <v>50</v>
      </c>
      <c r="Q20">
        <f>IF(COUNT($N20:$P20)=0,"",SUM($N20:$P20))</f>
        <v>150</v>
      </c>
      <c r="R20">
        <f>IF(ISERROR(IF($Q20="","",ROUND(($Q20/$Q$10)*$R$10,2))),"",IF($Q20="","",ROUND(($Q20/$Q$10)*$R$10,2)))</f>
        <v>100</v>
      </c>
      <c r="S20">
        <f>IF($R20="","",ROUND($R20*$S$10,2))</f>
        <v>50</v>
      </c>
      <c r="T20">
        <v>36</v>
      </c>
      <c r="U20">
        <v>34</v>
      </c>
      <c r="V20">
        <v>36</v>
      </c>
      <c r="W20">
        <f>IF(COUNT($T20:$V20)=0,"",SUM($T20:$V20))</f>
        <v>106</v>
      </c>
      <c r="X20">
        <f>IF(ISERROR(IF($W20="","",ROUND(($W20/$W$10)*$X$10,2))),"",IF($W20="","",ROUND(($W20/$W$10)*$X$10,2)))</f>
        <v>88.33</v>
      </c>
      <c r="Y20">
        <f>IF($X20="","",ROUND($X20*$Y$10,2))</f>
        <v>26.5</v>
      </c>
      <c r="Z20">
        <f>IF(ISERROR(IF($V20="","",ROUND(SUM($M20,$S20,$Y20),2))),"",IF($V20="","",ROUND(SUM($M20,$S20,$Y20),2)))</f>
        <v>96.5</v>
      </c>
      <c r="AA20">
        <f>IF(ISERROR(IF($V20="","",VLOOKUP(Z20,NewTransmu,4,TRUE))),"",IF($V20="","",VLOOKUP(Z20,NewTransmu,4,TRUE)))</f>
        <v>98</v>
      </c>
      <c r="AB20" t="str">
        <f>IF(ISERROR(IF(AA20="","",VLOOKUP(AA20,DESCRIPTORS,4,TRUE))),"",IF(AA20="","",VLOOKUP(AA20,DESCRIPTORS,4,TRUE)))</f>
        <v>Advancing</v>
      </c>
      <c r="AD20" t="str">
        <v>Got below 75%</v>
      </c>
      <c r="AE20">
        <f>AE14-AE18</f>
        <v>9</v>
      </c>
      <c r="AF20">
        <f>AF14-AF18</f>
        <v>13</v>
      </c>
      <c r="AG20">
        <f>AG14-AG18</f>
        <v>15</v>
      </c>
      <c r="AV20">
        <f>(T20/$T$10)*100</f>
        <v>90</v>
      </c>
      <c r="AW20">
        <f>(U20/$U$10)*100</f>
        <v>85</v>
      </c>
      <c r="AX20">
        <f>(V20/$V$10)*100</f>
        <v>90</v>
      </c>
    </row>
    <row r="21">
      <c r="A21">
        <v>10</v>
      </c>
      <c r="B21" t="str">
        <f>INPUT!B21</f>
        <v>Evangelista, Diego</v>
      </c>
      <c r="F21">
        <v>20</v>
      </c>
      <c r="G21">
        <v>20</v>
      </c>
      <c r="H21">
        <v>20</v>
      </c>
      <c r="I21">
        <v>20</v>
      </c>
      <c r="J21">
        <v>20</v>
      </c>
      <c r="K21">
        <f>IF(COUNT($F21:$J21)=0,"",SUM($F21:$J21))</f>
        <v>100</v>
      </c>
      <c r="L21">
        <f>IF(ISERROR(IF($K21="","",ROUND(($K21/$K$10)*$L$10,2))),"",IF($K21="","",ROUND(($K21/$K$10)*$L$10,2)))</f>
        <v>100</v>
      </c>
      <c r="M21">
        <f>IF($L21="","",ROUND($L21*$M$10,2))</f>
        <v>20</v>
      </c>
      <c r="N21">
        <v>50</v>
      </c>
      <c r="O21">
        <v>50</v>
      </c>
      <c r="P21">
        <v>50</v>
      </c>
      <c r="Q21">
        <f>IF(COUNT($N21:$P21)=0,"",SUM($N21:$P21))</f>
        <v>150</v>
      </c>
      <c r="R21">
        <f>IF(ISERROR(IF($Q21="","",ROUND(($Q21/$Q$10)*$R$10,2))),"",IF($Q21="","",ROUND(($Q21/$Q$10)*$R$10,2)))</f>
        <v>100</v>
      </c>
      <c r="S21">
        <f>IF($R21="","",ROUND($R21*$S$10,2))</f>
        <v>50</v>
      </c>
      <c r="T21">
        <v>34</v>
      </c>
      <c r="U21">
        <v>39</v>
      </c>
      <c r="V21">
        <v>33</v>
      </c>
      <c r="W21">
        <f>IF(COUNT($T21:$V21)=0,"",SUM($T21:$V21))</f>
        <v>106</v>
      </c>
      <c r="X21">
        <f>IF(ISERROR(IF($W21="","",ROUND(($W21/$W$10)*$X$10,2))),"",IF($W21="","",ROUND(($W21/$W$10)*$X$10,2)))</f>
        <v>88.33</v>
      </c>
      <c r="Y21">
        <f>IF($X21="","",ROUND($X21*$Y$10,2))</f>
        <v>26.5</v>
      </c>
      <c r="Z21">
        <f>IF(ISERROR(IF($V21="","",ROUND(SUM($M21,$S21,$Y21),2))),"",IF($V21="","",ROUND(SUM($M21,$S21,$Y21),2)))</f>
        <v>96.5</v>
      </c>
      <c r="AA21">
        <f>IF(ISERROR(IF($V21="","",VLOOKUP(Z21,NewTransmu,4,TRUE))),"",IF($V21="","",VLOOKUP(Z21,NewTransmu,4,TRUE)))</f>
        <v>98</v>
      </c>
      <c r="AB21" t="str">
        <f>IF(ISERROR(IF(AA21="","",VLOOKUP(AA21,DESCRIPTORS,4,TRUE))),"",IF(AA21="","",VLOOKUP(AA21,DESCRIPTORS,4,TRUE)))</f>
        <v>Advancing</v>
      </c>
      <c r="AD21" t="str">
        <v>Percentage</v>
      </c>
      <c r="AE21">
        <f>IFERROR(1-AE19,"")</f>
        <v>0.08999999999999997</v>
      </c>
      <c r="AF21">
        <f>IFERROR(1-AF19,"")</f>
        <v>0.13</v>
      </c>
      <c r="AG21">
        <f>IFERROR(1-AG19,"")</f>
        <v>0.15000000000000002</v>
      </c>
      <c r="AV21">
        <f>(T21/$T$10)*100</f>
        <v>85</v>
      </c>
      <c r="AW21">
        <f>(U21/$U$10)*100</f>
        <v>97.5</v>
      </c>
      <c r="AX21">
        <f>(V21/$V$10)*100</f>
        <v>82.5</v>
      </c>
    </row>
    <row r="22">
      <c r="A22">
        <v>11</v>
      </c>
      <c r="B22" t="str">
        <f>INPUT!B22</f>
        <v>Fernandez, Ethan</v>
      </c>
      <c r="F22">
        <v>20</v>
      </c>
      <c r="G22">
        <v>20</v>
      </c>
      <c r="H22">
        <v>20</v>
      </c>
      <c r="I22">
        <v>20</v>
      </c>
      <c r="J22">
        <v>20</v>
      </c>
      <c r="K22">
        <f>IF(COUNT($F22:$J22)=0,"",SUM($F22:$J22))</f>
        <v>100</v>
      </c>
      <c r="L22">
        <f>IF(ISERROR(IF($K22="","",ROUND(($K22/$K$10)*$L$10,2))),"",IF($K22="","",ROUND(($K22/$K$10)*$L$10,2)))</f>
        <v>100</v>
      </c>
      <c r="M22">
        <f>IF($L22="","",ROUND($L22*$M$10,2))</f>
        <v>20</v>
      </c>
      <c r="N22">
        <v>50</v>
      </c>
      <c r="O22">
        <v>50</v>
      </c>
      <c r="P22">
        <v>50</v>
      </c>
      <c r="Q22">
        <f>IF(COUNT($N22:$P22)=0,"",SUM($N22:$P22))</f>
        <v>150</v>
      </c>
      <c r="R22">
        <f>IF(ISERROR(IF($Q22="","",ROUND(($Q22/$Q$10)*$R$10,2))),"",IF($Q22="","",ROUND(($Q22/$Q$10)*$R$10,2)))</f>
        <v>100</v>
      </c>
      <c r="S22">
        <f>IF($R22="","",ROUND($R22*$S$10,2))</f>
        <v>50</v>
      </c>
      <c r="T22">
        <v>37</v>
      </c>
      <c r="U22">
        <v>40</v>
      </c>
      <c r="V22">
        <v>37</v>
      </c>
      <c r="W22">
        <f>IF(COUNT($T22:$V22)=0,"",SUM($T22:$V22))</f>
        <v>114</v>
      </c>
      <c r="X22">
        <f>IF(ISERROR(IF($W22="","",ROUND(($W22/$W$10)*$X$10,2))),"",IF($W22="","",ROUND(($W22/$W$10)*$X$10,2)))</f>
        <v>95</v>
      </c>
      <c r="Y22">
        <f>IF($X22="","",ROUND($X22*$Y$10,2))</f>
        <v>28.5</v>
      </c>
      <c r="Z22">
        <f>IF(ISERROR(IF($V22="","",ROUND(SUM($M22,$S22,$Y22),2))),"",IF($V22="","",ROUND(SUM($M22,$S22,$Y22),2)))</f>
        <v>98.5</v>
      </c>
      <c r="AA22">
        <f>IF(ISERROR(IF($V22="","",VLOOKUP(Z22,NewTransmu,4,TRUE))),"",IF($V22="","",VLOOKUP(Z22,NewTransmu,4,TRUE)))</f>
        <v>99</v>
      </c>
      <c r="AB22" t="str">
        <f>IF(ISERROR(IF(AA22="","",VLOOKUP(AA22,DESCRIPTORS,4,TRUE))),"",IF(AA22="","",VLOOKUP(AA22,DESCRIPTORS,4,TRUE)))</f>
        <v>Advancing</v>
      </c>
      <c r="AV22">
        <f>(T22/$T$10)*100</f>
        <v>92.5</v>
      </c>
      <c r="AW22">
        <f>(U22/$U$10)*100</f>
        <v>100</v>
      </c>
      <c r="AX22">
        <f>(V22/$V$10)*100</f>
        <v>92.5</v>
      </c>
    </row>
    <row r="23">
      <c r="A23">
        <v>12</v>
      </c>
      <c r="B23" t="str">
        <f>INPUT!B23</f>
        <v>Garcia, Gabriel</v>
      </c>
      <c r="F23">
        <v>20</v>
      </c>
      <c r="G23">
        <v>20</v>
      </c>
      <c r="H23">
        <v>20</v>
      </c>
      <c r="I23">
        <v>20</v>
      </c>
      <c r="J23">
        <v>20</v>
      </c>
      <c r="K23">
        <f>IF(COUNT($F23:$J23)=0,"",SUM($F23:$J23))</f>
        <v>100</v>
      </c>
      <c r="L23">
        <f>IF(ISERROR(IF($K23="","",ROUND(($K23/$K$10)*$L$10,2))),"",IF($K23="","",ROUND(($K23/$K$10)*$L$10,2)))</f>
        <v>100</v>
      </c>
      <c r="M23">
        <f>IF($L23="","",ROUND($L23*$M$10,2))</f>
        <v>20</v>
      </c>
      <c r="N23">
        <v>50</v>
      </c>
      <c r="O23">
        <v>50</v>
      </c>
      <c r="P23">
        <v>50</v>
      </c>
      <c r="Q23">
        <f>IF(COUNT($N23:$P23)=0,"",SUM($N23:$P23))</f>
        <v>150</v>
      </c>
      <c r="R23">
        <f>IF(ISERROR(IF($Q23="","",ROUND(($Q23/$Q$10)*$R$10,2))),"",IF($Q23="","",ROUND(($Q23/$Q$10)*$R$10,2)))</f>
        <v>100</v>
      </c>
      <c r="S23">
        <f>IF($R23="","",ROUND($R23*$S$10,2))</f>
        <v>50</v>
      </c>
      <c r="T23">
        <v>32</v>
      </c>
      <c r="U23">
        <v>30</v>
      </c>
      <c r="V23">
        <v>25</v>
      </c>
      <c r="W23">
        <f>IF(COUNT($T23:$V23)=0,"",SUM($T23:$V23))</f>
        <v>87</v>
      </c>
      <c r="X23">
        <f>IF(ISERROR(IF($W23="","",ROUND(($W23/$W$10)*$X$10,2))),"",IF($W23="","",ROUND(($W23/$W$10)*$X$10,2)))</f>
        <v>72.5</v>
      </c>
      <c r="Y23">
        <f>IF($X23="","",ROUND($X23*$Y$10,2))</f>
        <v>21.75</v>
      </c>
      <c r="Z23">
        <f>IF(ISERROR(IF($V23="","",ROUND(SUM($M23,$S23,$Y23),2))),"",IF($V23="","",ROUND(SUM($M23,$S23,$Y23),2)))</f>
        <v>91.75</v>
      </c>
      <c r="AA23">
        <f>IF(ISERROR(IF($V23="","",VLOOKUP(Z23,NewTransmu,4,TRUE))),"",IF($V23="","",VLOOKUP(Z23,NewTransmu,4,TRUE)))</f>
        <v>93</v>
      </c>
      <c r="AB23" t="str">
        <f>IF(ISERROR(IF(AA23="","",VLOOKUP(AA23,DESCRIPTORS,4,TRUE))),"",IF(AA23="","",VLOOKUP(AA23,DESCRIPTORS,4,TRUE)))</f>
        <v>Advancing</v>
      </c>
      <c r="AD23" t="str">
        <v>NORM-REFERENCED</v>
      </c>
      <c r="AE23" t="str">
        <v>ST1</v>
      </c>
      <c r="AF23" t="str">
        <v>ST2</v>
      </c>
      <c r="AG23" t="str">
        <v>TE</v>
      </c>
      <c r="AV23">
        <f>(T23/$T$10)*100</f>
        <v>80</v>
      </c>
      <c r="AW23">
        <f>(U23/$U$10)*100</f>
        <v>75</v>
      </c>
      <c r="AX23">
        <f>(V23/$V$10)*100</f>
        <v>62.5</v>
      </c>
    </row>
    <row r="24">
      <c r="A24">
        <v>13</v>
      </c>
      <c r="B24" t="str">
        <f>INPUT!B24</f>
        <v>Gonzales, Harold</v>
      </c>
      <c r="F24">
        <v>20</v>
      </c>
      <c r="G24">
        <v>20</v>
      </c>
      <c r="H24">
        <v>20</v>
      </c>
      <c r="I24">
        <v>20</v>
      </c>
      <c r="J24">
        <v>20</v>
      </c>
      <c r="K24">
        <f>IF(COUNT($F24:$J24)=0,"",SUM($F24:$J24))</f>
        <v>100</v>
      </c>
      <c r="L24">
        <f>IF(ISERROR(IF($K24="","",ROUND(($K24/$K$10)*$L$10,2))),"",IF($K24="","",ROUND(($K24/$K$10)*$L$10,2)))</f>
        <v>100</v>
      </c>
      <c r="M24">
        <f>IF($L24="","",ROUND($L24*$M$10,2))</f>
        <v>20</v>
      </c>
      <c r="N24">
        <v>50</v>
      </c>
      <c r="O24">
        <v>50</v>
      </c>
      <c r="P24">
        <v>50</v>
      </c>
      <c r="Q24">
        <f>IF(COUNT($N24:$P24)=0,"",SUM($N24:$P24))</f>
        <v>150</v>
      </c>
      <c r="R24">
        <f>IF(ISERROR(IF($Q24="","",ROUND(($Q24/$Q$10)*$R$10,2))),"",IF($Q24="","",ROUND(($Q24/$Q$10)*$R$10,2)))</f>
        <v>100</v>
      </c>
      <c r="S24">
        <f>IF($R24="","",ROUND($R24*$S$10,2))</f>
        <v>50</v>
      </c>
      <c r="T24">
        <v>34</v>
      </c>
      <c r="U24">
        <v>37</v>
      </c>
      <c r="V24">
        <v>34</v>
      </c>
      <c r="W24">
        <f>IF(COUNT($T24:$V24)=0,"",SUM($T24:$V24))</f>
        <v>105</v>
      </c>
      <c r="X24">
        <f>IF(ISERROR(IF($W24="","",ROUND(($W24/$W$10)*$X$10,2))),"",IF($W24="","",ROUND(($W24/$W$10)*$X$10,2)))</f>
        <v>87.5</v>
      </c>
      <c r="Y24">
        <f>IF($X24="","",ROUND($X24*$Y$10,2))</f>
        <v>26.25</v>
      </c>
      <c r="Z24">
        <f>IF(ISERROR(IF($V24="","",ROUND(SUM($M24,$S24,$Y24),2))),"",IF($V24="","",ROUND(SUM($M24,$S24,$Y24),2)))</f>
        <v>96.25</v>
      </c>
      <c r="AA24">
        <f>IF(ISERROR(IF($V24="","",VLOOKUP(Z24,NewTransmu,4,TRUE))),"",IF($V24="","",VLOOKUP(Z24,NewTransmu,4,TRUE)))</f>
        <v>98</v>
      </c>
      <c r="AB24" t="str">
        <f>IF(ISERROR(IF(AA24="","",VLOOKUP(AA24,DESCRIPTORS,4,TRUE))),"",IF(AA24="","",VLOOKUP(AA24,DESCRIPTORS,4,TRUE)))</f>
        <v>Advancing</v>
      </c>
      <c r="AD24" t="str">
        <v>Mean</v>
      </c>
      <c r="AE24">
        <f>IFERROR(AVERAGE(T12:T112),"")</f>
        <v>33.55</v>
      </c>
      <c r="AF24">
        <f>IFERROR(AVERAGE(U12:U112),"")</f>
        <v>33.46</v>
      </c>
      <c r="AG24">
        <f>IFERROR(AVERAGE(V12:V112),"")</f>
        <v>33.18</v>
      </c>
      <c r="AV24">
        <f>(T24/$T$10)*100</f>
        <v>85</v>
      </c>
      <c r="AW24">
        <f>(U24/$U$10)*100</f>
        <v>92.5</v>
      </c>
      <c r="AX24">
        <f>(V24/$V$10)*100</f>
        <v>85</v>
      </c>
    </row>
    <row r="25">
      <c r="A25">
        <v>14</v>
      </c>
      <c r="B25" t="str">
        <f>INPUT!B25</f>
        <v>Hernandez, Ivan</v>
      </c>
      <c r="F25">
        <v>20</v>
      </c>
      <c r="G25">
        <v>20</v>
      </c>
      <c r="H25">
        <v>20</v>
      </c>
      <c r="I25">
        <v>20</v>
      </c>
      <c r="J25">
        <v>20</v>
      </c>
      <c r="K25">
        <f>IF(COUNT($F25:$J25)=0,"",SUM($F25:$J25))</f>
        <v>100</v>
      </c>
      <c r="L25">
        <f>IF(ISERROR(IF($K25="","",ROUND(($K25/$K$10)*$L$10,2))),"",IF($K25="","",ROUND(($K25/$K$10)*$L$10,2)))</f>
        <v>100</v>
      </c>
      <c r="M25">
        <f>IF($L25="","",ROUND($L25*$M$10,2))</f>
        <v>20</v>
      </c>
      <c r="N25">
        <v>50</v>
      </c>
      <c r="O25">
        <v>50</v>
      </c>
      <c r="P25">
        <v>50</v>
      </c>
      <c r="Q25">
        <f>IF(COUNT($N25:$P25)=0,"",SUM($N25:$P25))</f>
        <v>150</v>
      </c>
      <c r="R25">
        <f>IF(ISERROR(IF($Q25="","",ROUND(($Q25/$Q$10)*$R$10,2))),"",IF($Q25="","",ROUND(($Q25/$Q$10)*$R$10,2)))</f>
        <v>100</v>
      </c>
      <c r="S25">
        <f>IF($R25="","",ROUND($R25*$S$10,2))</f>
        <v>50</v>
      </c>
      <c r="T25">
        <v>37</v>
      </c>
      <c r="U25">
        <v>40</v>
      </c>
      <c r="V25">
        <v>34</v>
      </c>
      <c r="W25">
        <f>IF(COUNT($T25:$V25)=0,"",SUM($T25:$V25))</f>
        <v>111</v>
      </c>
      <c r="X25">
        <f>IF(ISERROR(IF($W25="","",ROUND(($W25/$W$10)*$X$10,2))),"",IF($W25="","",ROUND(($W25/$W$10)*$X$10,2)))</f>
        <v>92.5</v>
      </c>
      <c r="Y25">
        <f>IF($X25="","",ROUND($X25*$Y$10,2))</f>
        <v>27.75</v>
      </c>
      <c r="Z25">
        <f>IF(ISERROR(IF($V25="","",ROUND(SUM($M25,$S25,$Y25),2))),"",IF($V25="","",ROUND(SUM($M25,$S25,$Y25),2)))</f>
        <v>97.75</v>
      </c>
      <c r="AA25">
        <f>IF(ISERROR(IF($V25="","",VLOOKUP(Z25,NewTransmu,4,TRUE))),"",IF($V25="","",VLOOKUP(Z25,NewTransmu,4,TRUE)))</f>
        <v>99</v>
      </c>
      <c r="AB25" t="str">
        <f>IF(ISERROR(IF(AA25="","",VLOOKUP(AA25,DESCRIPTORS,4,TRUE))),"",IF(AA25="","",VLOOKUP(AA25,DESCRIPTORS,4,TRUE)))</f>
        <v>Advancing</v>
      </c>
      <c r="AD25" t="str">
        <v>Median</v>
      </c>
      <c r="AE25">
        <f>IFERROR(MEDIAN(T12:T112),"")</f>
        <v>34</v>
      </c>
      <c r="AF25">
        <f>IFERROR(MEDIAN(U12:U112),"")</f>
        <v>33</v>
      </c>
      <c r="AG25">
        <f>IFERROR(MEDIAN(V12:V112),"")</f>
        <v>34</v>
      </c>
      <c r="AV25">
        <f>(T25/$T$10)*100</f>
        <v>92.5</v>
      </c>
      <c r="AW25">
        <f>(U25/$U$10)*100</f>
        <v>100</v>
      </c>
      <c r="AX25">
        <f>(V25/$V$10)*100</f>
        <v>85</v>
      </c>
    </row>
    <row r="26">
      <c r="A26">
        <v>15</v>
      </c>
      <c r="B26" t="str">
        <f>INPUT!B26</f>
        <v>Ilagan, Jacob</v>
      </c>
      <c r="F26">
        <v>20</v>
      </c>
      <c r="G26">
        <v>20</v>
      </c>
      <c r="H26">
        <v>20</v>
      </c>
      <c r="I26">
        <v>20</v>
      </c>
      <c r="J26">
        <v>20</v>
      </c>
      <c r="K26">
        <f>IF(COUNT($F26:$J26)=0,"",SUM($F26:$J26))</f>
        <v>100</v>
      </c>
      <c r="L26">
        <f>IF(ISERROR(IF($K26="","",ROUND(($K26/$K$10)*$L$10,2))),"",IF($K26="","",ROUND(($K26/$K$10)*$L$10,2)))</f>
        <v>100</v>
      </c>
      <c r="M26">
        <f>IF($L26="","",ROUND($L26*$M$10,2))</f>
        <v>20</v>
      </c>
      <c r="N26">
        <v>50</v>
      </c>
      <c r="O26">
        <v>50</v>
      </c>
      <c r="P26">
        <v>50</v>
      </c>
      <c r="Q26">
        <f>IF(COUNT($N26:$P26)=0,"",SUM($N26:$P26))</f>
        <v>150</v>
      </c>
      <c r="R26">
        <f>IF(ISERROR(IF($Q26="","",ROUND(($Q26/$Q$10)*$R$10,2))),"",IF($Q26="","",ROUND(($Q26/$Q$10)*$R$10,2)))</f>
        <v>100</v>
      </c>
      <c r="S26">
        <f>IF($R26="","",ROUND($R26*$S$10,2))</f>
        <v>50</v>
      </c>
      <c r="T26">
        <v>36</v>
      </c>
      <c r="U26">
        <v>35</v>
      </c>
      <c r="V26">
        <v>35</v>
      </c>
      <c r="W26">
        <f>IF(COUNT($T26:$V26)=0,"",SUM($T26:$V26))</f>
        <v>106</v>
      </c>
      <c r="X26">
        <f>IF(ISERROR(IF($W26="","",ROUND(($W26/$W$10)*$X$10,2))),"",IF($W26="","",ROUND(($W26/$W$10)*$X$10,2)))</f>
        <v>88.33</v>
      </c>
      <c r="Y26">
        <f>IF($X26="","",ROUND($X26*$Y$10,2))</f>
        <v>26.5</v>
      </c>
      <c r="Z26">
        <f>IF(ISERROR(IF($V26="","",ROUND(SUM($M26,$S26,$Y26),2))),"",IF($V26="","",ROUND(SUM($M26,$S26,$Y26),2)))</f>
        <v>96.5</v>
      </c>
      <c r="AA26">
        <f>IF(ISERROR(IF($V26="","",VLOOKUP(Z26,NewTransmu,4,TRUE))),"",IF($V26="","",VLOOKUP(Z26,NewTransmu,4,TRUE)))</f>
        <v>98</v>
      </c>
      <c r="AB26" t="str">
        <f>IF(ISERROR(IF(AA26="","",VLOOKUP(AA26,DESCRIPTORS,4,TRUE))),"",IF(AA26="","",VLOOKUP(AA26,DESCRIPTORS,4,TRUE)))</f>
        <v>Advancing</v>
      </c>
      <c r="AD26" t="str">
        <v>SD</v>
      </c>
      <c r="AE26">
        <f>IFERROR(STDEV.S(T12:T112),"")</f>
        <v>3.2671459141339896</v>
      </c>
      <c r="AF26">
        <f>STDEV.S(U12:U112)</f>
        <v>3.906534282584765</v>
      </c>
      <c r="AG26">
        <f>STDEV.S(V12:V112)</f>
        <v>3.540187748259863</v>
      </c>
      <c r="AV26">
        <f>(T26/$T$10)*100</f>
        <v>90</v>
      </c>
      <c r="AW26">
        <f>(U26/$U$10)*100</f>
        <v>87.5</v>
      </c>
      <c r="AX26">
        <f>(V26/$V$10)*100</f>
        <v>87.5</v>
      </c>
    </row>
    <row r="27">
      <c r="A27">
        <v>16</v>
      </c>
      <c r="B27" t="str">
        <f>INPUT!B27</f>
        <v>Jimenez, James</v>
      </c>
      <c r="F27">
        <v>20</v>
      </c>
      <c r="G27">
        <v>20</v>
      </c>
      <c r="H27">
        <v>20</v>
      </c>
      <c r="I27">
        <v>20</v>
      </c>
      <c r="J27">
        <v>20</v>
      </c>
      <c r="K27">
        <f>IF(COUNT($F27:$J27)=0,"",SUM($F27:$J27))</f>
        <v>100</v>
      </c>
      <c r="L27">
        <f>IF(ISERROR(IF($K27="","",ROUND(($K27/$K$10)*$L$10,2))),"",IF($K27="","",ROUND(($K27/$K$10)*$L$10,2)))</f>
        <v>100</v>
      </c>
      <c r="M27">
        <f>IF($L27="","",ROUND($L27*$M$10,2))</f>
        <v>20</v>
      </c>
      <c r="N27">
        <v>50</v>
      </c>
      <c r="O27">
        <v>50</v>
      </c>
      <c r="P27">
        <v>50</v>
      </c>
      <c r="Q27">
        <f>IF(COUNT($N27:$P27)=0,"",SUM($N27:$P27))</f>
        <v>150</v>
      </c>
      <c r="R27">
        <f>IF(ISERROR(IF($Q27="","",ROUND(($Q27/$Q$10)*$R$10,2))),"",IF($Q27="","",ROUND(($Q27/$Q$10)*$R$10,2)))</f>
        <v>100</v>
      </c>
      <c r="S27">
        <f>IF($R27="","",ROUND($R27*$S$10,2))</f>
        <v>50</v>
      </c>
      <c r="T27">
        <v>33</v>
      </c>
      <c r="U27">
        <v>37</v>
      </c>
      <c r="V27">
        <v>33</v>
      </c>
      <c r="W27">
        <f>IF(COUNT($T27:$V27)=0,"",SUM($T27:$V27))</f>
        <v>103</v>
      </c>
      <c r="X27">
        <f>IF(ISERROR(IF($W27="","",ROUND(($W27/$W$10)*$X$10,2))),"",IF($W27="","",ROUND(($W27/$W$10)*$X$10,2)))</f>
        <v>85.83</v>
      </c>
      <c r="Y27">
        <f>IF($X27="","",ROUND($X27*$Y$10,2))</f>
        <v>25.75</v>
      </c>
      <c r="Z27">
        <f>IF(ISERROR(IF($V27="","",ROUND(SUM($M27,$S27,$Y27),2))),"",IF($V27="","",ROUND(SUM($M27,$S27,$Y27),2)))</f>
        <v>95.75</v>
      </c>
      <c r="AA27">
        <f>IF(ISERROR(IF($V27="","",VLOOKUP(Z27,NewTransmu,4,TRUE))),"",IF($V27="","",VLOOKUP(Z27,NewTransmu,4,TRUE)))</f>
        <v>97</v>
      </c>
      <c r="AB27" t="str">
        <f>IF(ISERROR(IF(AA27="","",VLOOKUP(AA27,DESCRIPTORS,4,TRUE))),"",IF(AA27="","",VLOOKUP(AA27,DESCRIPTORS,4,TRUE)))</f>
        <v>Advancing</v>
      </c>
      <c r="AD27" t="str">
        <v>MPS/PL</v>
      </c>
      <c r="AE27">
        <f>IFERROR(AE24/AE15,"")</f>
        <v>0.8387499999999999</v>
      </c>
      <c r="AF27">
        <f>IFERROR(AF24/AF15,"")</f>
        <v>0.8365</v>
      </c>
      <c r="AG27">
        <f>IFERROR(AG24/AG15,"")</f>
        <v>0.8295</v>
      </c>
      <c r="AV27">
        <f>(T27/$T$10)*100</f>
        <v>82.5</v>
      </c>
      <c r="AW27">
        <f>(U27/$U$10)*100</f>
        <v>92.5</v>
      </c>
      <c r="AX27">
        <f>(V27/$V$10)*100</f>
        <v>82.5</v>
      </c>
    </row>
    <row r="28">
      <c r="A28">
        <v>17</v>
      </c>
      <c r="B28" t="str">
        <f>INPUT!B28</f>
        <v>Lacson, Jared</v>
      </c>
      <c r="F28">
        <v>20</v>
      </c>
      <c r="G28">
        <v>20</v>
      </c>
      <c r="H28">
        <v>20</v>
      </c>
      <c r="I28">
        <v>20</v>
      </c>
      <c r="J28">
        <v>20</v>
      </c>
      <c r="K28">
        <f>IF(COUNT($F28:$J28)=0,"",SUM($F28:$J28))</f>
        <v>100</v>
      </c>
      <c r="L28">
        <f>IF(ISERROR(IF($K28="","",ROUND(($K28/$K$10)*$L$10,2))),"",IF($K28="","",ROUND(($K28/$K$10)*$L$10,2)))</f>
        <v>100</v>
      </c>
      <c r="M28">
        <f>IF($L28="","",ROUND($L28*$M$10,2))</f>
        <v>20</v>
      </c>
      <c r="N28">
        <v>50</v>
      </c>
      <c r="O28">
        <v>50</v>
      </c>
      <c r="P28">
        <v>50</v>
      </c>
      <c r="Q28">
        <f>IF(COUNT($N28:$P28)=0,"",SUM($N28:$P28))</f>
        <v>150</v>
      </c>
      <c r="R28">
        <f>IF(ISERROR(IF($Q28="","",ROUND(($Q28/$Q$10)*$R$10,2))),"",IF($Q28="","",ROUND(($Q28/$Q$10)*$R$10,2)))</f>
        <v>100</v>
      </c>
      <c r="S28">
        <f>IF($R28="","",ROUND($R28*$S$10,2))</f>
        <v>50</v>
      </c>
      <c r="T28">
        <v>31</v>
      </c>
      <c r="U28">
        <v>29</v>
      </c>
      <c r="V28">
        <v>30</v>
      </c>
      <c r="W28">
        <f>IF(COUNT($T28:$V28)=0,"",SUM($T28:$V28))</f>
        <v>90</v>
      </c>
      <c r="X28">
        <f>IF(ISERROR(IF($W28="","",ROUND(($W28/$W$10)*$X$10,2))),"",IF($W28="","",ROUND(($W28/$W$10)*$X$10,2)))</f>
        <v>75</v>
      </c>
      <c r="Y28">
        <f>IF($X28="","",ROUND($X28*$Y$10,2))</f>
        <v>22.5</v>
      </c>
      <c r="Z28">
        <f>IF(ISERROR(IF($V28="","",ROUND(SUM($M28,$S28,$Y28),2))),"",IF($V28="","",ROUND(SUM($M28,$S28,$Y28),2)))</f>
        <v>92.5</v>
      </c>
      <c r="AA28">
        <f>IF(ISERROR(IF($V28="","",VLOOKUP(Z28,NewTransmu,4,TRUE))),"",IF($V28="","",VLOOKUP(Z28,NewTransmu,4,TRUE)))</f>
        <v>94</v>
      </c>
      <c r="AB28" t="str">
        <f>IF(ISERROR(IF(AA28="","",VLOOKUP(AA28,DESCRIPTORS,4,TRUE))),"",IF(AA28="","",VLOOKUP(AA28,DESCRIPTORS,4,TRUE)))</f>
        <v>Advancing</v>
      </c>
      <c r="AV28">
        <f>(T28/$T$10)*100</f>
        <v>77.5</v>
      </c>
      <c r="AW28">
        <f>(U28/$U$10)*100</f>
        <v>72.5</v>
      </c>
      <c r="AX28">
        <f>(V28/$V$10)*100</f>
        <v>75</v>
      </c>
    </row>
    <row r="29">
      <c r="A29">
        <v>18</v>
      </c>
      <c r="B29" t="str">
        <f>INPUT!B29</f>
        <v>Lim, Jericho</v>
      </c>
      <c r="F29">
        <v>20</v>
      </c>
      <c r="G29">
        <v>20</v>
      </c>
      <c r="H29">
        <v>20</v>
      </c>
      <c r="I29">
        <v>20</v>
      </c>
      <c r="J29">
        <v>20</v>
      </c>
      <c r="K29">
        <f>IF(COUNT($F29:$J29)=0,"",SUM($F29:$J29))</f>
        <v>100</v>
      </c>
      <c r="L29">
        <f>IF(ISERROR(IF($K29="","",ROUND(($K29/$K$10)*$L$10,2))),"",IF($K29="","",ROUND(($K29/$K$10)*$L$10,2)))</f>
        <v>100</v>
      </c>
      <c r="M29">
        <f>IF($L29="","",ROUND($L29*$M$10,2))</f>
        <v>20</v>
      </c>
      <c r="N29">
        <v>50</v>
      </c>
      <c r="O29">
        <v>50</v>
      </c>
      <c r="P29">
        <v>50</v>
      </c>
      <c r="Q29">
        <f>IF(COUNT($N29:$P29)=0,"",SUM($N29:$P29))</f>
        <v>150</v>
      </c>
      <c r="R29">
        <f>IF(ISERROR(IF($Q29="","",ROUND(($Q29/$Q$10)*$R$10,2))),"",IF($Q29="","",ROUND(($Q29/$Q$10)*$R$10,2)))</f>
        <v>100</v>
      </c>
      <c r="S29">
        <f>IF($R29="","",ROUND($R29*$S$10,2))</f>
        <v>50</v>
      </c>
      <c r="T29">
        <v>30</v>
      </c>
      <c r="U29">
        <v>26</v>
      </c>
      <c r="V29">
        <v>29</v>
      </c>
      <c r="W29">
        <f>IF(COUNT($T29:$V29)=0,"",SUM($T29:$V29))</f>
        <v>85</v>
      </c>
      <c r="X29">
        <f>IF(ISERROR(IF($W29="","",ROUND(($W29/$W$10)*$X$10,2))),"",IF($W29="","",ROUND(($W29/$W$10)*$X$10,2)))</f>
        <v>70.83</v>
      </c>
      <c r="Y29">
        <f>IF($X29="","",ROUND($X29*$Y$10,2))</f>
        <v>21.25</v>
      </c>
      <c r="Z29">
        <f>IF(ISERROR(IF($V29="","",ROUND(SUM($M29,$S29,$Y29),2))),"",IF($V29="","",ROUND(SUM($M29,$S29,$Y29),2)))</f>
        <v>91.25</v>
      </c>
      <c r="AA29">
        <f>IF(ISERROR(IF($V29="","",VLOOKUP(Z29,NewTransmu,4,TRUE))),"",IF($V29="","",VLOOKUP(Z29,NewTransmu,4,TRUE)))</f>
        <v>93</v>
      </c>
      <c r="AB29" t="str">
        <f>IF(ISERROR(IF(AA29="","",VLOOKUP(AA29,DESCRIPTORS,4,TRUE))),"",IF(AA29="","",VLOOKUP(AA29,DESCRIPTORS,4,TRUE)))</f>
        <v>Advancing</v>
      </c>
      <c r="AD29" t="str">
        <v>OTHER INFO</v>
      </c>
      <c r="AE29" t="str">
        <v>ST1</v>
      </c>
      <c r="AF29" t="str">
        <v>ST2</v>
      </c>
      <c r="AG29" t="str">
        <v>TE</v>
      </c>
      <c r="AV29">
        <f>(T29/$T$10)*100</f>
        <v>75</v>
      </c>
      <c r="AW29">
        <f>(U29/$U$10)*100</f>
        <v>65</v>
      </c>
      <c r="AX29">
        <f>(V29/$V$10)*100</f>
        <v>72.5</v>
      </c>
    </row>
    <row r="30">
      <c r="A30">
        <v>19</v>
      </c>
      <c r="B30" t="str">
        <f>INPUT!B30</f>
        <v>Manalo, Joaquin</v>
      </c>
      <c r="F30">
        <v>20</v>
      </c>
      <c r="G30">
        <v>20</v>
      </c>
      <c r="H30">
        <v>20</v>
      </c>
      <c r="I30">
        <v>20</v>
      </c>
      <c r="J30">
        <v>20</v>
      </c>
      <c r="K30">
        <f>IF(COUNT($F30:$J30)=0,"",SUM($F30:$J30))</f>
        <v>100</v>
      </c>
      <c r="L30">
        <f>IF(ISERROR(IF($K30="","",ROUND(($K30/$K$10)*$L$10,2))),"",IF($K30="","",ROUND(($K30/$K$10)*$L$10,2)))</f>
        <v>100</v>
      </c>
      <c r="M30">
        <f>IF($L30="","",ROUND($L30*$M$10,2))</f>
        <v>20</v>
      </c>
      <c r="N30">
        <v>50</v>
      </c>
      <c r="O30">
        <v>50</v>
      </c>
      <c r="P30">
        <v>50</v>
      </c>
      <c r="Q30">
        <f>IF(COUNT($N30:$P30)=0,"",SUM($N30:$P30))</f>
        <v>150</v>
      </c>
      <c r="R30">
        <f>IF(ISERROR(IF($Q30="","",ROUND(($Q30/$Q$10)*$R$10,2))),"",IF($Q30="","",ROUND(($Q30/$Q$10)*$R$10,2)))</f>
        <v>100</v>
      </c>
      <c r="S30">
        <f>IF($R30="","",ROUND($R30*$S$10,2))</f>
        <v>50</v>
      </c>
      <c r="T30">
        <v>32</v>
      </c>
      <c r="U30">
        <v>32</v>
      </c>
      <c r="V30">
        <v>32</v>
      </c>
      <c r="W30">
        <f>IF(COUNT($T30:$V30)=0,"",SUM($T30:$V30))</f>
        <v>96</v>
      </c>
      <c r="X30">
        <f>IF(ISERROR(IF($W30="","",ROUND(($W30/$W$10)*$X$10,2))),"",IF($W30="","",ROUND(($W30/$W$10)*$X$10,2)))</f>
        <v>80</v>
      </c>
      <c r="Y30">
        <f>IF($X30="","",ROUND($X30*$Y$10,2))</f>
        <v>24</v>
      </c>
      <c r="Z30">
        <f>IF(ISERROR(IF($V30="","",ROUND(SUM($M30,$S30,$Y30),2))),"",IF($V30="","",ROUND(SUM($M30,$S30,$Y30),2)))</f>
        <v>94</v>
      </c>
      <c r="AA30">
        <f>IF(ISERROR(IF($V30="","",VLOOKUP(Z30,NewTransmu,4,TRUE))),"",IF($V30="","",VLOOKUP(Z30,NewTransmu,4,TRUE)))</f>
        <v>96</v>
      </c>
      <c r="AB30" t="str">
        <f>IF(ISERROR(IF(AA30="","",VLOOKUP(AA30,DESCRIPTORS,4,TRUE))),"",IF(AA30="","",VLOOKUP(AA30,DESCRIPTORS,4,TRUE)))</f>
        <v>Advancing</v>
      </c>
      <c r="AD30" t="str">
        <v>Highest Score</v>
      </c>
      <c r="AE30">
        <f>IF(COUNTA(T12:T112)=0,"",MAX(T12:T112))</f>
        <v>40</v>
      </c>
      <c r="AF30">
        <f>IF(COUNTA(U12:U112)=0,"",MAX(U12:U112))</f>
        <v>40</v>
      </c>
      <c r="AG30">
        <f>IF(COUNTA(V12:V112)=0,"",MAX(V12:V112))</f>
        <v>40</v>
      </c>
      <c r="AV30">
        <f>(T30/$T$10)*100</f>
        <v>80</v>
      </c>
      <c r="AW30">
        <f>(U30/$U$10)*100</f>
        <v>80</v>
      </c>
      <c r="AX30">
        <f>(V30/$V$10)*100</f>
        <v>80</v>
      </c>
    </row>
    <row r="31">
      <c r="A31">
        <v>20</v>
      </c>
      <c r="B31" t="str">
        <f>INPUT!B31</f>
        <v>Mendoza, Joshua</v>
      </c>
      <c r="F31">
        <v>20</v>
      </c>
      <c r="G31">
        <v>20</v>
      </c>
      <c r="H31">
        <v>20</v>
      </c>
      <c r="I31">
        <v>20</v>
      </c>
      <c r="J31">
        <v>20</v>
      </c>
      <c r="K31">
        <f>IF(COUNT($F31:$J31)=0,"",SUM($F31:$J31))</f>
        <v>100</v>
      </c>
      <c r="L31">
        <f>IF(ISERROR(IF($K31="","",ROUND(($K31/$K$10)*$L$10,2))),"",IF($K31="","",ROUND(($K31/$K$10)*$L$10,2)))</f>
        <v>100</v>
      </c>
      <c r="M31">
        <f>IF($L31="","",ROUND($L31*$M$10,2))</f>
        <v>20</v>
      </c>
      <c r="N31">
        <v>50</v>
      </c>
      <c r="O31">
        <v>50</v>
      </c>
      <c r="P31">
        <v>50</v>
      </c>
      <c r="Q31">
        <f>IF(COUNT($N31:$P31)=0,"",SUM($N31:$P31))</f>
        <v>150</v>
      </c>
      <c r="R31">
        <f>IF(ISERROR(IF($Q31="","",ROUND(($Q31/$Q$10)*$R$10,2))),"",IF($Q31="","",ROUND(($Q31/$Q$10)*$R$10,2)))</f>
        <v>100</v>
      </c>
      <c r="S31">
        <f>IF($R31="","",ROUND($R31*$S$10,2))</f>
        <v>50</v>
      </c>
      <c r="T31">
        <v>35</v>
      </c>
      <c r="U31">
        <v>35</v>
      </c>
      <c r="V31">
        <v>36</v>
      </c>
      <c r="W31">
        <f>IF(COUNT($T31:$V31)=0,"",SUM($T31:$V31))</f>
        <v>106</v>
      </c>
      <c r="X31">
        <f>IF(ISERROR(IF($W31="","",ROUND(($W31/$W$10)*$X$10,2))),"",IF($W31="","",ROUND(($W31/$W$10)*$X$10,2)))</f>
        <v>88.33</v>
      </c>
      <c r="Y31">
        <f>IF($X31="","",ROUND($X31*$Y$10,2))</f>
        <v>26.5</v>
      </c>
      <c r="Z31">
        <f>IF(ISERROR(IF($V31="","",ROUND(SUM($M31,$S31,$Y31),2))),"",IF($V31="","",ROUND(SUM($M31,$S31,$Y31),2)))</f>
        <v>96.5</v>
      </c>
      <c r="AA31">
        <f>IF(ISERROR(IF($V31="","",VLOOKUP(Z31,NewTransmu,4,TRUE))),"",IF($V31="","",VLOOKUP(Z31,NewTransmu,4,TRUE)))</f>
        <v>98</v>
      </c>
      <c r="AB31" t="str">
        <f>IF(ISERROR(IF(AA31="","",VLOOKUP(AA31,DESCRIPTORS,4,TRUE))),"",IF(AA31="","",VLOOKUP(AA31,DESCRIPTORS,4,TRUE)))</f>
        <v>Advancing</v>
      </c>
      <c r="AD31" t="str">
        <v>Lowest Score</v>
      </c>
      <c r="AE31">
        <f>IF(COUNTA(T12:T112)=0,"",MIN(T12:T112))</f>
        <v>22</v>
      </c>
      <c r="AF31">
        <f>IF(COUNTA(U12:U112)=0,"",MIN(U12:U112))</f>
        <v>25</v>
      </c>
      <c r="AG31">
        <f>IF(COUNTA(V12:V112)=0,"",MIN(V12:V112))</f>
        <v>23</v>
      </c>
      <c r="AV31">
        <f>(T31/$T$10)*100</f>
        <v>87.5</v>
      </c>
      <c r="AW31">
        <f>(U31/$U$10)*100</f>
        <v>87.5</v>
      </c>
      <c r="AX31">
        <f>(V31/$V$10)*100</f>
        <v>90</v>
      </c>
    </row>
    <row r="32">
      <c r="A32">
        <v>21</v>
      </c>
      <c r="B32" t="str">
        <f>INPUT!B32</f>
        <v>Navarro, Lance</v>
      </c>
      <c r="F32">
        <v>20</v>
      </c>
      <c r="G32">
        <v>20</v>
      </c>
      <c r="H32">
        <v>20</v>
      </c>
      <c r="I32">
        <v>20</v>
      </c>
      <c r="J32">
        <v>20</v>
      </c>
      <c r="K32">
        <f>IF(COUNT($F32:$J32)=0,"",SUM($F32:$J32))</f>
        <v>100</v>
      </c>
      <c r="L32">
        <f>IF(ISERROR(IF($K32="","",ROUND(($K32/$K$10)*$L$10,2))),"",IF($K32="","",ROUND(($K32/$K$10)*$L$10,2)))</f>
        <v>100</v>
      </c>
      <c r="M32">
        <f>IF($L32="","",ROUND($L32*$M$10,2))</f>
        <v>20</v>
      </c>
      <c r="N32">
        <v>50</v>
      </c>
      <c r="O32">
        <v>50</v>
      </c>
      <c r="P32">
        <v>50</v>
      </c>
      <c r="Q32">
        <f>IF(COUNT($N32:$P32)=0,"",SUM($N32:$P32))</f>
        <v>150</v>
      </c>
      <c r="R32">
        <f>IF(ISERROR(IF($Q32="","",ROUND(($Q32/$Q$10)*$R$10,2))),"",IF($Q32="","",ROUND(($Q32/$Q$10)*$R$10,2)))</f>
        <v>100</v>
      </c>
      <c r="S32">
        <f>IF($R32="","",ROUND($R32*$S$10,2))</f>
        <v>50</v>
      </c>
      <c r="T32">
        <v>30</v>
      </c>
      <c r="U32">
        <v>32</v>
      </c>
      <c r="V32">
        <v>29</v>
      </c>
      <c r="W32">
        <f>IF(COUNT($T32:$V32)=0,"",SUM($T32:$V32))</f>
        <v>91</v>
      </c>
      <c r="X32">
        <f>IF(ISERROR(IF($W32="","",ROUND(($W32/$W$10)*$X$10,2))),"",IF($W32="","",ROUND(($W32/$W$10)*$X$10,2)))</f>
        <v>75.83</v>
      </c>
      <c r="Y32">
        <f>IF($X32="","",ROUND($X32*$Y$10,2))</f>
        <v>22.75</v>
      </c>
      <c r="Z32">
        <f>IF(ISERROR(IF($V32="","",ROUND(SUM($M32,$S32,$Y32),2))),"",IF($V32="","",ROUND(SUM($M32,$S32,$Y32),2)))</f>
        <v>92.75</v>
      </c>
      <c r="AA32">
        <f>IF(ISERROR(IF($V32="","",VLOOKUP(Z32,NewTransmu,4,TRUE))),"",IF($V32="","",VLOOKUP(Z32,NewTransmu,4,TRUE)))</f>
        <v>94</v>
      </c>
      <c r="AB32" t="str">
        <f>IF(ISERROR(IF(AA32="","",VLOOKUP(AA32,DESCRIPTORS,4,TRUE))),"",IF(AA32="","",VLOOKUP(AA32,DESCRIPTORS,4,TRUE)))</f>
        <v>Advancing</v>
      </c>
      <c r="AD32" t="str">
        <v>Total Score</v>
      </c>
      <c r="AE32">
        <f>IF(COUNTA(T12:T112)=0,"",SUM(T12:T112))</f>
        <v>3355</v>
      </c>
      <c r="AF32">
        <f>IF(COUNTA(U12:U112)=0,"",SUM(U12:U112))</f>
        <v>3346</v>
      </c>
      <c r="AG32">
        <f>IF(COUNTA(V12:V112)=0,"",SUM(V12:V112))</f>
        <v>3318</v>
      </c>
      <c r="AV32">
        <f>(T32/$T$10)*100</f>
        <v>75</v>
      </c>
      <c r="AW32">
        <f>(U32/$U$10)*100</f>
        <v>80</v>
      </c>
      <c r="AX32">
        <f>(V32/$V$10)*100</f>
        <v>72.5</v>
      </c>
    </row>
    <row r="33">
      <c r="A33">
        <v>22</v>
      </c>
      <c r="B33" t="str">
        <f>INPUT!B33</f>
        <v>Ocampo, Luis</v>
      </c>
      <c r="F33">
        <v>20</v>
      </c>
      <c r="G33">
        <v>20</v>
      </c>
      <c r="H33">
        <v>20</v>
      </c>
      <c r="I33">
        <v>20</v>
      </c>
      <c r="J33">
        <v>20</v>
      </c>
      <c r="K33">
        <f>IF(COUNT($F33:$J33)=0,"",SUM($F33:$J33))</f>
        <v>100</v>
      </c>
      <c r="L33">
        <f>IF(ISERROR(IF($K33="","",ROUND(($K33/$K$10)*$L$10,2))),"",IF($K33="","",ROUND(($K33/$K$10)*$L$10,2)))</f>
        <v>100</v>
      </c>
      <c r="M33">
        <f>IF($L33="","",ROUND($L33*$M$10,2))</f>
        <v>20</v>
      </c>
      <c r="N33">
        <v>50</v>
      </c>
      <c r="O33">
        <v>50</v>
      </c>
      <c r="P33">
        <v>50</v>
      </c>
      <c r="Q33">
        <f>IF(COUNT($N33:$P33)=0,"",SUM($N33:$P33))</f>
        <v>150</v>
      </c>
      <c r="R33">
        <f>IF(ISERROR(IF($Q33="","",ROUND(($Q33/$Q$10)*$R$10,2))),"",IF($Q33="","",ROUND(($Q33/$Q$10)*$R$10,2)))</f>
        <v>100</v>
      </c>
      <c r="S33">
        <f>IF($R33="","",ROUND($R33*$S$10,2))</f>
        <v>50</v>
      </c>
      <c r="T33">
        <v>35</v>
      </c>
      <c r="U33">
        <v>40</v>
      </c>
      <c r="V33">
        <v>35</v>
      </c>
      <c r="W33">
        <f>IF(COUNT($T33:$V33)=0,"",SUM($T33:$V33))</f>
        <v>110</v>
      </c>
      <c r="X33">
        <f>IF(ISERROR(IF($W33="","",ROUND(($W33/$W$10)*$X$10,2))),"",IF($W33="","",ROUND(($W33/$W$10)*$X$10,2)))</f>
        <v>91.67</v>
      </c>
      <c r="Y33">
        <f>IF($X33="","",ROUND($X33*$Y$10,2))</f>
        <v>27.5</v>
      </c>
      <c r="Z33">
        <f>IF(ISERROR(IF($V33="","",ROUND(SUM($M33,$S33,$Y33),2))),"",IF($V33="","",ROUND(SUM($M33,$S33,$Y33),2)))</f>
        <v>97.5</v>
      </c>
      <c r="AA33">
        <f>IF(ISERROR(IF($V33="","",VLOOKUP(Z33,NewTransmu,4,TRUE))),"",IF($V33="","",VLOOKUP(Z33,NewTransmu,4,TRUE)))</f>
        <v>99</v>
      </c>
      <c r="AB33" t="str">
        <f>IF(ISERROR(IF(AA33="","",VLOOKUP(AA33,DESCRIPTORS,4,TRUE))),"",IF(AA33="","",VLOOKUP(AA33,DESCRIPTORS,4,TRUE)))</f>
        <v>Advancing</v>
      </c>
      <c r="AV33">
        <f>(T33/$T$10)*100</f>
        <v>87.5</v>
      </c>
      <c r="AW33">
        <f>(U33/$U$10)*100</f>
        <v>100</v>
      </c>
      <c r="AX33">
        <f>(V33/$V$10)*100</f>
        <v>87.5</v>
      </c>
    </row>
    <row r="34">
      <c r="A34">
        <v>23</v>
      </c>
      <c r="B34" t="str">
        <f>INPUT!B34</f>
        <v>Ortega, Marco</v>
      </c>
      <c r="F34">
        <v>20</v>
      </c>
      <c r="G34">
        <v>20</v>
      </c>
      <c r="H34">
        <v>20</v>
      </c>
      <c r="I34">
        <v>20</v>
      </c>
      <c r="J34">
        <v>20</v>
      </c>
      <c r="K34">
        <f>IF(COUNT($F34:$J34)=0,"",SUM($F34:$J34))</f>
        <v>100</v>
      </c>
      <c r="L34">
        <f>IF(ISERROR(IF($K34="","",ROUND(($K34/$K$10)*$L$10,2))),"",IF($K34="","",ROUND(($K34/$K$10)*$L$10,2)))</f>
        <v>100</v>
      </c>
      <c r="M34">
        <f>IF($L34="","",ROUND($L34*$M$10,2))</f>
        <v>20</v>
      </c>
      <c r="N34">
        <v>50</v>
      </c>
      <c r="O34">
        <v>50</v>
      </c>
      <c r="P34">
        <v>50</v>
      </c>
      <c r="Q34">
        <f>IF(COUNT($N34:$P34)=0,"",SUM($N34:$P34))</f>
        <v>150</v>
      </c>
      <c r="R34">
        <f>IF(ISERROR(IF($Q34="","",ROUND(($Q34/$Q$10)*$R$10,2))),"",IF($Q34="","",ROUND(($Q34/$Q$10)*$R$10,2)))</f>
        <v>100</v>
      </c>
      <c r="S34">
        <f>IF($R34="","",ROUND($R34*$S$10,2))</f>
        <v>50</v>
      </c>
      <c r="T34">
        <v>34</v>
      </c>
      <c r="U34">
        <v>34</v>
      </c>
      <c r="V34">
        <v>34</v>
      </c>
      <c r="W34">
        <f>IF(COUNT($T34:$V34)=0,"",SUM($T34:$V34))</f>
        <v>102</v>
      </c>
      <c r="X34">
        <f>IF(ISERROR(IF($W34="","",ROUND(($W34/$W$10)*$X$10,2))),"",IF($W34="","",ROUND(($W34/$W$10)*$X$10,2)))</f>
        <v>85</v>
      </c>
      <c r="Y34">
        <f>IF($X34="","",ROUND($X34*$Y$10,2))</f>
        <v>25.5</v>
      </c>
      <c r="Z34">
        <f>IF(ISERROR(IF($V34="","",ROUND(SUM($M34,$S34,$Y34),2))),"",IF($V34="","",ROUND(SUM($M34,$S34,$Y34),2)))</f>
        <v>95.5</v>
      </c>
      <c r="AA34">
        <f>IF(ISERROR(IF($V34="","",VLOOKUP(Z34,NewTransmu,4,TRUE))),"",IF($V34="","",VLOOKUP(Z34,NewTransmu,4,TRUE)))</f>
        <v>97</v>
      </c>
      <c r="AB34" t="str">
        <f>IF(ISERROR(IF(AA34="","",VLOOKUP(AA34,DESCRIPTORS,4,TRUE))),"",IF(AA34="","",VLOOKUP(AA34,DESCRIPTORS,4,TRUE)))</f>
        <v>Advancing</v>
      </c>
      <c r="AV34">
        <f>(T34/$T$10)*100</f>
        <v>85</v>
      </c>
      <c r="AW34">
        <f>(U34/$U$10)*100</f>
        <v>85</v>
      </c>
      <c r="AX34">
        <f>(V34/$V$10)*100</f>
        <v>85</v>
      </c>
    </row>
    <row r="35">
      <c r="A35">
        <v>24</v>
      </c>
      <c r="B35" t="str">
        <f>INPUT!B35</f>
        <v>Pascual, Martin</v>
      </c>
      <c r="F35">
        <v>20</v>
      </c>
      <c r="G35">
        <v>20</v>
      </c>
      <c r="H35">
        <v>20</v>
      </c>
      <c r="I35">
        <v>20</v>
      </c>
      <c r="J35">
        <v>20</v>
      </c>
      <c r="K35">
        <f>IF(COUNT($F35:$J35)=0,"",SUM($F35:$J35))</f>
        <v>100</v>
      </c>
      <c r="L35">
        <f>IF(ISERROR(IF($K35="","",ROUND(($K35/$K$10)*$L$10,2))),"",IF($K35="","",ROUND(($K35/$K$10)*$L$10,2)))</f>
        <v>100</v>
      </c>
      <c r="M35">
        <f>IF($L35="","",ROUND($L35*$M$10,2))</f>
        <v>20</v>
      </c>
      <c r="N35">
        <v>50</v>
      </c>
      <c r="O35">
        <v>50</v>
      </c>
      <c r="P35">
        <v>50</v>
      </c>
      <c r="Q35">
        <f>IF(COUNT($N35:$P35)=0,"",SUM($N35:$P35))</f>
        <v>150</v>
      </c>
      <c r="R35">
        <f>IF(ISERROR(IF($Q35="","",ROUND(($Q35/$Q$10)*$R$10,2))),"",IF($Q35="","",ROUND(($Q35/$Q$10)*$R$10,2)))</f>
        <v>100</v>
      </c>
      <c r="S35">
        <f>IF($R35="","",ROUND($R35*$S$10,2))</f>
        <v>50</v>
      </c>
      <c r="T35">
        <v>28</v>
      </c>
      <c r="U35">
        <v>31</v>
      </c>
      <c r="V35">
        <v>32</v>
      </c>
      <c r="W35">
        <f>IF(COUNT($T35:$V35)=0,"",SUM($T35:$V35))</f>
        <v>91</v>
      </c>
      <c r="X35">
        <f>IF(ISERROR(IF($W35="","",ROUND(($W35/$W$10)*$X$10,2))),"",IF($W35="","",ROUND(($W35/$W$10)*$X$10,2)))</f>
        <v>75.83</v>
      </c>
      <c r="Y35">
        <f>IF($X35="","",ROUND($X35*$Y$10,2))</f>
        <v>22.75</v>
      </c>
      <c r="Z35">
        <f>IF(ISERROR(IF($V35="","",ROUND(SUM($M35,$S35,$Y35),2))),"",IF($V35="","",ROUND(SUM($M35,$S35,$Y35),2)))</f>
        <v>92.75</v>
      </c>
      <c r="AA35">
        <f>IF(ISERROR(IF($V35="","",VLOOKUP(Z35,NewTransmu,4,TRUE))),"",IF($V35="","",VLOOKUP(Z35,NewTransmu,4,TRUE)))</f>
        <v>94</v>
      </c>
      <c r="AB35" t="str">
        <f>IF(ISERROR(IF(AA35="","",VLOOKUP(AA35,DESCRIPTORS,4,TRUE))),"",IF(AA35="","",VLOOKUP(AA35,DESCRIPTORS,4,TRUE)))</f>
        <v>Advancing</v>
      </c>
      <c r="AV35">
        <f>(T35/$T$10)*100</f>
        <v>70</v>
      </c>
      <c r="AW35">
        <f>(U35/$U$10)*100</f>
        <v>77.5</v>
      </c>
      <c r="AX35">
        <f>(V35/$V$10)*100</f>
        <v>80</v>
      </c>
    </row>
    <row r="36">
      <c r="A36">
        <v>25</v>
      </c>
      <c r="B36" t="str">
        <f>INPUT!B36</f>
        <v>Quizon, Matthew</v>
      </c>
      <c r="F36">
        <v>20</v>
      </c>
      <c r="G36">
        <v>20</v>
      </c>
      <c r="H36">
        <v>20</v>
      </c>
      <c r="I36">
        <v>20</v>
      </c>
      <c r="J36">
        <v>20</v>
      </c>
      <c r="K36">
        <f>IF(COUNT($F36:$J36)=0,"",SUM($F36:$J36))</f>
        <v>100</v>
      </c>
      <c r="L36">
        <f>IF(ISERROR(IF($K36="","",ROUND(($K36/$K$10)*$L$10,2))),"",IF($K36="","",ROUND(($K36/$K$10)*$L$10,2)))</f>
        <v>100</v>
      </c>
      <c r="M36">
        <f>IF($L36="","",ROUND($L36*$M$10,2))</f>
        <v>20</v>
      </c>
      <c r="N36">
        <v>50</v>
      </c>
      <c r="O36">
        <v>50</v>
      </c>
      <c r="P36">
        <v>50</v>
      </c>
      <c r="Q36">
        <f>IF(COUNT($N36:$P36)=0,"",SUM($N36:$P36))</f>
        <v>150</v>
      </c>
      <c r="R36">
        <f>IF(ISERROR(IF($Q36="","",ROUND(($Q36/$Q$10)*$R$10,2))),"",IF($Q36="","",ROUND(($Q36/$Q$10)*$R$10,2)))</f>
        <v>100</v>
      </c>
      <c r="S36">
        <f>IF($R36="","",ROUND($R36*$S$10,2))</f>
        <v>50</v>
      </c>
      <c r="T36">
        <v>36</v>
      </c>
      <c r="U36">
        <v>38</v>
      </c>
      <c r="V36">
        <v>38</v>
      </c>
      <c r="W36">
        <f>IF(COUNT($T36:$V36)=0,"",SUM($T36:$V36))</f>
        <v>112</v>
      </c>
      <c r="X36">
        <f>IF(ISERROR(IF($W36="","",ROUND(($W36/$W$10)*$X$10,2))),"",IF($W36="","",ROUND(($W36/$W$10)*$X$10,2)))</f>
        <v>93.33</v>
      </c>
      <c r="Y36">
        <f>IF($X36="","",ROUND($X36*$Y$10,2))</f>
        <v>28</v>
      </c>
      <c r="Z36">
        <f>IF(ISERROR(IF($V36="","",ROUND(SUM($M36,$S36,$Y36),2))),"",IF($V36="","",ROUND(SUM($M36,$S36,$Y36),2)))</f>
        <v>98</v>
      </c>
      <c r="AA36">
        <f>IF(ISERROR(IF($V36="","",VLOOKUP(Z36,NewTransmu,4,TRUE))),"",IF($V36="","",VLOOKUP(Z36,NewTransmu,4,TRUE)))</f>
        <v>99</v>
      </c>
      <c r="AB36" t="str">
        <f>IF(ISERROR(IF(AA36="","",VLOOKUP(AA36,DESCRIPTORS,4,TRUE))),"",IF(AA36="","",VLOOKUP(AA36,DESCRIPTORS,4,TRUE)))</f>
        <v>Advancing</v>
      </c>
      <c r="AV36">
        <f>(T36/$T$10)*100</f>
        <v>90</v>
      </c>
      <c r="AW36">
        <f>(U36/$U$10)*100</f>
        <v>95</v>
      </c>
      <c r="AX36">
        <f>(V36/$V$10)*100</f>
        <v>95</v>
      </c>
    </row>
    <row r="37">
      <c r="A37">
        <v>26</v>
      </c>
      <c r="B37" t="str">
        <f>INPUT!B37</f>
        <v>Ramos, Miguel</v>
      </c>
      <c r="F37">
        <v>20</v>
      </c>
      <c r="G37">
        <v>20</v>
      </c>
      <c r="H37">
        <v>20</v>
      </c>
      <c r="I37">
        <v>20</v>
      </c>
      <c r="J37">
        <v>20</v>
      </c>
      <c r="K37">
        <f>IF(COUNT($F37:$J37)=0,"",SUM($F37:$J37))</f>
        <v>100</v>
      </c>
      <c r="L37">
        <f>IF(ISERROR(IF($K37="","",ROUND(($K37/$K$10)*$L$10,2))),"",IF($K37="","",ROUND(($K37/$K$10)*$L$10,2)))</f>
        <v>100</v>
      </c>
      <c r="M37">
        <f>IF($L37="","",ROUND($L37*$M$10,2))</f>
        <v>20</v>
      </c>
      <c r="N37">
        <v>50</v>
      </c>
      <c r="O37">
        <v>50</v>
      </c>
      <c r="P37">
        <v>50</v>
      </c>
      <c r="Q37">
        <f>IF(COUNT($N37:$P37)=0,"",SUM($N37:$P37))</f>
        <v>150</v>
      </c>
      <c r="R37">
        <f>IF(ISERROR(IF($Q37="","",ROUND(($Q37/$Q$10)*$R$10,2))),"",IF($Q37="","",ROUND(($Q37/$Q$10)*$R$10,2)))</f>
        <v>100</v>
      </c>
      <c r="S37">
        <f>IF($R37="","",ROUND($R37*$S$10,2))</f>
        <v>50</v>
      </c>
      <c r="T37">
        <v>31</v>
      </c>
      <c r="U37">
        <v>31</v>
      </c>
      <c r="V37">
        <v>32</v>
      </c>
      <c r="W37">
        <f>IF(COUNT($T37:$V37)=0,"",SUM($T37:$V37))</f>
        <v>94</v>
      </c>
      <c r="X37">
        <f>IF(ISERROR(IF($W37="","",ROUND(($W37/$W$10)*$X$10,2))),"",IF($W37="","",ROUND(($W37/$W$10)*$X$10,2)))</f>
        <v>78.33</v>
      </c>
      <c r="Y37">
        <f>IF($X37="","",ROUND($X37*$Y$10,2))</f>
        <v>23.5</v>
      </c>
      <c r="Z37">
        <f>IF(ISERROR(IF($V37="","",ROUND(SUM($M37,$S37,$Y37),2))),"",IF($V37="","",ROUND(SUM($M37,$S37,$Y37),2)))</f>
        <v>93.5</v>
      </c>
      <c r="AA37">
        <f>IF(ISERROR(IF($V37="","",VLOOKUP(Z37,NewTransmu,4,TRUE))),"",IF($V37="","",VLOOKUP(Z37,NewTransmu,4,TRUE)))</f>
        <v>95</v>
      </c>
      <c r="AB37" t="str">
        <f>IF(ISERROR(IF(AA37="","",VLOOKUP(AA37,DESCRIPTORS,4,TRUE))),"",IF(AA37="","",VLOOKUP(AA37,DESCRIPTORS,4,TRUE)))</f>
        <v>Advancing</v>
      </c>
      <c r="AV37">
        <f>(T37/$T$10)*100</f>
        <v>77.5</v>
      </c>
      <c r="AW37">
        <f>(U37/$U$10)*100</f>
        <v>77.5</v>
      </c>
      <c r="AX37">
        <f>(V37/$V$10)*100</f>
        <v>80</v>
      </c>
    </row>
    <row r="38">
      <c r="A38">
        <v>27</v>
      </c>
      <c r="B38" t="str">
        <f>INPUT!B38</f>
        <v>Reyes, Nathan</v>
      </c>
      <c r="F38">
        <v>20</v>
      </c>
      <c r="G38">
        <v>20</v>
      </c>
      <c r="H38">
        <v>20</v>
      </c>
      <c r="I38">
        <v>20</v>
      </c>
      <c r="J38">
        <v>20</v>
      </c>
      <c r="K38">
        <f>IF(COUNT($F38:$J38)=0,"",SUM($F38:$J38))</f>
        <v>100</v>
      </c>
      <c r="L38">
        <f>IF(ISERROR(IF($K38="","",ROUND(($K38/$K$10)*$L$10,2))),"",IF($K38="","",ROUND(($K38/$K$10)*$L$10,2)))</f>
        <v>100</v>
      </c>
      <c r="M38">
        <f>IF($L38="","",ROUND($L38*$M$10,2))</f>
        <v>20</v>
      </c>
      <c r="N38">
        <v>50</v>
      </c>
      <c r="O38">
        <v>50</v>
      </c>
      <c r="P38">
        <v>50</v>
      </c>
      <c r="Q38">
        <f>IF(COUNT($N38:$P38)=0,"",SUM($N38:$P38))</f>
        <v>150</v>
      </c>
      <c r="R38">
        <f>IF(ISERROR(IF($Q38="","",ROUND(($Q38/$Q$10)*$R$10,2))),"",IF($Q38="","",ROUND(($Q38/$Q$10)*$R$10,2)))</f>
        <v>100</v>
      </c>
      <c r="S38">
        <f>IF($R38="","",ROUND($R38*$S$10,2))</f>
        <v>50</v>
      </c>
      <c r="T38">
        <v>35</v>
      </c>
      <c r="U38">
        <v>37</v>
      </c>
      <c r="V38">
        <v>36</v>
      </c>
      <c r="W38">
        <f>IF(COUNT($T38:$V38)=0,"",SUM($T38:$V38))</f>
        <v>108</v>
      </c>
      <c r="X38">
        <f>IF(ISERROR(IF($W38="","",ROUND(($W38/$W$10)*$X$10,2))),"",IF($W38="","",ROUND(($W38/$W$10)*$X$10,2)))</f>
        <v>90</v>
      </c>
      <c r="Y38">
        <f>IF($X38="","",ROUND($X38*$Y$10,2))</f>
        <v>27</v>
      </c>
      <c r="Z38">
        <f>IF(ISERROR(IF($V38="","",ROUND(SUM($M38,$S38,$Y38),2))),"",IF($V38="","",ROUND(SUM($M38,$S38,$Y38),2)))</f>
        <v>97</v>
      </c>
      <c r="AA38">
        <f>IF(ISERROR(IF($V38="","",VLOOKUP(Z38,NewTransmu,4,TRUE))),"",IF($V38="","",VLOOKUP(Z38,NewTransmu,4,TRUE)))</f>
        <v>98</v>
      </c>
      <c r="AB38" t="str">
        <f>IF(ISERROR(IF(AA38="","",VLOOKUP(AA38,DESCRIPTORS,4,TRUE))),"",IF(AA38="","",VLOOKUP(AA38,DESCRIPTORS,4,TRUE)))</f>
        <v>Advancing</v>
      </c>
      <c r="AV38">
        <f>(T38/$T$10)*100</f>
        <v>87.5</v>
      </c>
      <c r="AW38">
        <f>(U38/$U$10)*100</f>
        <v>92.5</v>
      </c>
      <c r="AX38">
        <f>(V38/$V$10)*100</f>
        <v>90</v>
      </c>
    </row>
    <row r="39">
      <c r="A39">
        <v>28</v>
      </c>
      <c r="B39" t="str">
        <f>INPUT!B39</f>
        <v>Rivera, Noah</v>
      </c>
      <c r="F39">
        <v>20</v>
      </c>
      <c r="G39">
        <v>20</v>
      </c>
      <c r="H39">
        <v>20</v>
      </c>
      <c r="I39">
        <v>20</v>
      </c>
      <c r="J39">
        <v>20</v>
      </c>
      <c r="K39">
        <f>IF(COUNT($F39:$J39)=0,"",SUM($F39:$J39))</f>
        <v>100</v>
      </c>
      <c r="L39">
        <f>IF(ISERROR(IF($K39="","",ROUND(($K39/$K$10)*$L$10,2))),"",IF($K39="","",ROUND(($K39/$K$10)*$L$10,2)))</f>
        <v>100</v>
      </c>
      <c r="M39">
        <f>IF($L39="","",ROUND($L39*$M$10,2))</f>
        <v>20</v>
      </c>
      <c r="N39">
        <v>50</v>
      </c>
      <c r="O39">
        <v>50</v>
      </c>
      <c r="P39">
        <v>50</v>
      </c>
      <c r="Q39">
        <f>IF(COUNT($N39:$P39)=0,"",SUM($N39:$P39))</f>
        <v>150</v>
      </c>
      <c r="R39">
        <f>IF(ISERROR(IF($Q39="","",ROUND(($Q39/$Q$10)*$R$10,2))),"",IF($Q39="","",ROUND(($Q39/$Q$10)*$R$10,2)))</f>
        <v>100</v>
      </c>
      <c r="S39">
        <f>IF($R39="","",ROUND($R39*$S$10,2))</f>
        <v>50</v>
      </c>
      <c r="T39">
        <v>38</v>
      </c>
      <c r="U39">
        <v>36</v>
      </c>
      <c r="V39">
        <v>37</v>
      </c>
      <c r="W39">
        <f>IF(COUNT($T39:$V39)=0,"",SUM($T39:$V39))</f>
        <v>111</v>
      </c>
      <c r="X39">
        <f>IF(ISERROR(IF($W39="","",ROUND(($W39/$W$10)*$X$10,2))),"",IF($W39="","",ROUND(($W39/$W$10)*$X$10,2)))</f>
        <v>92.5</v>
      </c>
      <c r="Y39">
        <f>IF($X39="","",ROUND($X39*$Y$10,2))</f>
        <v>27.75</v>
      </c>
      <c r="Z39">
        <f>IF(ISERROR(IF($V39="","",ROUND(SUM($M39,$S39,$Y39),2))),"",IF($V39="","",ROUND(SUM($M39,$S39,$Y39),2)))</f>
        <v>97.75</v>
      </c>
      <c r="AA39">
        <f>IF(ISERROR(IF($V39="","",VLOOKUP(Z39,NewTransmu,4,TRUE))),"",IF($V39="","",VLOOKUP(Z39,NewTransmu,4,TRUE)))</f>
        <v>99</v>
      </c>
      <c r="AB39" t="str">
        <f>IF(ISERROR(IF(AA39="","",VLOOKUP(AA39,DESCRIPTORS,4,TRUE))),"",IF(AA39="","",VLOOKUP(AA39,DESCRIPTORS,4,TRUE)))</f>
        <v>Advancing</v>
      </c>
      <c r="AV39">
        <f>(T39/$T$10)*100</f>
        <v>95</v>
      </c>
      <c r="AW39">
        <f>(U39/$U$10)*100</f>
        <v>90</v>
      </c>
      <c r="AX39">
        <f>(V39/$V$10)*100</f>
        <v>92.5</v>
      </c>
    </row>
    <row r="40">
      <c r="A40">
        <v>29</v>
      </c>
      <c r="B40" t="str">
        <f>INPUT!B40</f>
        <v>Rosales, Oliver</v>
      </c>
      <c r="F40">
        <v>20</v>
      </c>
      <c r="G40">
        <v>20</v>
      </c>
      <c r="H40">
        <v>20</v>
      </c>
      <c r="I40">
        <v>20</v>
      </c>
      <c r="J40">
        <v>20</v>
      </c>
      <c r="K40">
        <f>IF(COUNT($F40:$J40)=0,"",SUM($F40:$J40))</f>
        <v>100</v>
      </c>
      <c r="L40">
        <f>IF(ISERROR(IF($K40="","",ROUND(($K40/$K$10)*$L$10,2))),"",IF($K40="","",ROUND(($K40/$K$10)*$L$10,2)))</f>
        <v>100</v>
      </c>
      <c r="M40">
        <f>IF($L40="","",ROUND($L40*$M$10,2))</f>
        <v>20</v>
      </c>
      <c r="N40">
        <v>50</v>
      </c>
      <c r="O40">
        <v>50</v>
      </c>
      <c r="P40">
        <v>50</v>
      </c>
      <c r="Q40">
        <f>IF(COUNT($N40:$P40)=0,"",SUM($N40:$P40))</f>
        <v>150</v>
      </c>
      <c r="R40">
        <f>IF(ISERROR(IF($Q40="","",ROUND(($Q40/$Q$10)*$R$10,2))),"",IF($Q40="","",ROUND(($Q40/$Q$10)*$R$10,2)))</f>
        <v>100</v>
      </c>
      <c r="S40">
        <f>IF($R40="","",ROUND($R40*$S$10,2))</f>
        <v>50</v>
      </c>
      <c r="T40">
        <v>34</v>
      </c>
      <c r="U40">
        <v>32</v>
      </c>
      <c r="V40">
        <v>33</v>
      </c>
      <c r="W40">
        <f>IF(COUNT($T40:$V40)=0,"",SUM($T40:$V40))</f>
        <v>99</v>
      </c>
      <c r="X40">
        <f>IF(ISERROR(IF($W40="","",ROUND(($W40/$W$10)*$X$10,2))),"",IF($W40="","",ROUND(($W40/$W$10)*$X$10,2)))</f>
        <v>82.5</v>
      </c>
      <c r="Y40">
        <f>IF($X40="","",ROUND($X40*$Y$10,2))</f>
        <v>24.75</v>
      </c>
      <c r="Z40">
        <f>IF(ISERROR(IF($V40="","",ROUND(SUM($M40,$S40,$Y40),2))),"",IF($V40="","",ROUND(SUM($M40,$S40,$Y40),2)))</f>
        <v>94.75</v>
      </c>
      <c r="AA40">
        <f>IF(ISERROR(IF($V40="","",VLOOKUP(Z40,NewTransmu,4,TRUE))),"",IF($V40="","",VLOOKUP(Z40,NewTransmu,4,TRUE)))</f>
        <v>96</v>
      </c>
      <c r="AB40" t="str">
        <f>IF(ISERROR(IF(AA40="","",VLOOKUP(AA40,DESCRIPTORS,4,TRUE))),"",IF(AA40="","",VLOOKUP(AA40,DESCRIPTORS,4,TRUE)))</f>
        <v>Advancing</v>
      </c>
      <c r="AV40">
        <f>(T40/$T$10)*100</f>
        <v>85</v>
      </c>
      <c r="AW40">
        <f>(U40/$U$10)*100</f>
        <v>80</v>
      </c>
      <c r="AX40">
        <f>(V40/$V$10)*100</f>
        <v>82.5</v>
      </c>
    </row>
    <row r="41">
      <c r="A41">
        <v>30</v>
      </c>
      <c r="B41" t="str">
        <f>INPUT!B41</f>
        <v>Salazar, Paolo</v>
      </c>
      <c r="F41">
        <v>20</v>
      </c>
      <c r="G41">
        <v>20</v>
      </c>
      <c r="H41">
        <v>20</v>
      </c>
      <c r="I41">
        <v>20</v>
      </c>
      <c r="J41">
        <v>20</v>
      </c>
      <c r="K41">
        <f>IF(COUNT($F41:$J41)=0,"",SUM($F41:$J41))</f>
        <v>100</v>
      </c>
      <c r="L41">
        <f>IF(ISERROR(IF($K41="","",ROUND(($K41/$K$10)*$L$10,2))),"",IF($K41="","",ROUND(($K41/$K$10)*$L$10,2)))</f>
        <v>100</v>
      </c>
      <c r="M41">
        <f>IF($L41="","",ROUND($L41*$M$10,2))</f>
        <v>20</v>
      </c>
      <c r="N41">
        <v>50</v>
      </c>
      <c r="O41">
        <v>50</v>
      </c>
      <c r="P41">
        <v>50</v>
      </c>
      <c r="Q41">
        <f>IF(COUNT($N41:$P41)=0,"",SUM($N41:$P41))</f>
        <v>150</v>
      </c>
      <c r="R41">
        <f>IF(ISERROR(IF($Q41="","",ROUND(($Q41/$Q$10)*$R$10,2))),"",IF($Q41="","",ROUND(($Q41/$Q$10)*$R$10,2)))</f>
        <v>100</v>
      </c>
      <c r="S41">
        <f>IF($R41="","",ROUND($R41*$S$10,2))</f>
        <v>50</v>
      </c>
      <c r="T41">
        <v>35</v>
      </c>
      <c r="U41">
        <v>40</v>
      </c>
      <c r="V41">
        <v>37</v>
      </c>
      <c r="W41">
        <f>IF(COUNT($T41:$V41)=0,"",SUM($T41:$V41))</f>
        <v>112</v>
      </c>
      <c r="X41">
        <f>IF(ISERROR(IF($W41="","",ROUND(($W41/$W$10)*$X$10,2))),"",IF($W41="","",ROUND(($W41/$W$10)*$X$10,2)))</f>
        <v>93.33</v>
      </c>
      <c r="Y41">
        <f>IF($X41="","",ROUND($X41*$Y$10,2))</f>
        <v>28</v>
      </c>
      <c r="Z41">
        <f>IF(ISERROR(IF($V41="","",ROUND(SUM($M41,$S41,$Y41),2))),"",IF($V41="","",ROUND(SUM($M41,$S41,$Y41),2)))</f>
        <v>98</v>
      </c>
      <c r="AA41">
        <f>IF(ISERROR(IF($V41="","",VLOOKUP(Z41,NewTransmu,4,TRUE))),"",IF($V41="","",VLOOKUP(Z41,NewTransmu,4,TRUE)))</f>
        <v>99</v>
      </c>
      <c r="AB41" t="str">
        <f>IF(ISERROR(IF(AA41="","",VLOOKUP(AA41,DESCRIPTORS,4,TRUE))),"",IF(AA41="","",VLOOKUP(AA41,DESCRIPTORS,4,TRUE)))</f>
        <v>Advancing</v>
      </c>
      <c r="AV41">
        <f>(T41/$T$10)*100</f>
        <v>87.5</v>
      </c>
      <c r="AW41">
        <f>(U41/$U$10)*100</f>
        <v>100</v>
      </c>
      <c r="AX41">
        <f>(V41/$V$10)*100</f>
        <v>92.5</v>
      </c>
    </row>
    <row r="42">
      <c r="A42">
        <v>31</v>
      </c>
      <c r="B42" t="str">
        <f>INPUT!B42</f>
        <v>Santiago, Patrick</v>
      </c>
      <c r="F42">
        <v>20</v>
      </c>
      <c r="G42">
        <v>20</v>
      </c>
      <c r="H42">
        <v>20</v>
      </c>
      <c r="I42">
        <v>20</v>
      </c>
      <c r="J42">
        <v>20</v>
      </c>
      <c r="K42">
        <f>IF(COUNT($F42:$J42)=0,"",SUM($F42:$J42))</f>
        <v>100</v>
      </c>
      <c r="L42">
        <f>IF(ISERROR(IF($K42="","",ROUND(($K42/$K$10)*$L$10,2))),"",IF($K42="","",ROUND(($K42/$K$10)*$L$10,2)))</f>
        <v>100</v>
      </c>
      <c r="M42">
        <f>IF($L42="","",ROUND($L42*$M$10,2))</f>
        <v>20</v>
      </c>
      <c r="N42">
        <v>50</v>
      </c>
      <c r="O42">
        <v>50</v>
      </c>
      <c r="P42">
        <v>50</v>
      </c>
      <c r="Q42">
        <f>IF(COUNT($N42:$P42)=0,"",SUM($N42:$P42))</f>
        <v>150</v>
      </c>
      <c r="R42">
        <f>IF(ISERROR(IF($Q42="","",ROUND(($Q42/$Q$10)*$R$10,2))),"",IF($Q42="","",ROUND(($Q42/$Q$10)*$R$10,2)))</f>
        <v>100</v>
      </c>
      <c r="S42">
        <f>IF($R42="","",ROUND($R42*$S$10,2))</f>
        <v>50</v>
      </c>
      <c r="T42">
        <v>36</v>
      </c>
      <c r="U42">
        <v>34</v>
      </c>
      <c r="V42">
        <v>34</v>
      </c>
      <c r="W42">
        <f>IF(COUNT($T42:$V42)=0,"",SUM($T42:$V42))</f>
        <v>104</v>
      </c>
      <c r="X42">
        <f>IF(ISERROR(IF($W42="","",ROUND(($W42/$W$10)*$X$10,2))),"",IF($W42="","",ROUND(($W42/$W$10)*$X$10,2)))</f>
        <v>86.67</v>
      </c>
      <c r="Y42">
        <f>IF($X42="","",ROUND($X42*$Y$10,2))</f>
        <v>26</v>
      </c>
      <c r="Z42">
        <f>IF(ISERROR(IF($V42="","",ROUND(SUM($M42,$S42,$Y42),2))),"",IF($V42="","",ROUND(SUM($M42,$S42,$Y42),2)))</f>
        <v>96</v>
      </c>
      <c r="AA42">
        <f>IF(ISERROR(IF($V42="","",VLOOKUP(Z42,NewTransmu,4,TRUE))),"",IF($V42="","",VLOOKUP(Z42,NewTransmu,4,TRUE)))</f>
        <v>98</v>
      </c>
      <c r="AB42" t="str">
        <f>IF(ISERROR(IF(AA42="","",VLOOKUP(AA42,DESCRIPTORS,4,TRUE))),"",IF(AA42="","",VLOOKUP(AA42,DESCRIPTORS,4,TRUE)))</f>
        <v>Advancing</v>
      </c>
      <c r="AV42">
        <f>(T42/$T$10)*100</f>
        <v>90</v>
      </c>
      <c r="AW42">
        <f>(U42/$U$10)*100</f>
        <v>85</v>
      </c>
      <c r="AX42">
        <f>(V42/$V$10)*100</f>
        <v>85</v>
      </c>
    </row>
    <row r="43">
      <c r="A43">
        <v>32</v>
      </c>
      <c r="B43" t="str">
        <f>INPUT!B43</f>
        <v>Santos, Rafael</v>
      </c>
      <c r="F43">
        <v>20</v>
      </c>
      <c r="G43">
        <v>20</v>
      </c>
      <c r="H43">
        <v>20</v>
      </c>
      <c r="I43">
        <v>20</v>
      </c>
      <c r="J43">
        <v>20</v>
      </c>
      <c r="K43">
        <f>IF(COUNT($F43:$J43)=0,"",SUM($F43:$J43))</f>
        <v>100</v>
      </c>
      <c r="L43">
        <f>IF(ISERROR(IF($K43="","",ROUND(($K43/$K$10)*$L$10,2))),"",IF($K43="","",ROUND(($K43/$K$10)*$L$10,2)))</f>
        <v>100</v>
      </c>
      <c r="M43">
        <f>IF($L43="","",ROUND($L43*$M$10,2))</f>
        <v>20</v>
      </c>
      <c r="N43">
        <v>50</v>
      </c>
      <c r="O43">
        <v>50</v>
      </c>
      <c r="P43">
        <v>50</v>
      </c>
      <c r="Q43">
        <f>IF(COUNT($N43:$P43)=0,"",SUM($N43:$P43))</f>
        <v>150</v>
      </c>
      <c r="R43">
        <f>IF(ISERROR(IF($Q43="","",ROUND(($Q43/$Q$10)*$R$10,2))),"",IF($Q43="","",ROUND(($Q43/$Q$10)*$R$10,2)))</f>
        <v>100</v>
      </c>
      <c r="S43">
        <f>IF($R43="","",ROUND($R43*$S$10,2))</f>
        <v>50</v>
      </c>
      <c r="T43">
        <v>39</v>
      </c>
      <c r="U43">
        <v>40</v>
      </c>
      <c r="V43">
        <v>40</v>
      </c>
      <c r="W43">
        <f>IF(COUNT($T43:$V43)=0,"",SUM($T43:$V43))</f>
        <v>119</v>
      </c>
      <c r="X43">
        <f>IF(ISERROR(IF($W43="","",ROUND(($W43/$W$10)*$X$10,2))),"",IF($W43="","",ROUND(($W43/$W$10)*$X$10,2)))</f>
        <v>99.17</v>
      </c>
      <c r="Y43">
        <f>IF($X43="","",ROUND($X43*$Y$10,2))</f>
        <v>29.75</v>
      </c>
      <c r="Z43">
        <f>IF(ISERROR(IF($V43="","",ROUND(SUM($M43,$S43,$Y43),2))),"",IF($V43="","",ROUND(SUM($M43,$S43,$Y43),2)))</f>
        <v>99.75</v>
      </c>
      <c r="AA43">
        <f>IF(ISERROR(IF($V43="","",VLOOKUP(Z43,NewTransmu,4,TRUE))),"",IF($V43="","",VLOOKUP(Z43,NewTransmu,4,TRUE)))</f>
        <v>100</v>
      </c>
      <c r="AB43" t="str">
        <f>IF(ISERROR(IF(AA43="","",VLOOKUP(AA43,DESCRIPTORS,4,TRUE))),"",IF(AA43="","",VLOOKUP(AA43,DESCRIPTORS,4,TRUE)))</f>
        <v>Advancing</v>
      </c>
      <c r="AV43">
        <f>(T43/$T$10)*100</f>
        <v>97.5</v>
      </c>
      <c r="AW43">
        <f>(U43/$U$10)*100</f>
        <v>100</v>
      </c>
      <c r="AX43">
        <f>(V43/$V$10)*100</f>
        <v>100</v>
      </c>
    </row>
    <row r="44">
      <c r="A44">
        <v>33</v>
      </c>
      <c r="B44" t="str">
        <f>INPUT!B44</f>
        <v>Soriano, Raymond</v>
      </c>
      <c r="F44">
        <v>20</v>
      </c>
      <c r="G44">
        <v>20</v>
      </c>
      <c r="H44">
        <v>20</v>
      </c>
      <c r="I44">
        <v>20</v>
      </c>
      <c r="J44">
        <v>20</v>
      </c>
      <c r="K44">
        <f>IF(COUNT($F44:$J44)=0,"",SUM($F44:$J44))</f>
        <v>100</v>
      </c>
      <c r="L44">
        <f>IF(ISERROR(IF($K44="","",ROUND(($K44/$K$10)*$L$10,2))),"",IF($K44="","",ROUND(($K44/$K$10)*$L$10,2)))</f>
        <v>100</v>
      </c>
      <c r="M44">
        <f>IF($L44="","",ROUND($L44*$M$10,2))</f>
        <v>20</v>
      </c>
      <c r="N44">
        <v>50</v>
      </c>
      <c r="O44">
        <v>50</v>
      </c>
      <c r="P44">
        <v>50</v>
      </c>
      <c r="Q44">
        <f>IF(COUNT($N44:$P44)=0,"",SUM($N44:$P44))</f>
        <v>150</v>
      </c>
      <c r="R44">
        <f>IF(ISERROR(IF($Q44="","",ROUND(($Q44/$Q$10)*$R$10,2))),"",IF($Q44="","",ROUND(($Q44/$Q$10)*$R$10,2)))</f>
        <v>100</v>
      </c>
      <c r="S44">
        <f>IF($R44="","",ROUND($R44*$S$10,2))</f>
        <v>50</v>
      </c>
      <c r="T44">
        <v>34</v>
      </c>
      <c r="U44">
        <v>37</v>
      </c>
      <c r="V44">
        <v>36</v>
      </c>
      <c r="W44">
        <f>IF(COUNT($T44:$V44)=0,"",SUM($T44:$V44))</f>
        <v>107</v>
      </c>
      <c r="X44">
        <f>IF(ISERROR(IF($W44="","",ROUND(($W44/$W$10)*$X$10,2))),"",IF($W44="","",ROUND(($W44/$W$10)*$X$10,2)))</f>
        <v>89.17</v>
      </c>
      <c r="Y44">
        <f>IF($X44="","",ROUND($X44*$Y$10,2))</f>
        <v>26.75</v>
      </c>
      <c r="Z44">
        <f>IF(ISERROR(IF($V44="","",ROUND(SUM($M44,$S44,$Y44),2))),"",IF($V44="","",ROUND(SUM($M44,$S44,$Y44),2)))</f>
        <v>96.75</v>
      </c>
      <c r="AA44">
        <f>IF(ISERROR(IF($V44="","",VLOOKUP(Z44,NewTransmu,4,TRUE))),"",IF($V44="","",VLOOKUP(Z44,NewTransmu,4,TRUE)))</f>
        <v>98</v>
      </c>
      <c r="AB44" t="str">
        <f>IF(ISERROR(IF(AA44="","",VLOOKUP(AA44,DESCRIPTORS,4,TRUE))),"",IF(AA44="","",VLOOKUP(AA44,DESCRIPTORS,4,TRUE)))</f>
        <v>Advancing</v>
      </c>
      <c r="AV44">
        <f>(T44/$T$10)*100</f>
        <v>85</v>
      </c>
      <c r="AW44">
        <f>(U44/$U$10)*100</f>
        <v>92.5</v>
      </c>
      <c r="AX44">
        <f>(V44/$V$10)*100</f>
        <v>90</v>
      </c>
    </row>
    <row r="45">
      <c r="A45">
        <v>34</v>
      </c>
      <c r="B45" t="str">
        <f>INPUT!B45</f>
        <v>Torres, Rico</v>
      </c>
      <c r="F45">
        <v>20</v>
      </c>
      <c r="G45">
        <v>20</v>
      </c>
      <c r="H45">
        <v>20</v>
      </c>
      <c r="I45">
        <v>20</v>
      </c>
      <c r="J45">
        <v>20</v>
      </c>
      <c r="K45">
        <f>IF(COUNT($F45:$J45)=0,"",SUM($F45:$J45))</f>
        <v>100</v>
      </c>
      <c r="L45">
        <f>IF(ISERROR(IF($K45="","",ROUND(($K45/$K$10)*$L$10,2))),"",IF($K45="","",ROUND(($K45/$K$10)*$L$10,2)))</f>
        <v>100</v>
      </c>
      <c r="M45">
        <f>IF($L45="","",ROUND($L45*$M$10,2))</f>
        <v>20</v>
      </c>
      <c r="N45">
        <v>50</v>
      </c>
      <c r="O45">
        <v>50</v>
      </c>
      <c r="P45">
        <v>50</v>
      </c>
      <c r="Q45">
        <f>IF(COUNT($N45:$P45)=0,"",SUM($N45:$P45))</f>
        <v>150</v>
      </c>
      <c r="R45">
        <f>IF(ISERROR(IF($Q45="","",ROUND(($Q45/$Q$10)*$R$10,2))),"",IF($Q45="","",ROUND(($Q45/$Q$10)*$R$10,2)))</f>
        <v>100</v>
      </c>
      <c r="S45">
        <f>IF($R45="","",ROUND($R45*$S$10,2))</f>
        <v>50</v>
      </c>
      <c r="T45">
        <v>39</v>
      </c>
      <c r="U45">
        <v>36</v>
      </c>
      <c r="V45">
        <v>30</v>
      </c>
      <c r="W45">
        <f>IF(COUNT($T45:$V45)=0,"",SUM($T45:$V45))</f>
        <v>105</v>
      </c>
      <c r="X45">
        <f>IF(ISERROR(IF($W45="","",ROUND(($W45/$W$10)*$X$10,2))),"",IF($W45="","",ROUND(($W45/$W$10)*$X$10,2)))</f>
        <v>87.5</v>
      </c>
      <c r="Y45">
        <f>IF($X45="","",ROUND($X45*$Y$10,2))</f>
        <v>26.25</v>
      </c>
      <c r="Z45">
        <f>IF(ISERROR(IF($V45="","",ROUND(SUM($M45,$S45,$Y45),2))),"",IF($V45="","",ROUND(SUM($M45,$S45,$Y45),2)))</f>
        <v>96.25</v>
      </c>
      <c r="AA45">
        <f>IF(ISERROR(IF($V45="","",VLOOKUP(Z45,NewTransmu,4,TRUE))),"",IF($V45="","",VLOOKUP(Z45,NewTransmu,4,TRUE)))</f>
        <v>98</v>
      </c>
      <c r="AB45" t="str">
        <f>IF(ISERROR(IF(AA45="","",VLOOKUP(AA45,DESCRIPTORS,4,TRUE))),"",IF(AA45="","",VLOOKUP(AA45,DESCRIPTORS,4,TRUE)))</f>
        <v>Advancing</v>
      </c>
      <c r="AV45">
        <f>(T45/$T$10)*100</f>
        <v>97.5</v>
      </c>
      <c r="AW45">
        <f>(U45/$U$10)*100</f>
        <v>90</v>
      </c>
      <c r="AX45">
        <f>(V45/$V$10)*100</f>
        <v>75</v>
      </c>
    </row>
    <row r="46">
      <c r="A46">
        <v>35</v>
      </c>
      <c r="B46" t="str">
        <f>INPUT!B46</f>
        <v>Valdez, Samuel</v>
      </c>
      <c r="F46">
        <v>20</v>
      </c>
      <c r="G46">
        <v>20</v>
      </c>
      <c r="H46">
        <v>20</v>
      </c>
      <c r="I46">
        <v>20</v>
      </c>
      <c r="J46">
        <v>20</v>
      </c>
      <c r="K46">
        <f>IF(COUNT($F46:$J46)=0,"",SUM($F46:$J46))</f>
        <v>100</v>
      </c>
      <c r="L46">
        <f>IF(ISERROR(IF($K46="","",ROUND(($K46/$K$10)*$L$10,2))),"",IF($K46="","",ROUND(($K46/$K$10)*$L$10,2)))</f>
        <v>100</v>
      </c>
      <c r="M46">
        <f>IF($L46="","",ROUND($L46*$M$10,2))</f>
        <v>20</v>
      </c>
      <c r="N46">
        <v>50</v>
      </c>
      <c r="O46">
        <v>50</v>
      </c>
      <c r="P46">
        <v>50</v>
      </c>
      <c r="Q46">
        <f>IF(COUNT($N46:$P46)=0,"",SUM($N46:$P46))</f>
        <v>150</v>
      </c>
      <c r="R46">
        <f>IF(ISERROR(IF($Q46="","",ROUND(($Q46/$Q$10)*$R$10,2))),"",IF($Q46="","",ROUND(($Q46/$Q$10)*$R$10,2)))</f>
        <v>100</v>
      </c>
      <c r="S46">
        <f>IF($R46="","",ROUND($R46*$S$10,2))</f>
        <v>50</v>
      </c>
      <c r="T46">
        <v>33</v>
      </c>
      <c r="U46">
        <v>33</v>
      </c>
      <c r="V46">
        <v>34</v>
      </c>
      <c r="W46">
        <f>IF(COUNT($T46:$V46)=0,"",SUM($T46:$V46))</f>
        <v>100</v>
      </c>
      <c r="X46">
        <f>IF(ISERROR(IF($W46="","",ROUND(($W46/$W$10)*$X$10,2))),"",IF($W46="","",ROUND(($W46/$W$10)*$X$10,2)))</f>
        <v>83.33</v>
      </c>
      <c r="Y46">
        <f>IF($X46="","",ROUND($X46*$Y$10,2))</f>
        <v>25</v>
      </c>
      <c r="Z46">
        <f>IF(ISERROR(IF($V46="","",ROUND(SUM($M46,$S46,$Y46),2))),"",IF($V46="","",ROUND(SUM($M46,$S46,$Y46),2)))</f>
        <v>95</v>
      </c>
      <c r="AA46">
        <f>IF(ISERROR(IF($V46="","",VLOOKUP(Z46,NewTransmu,4,TRUE))),"",IF($V46="","",VLOOKUP(Z46,NewTransmu,4,TRUE)))</f>
        <v>97</v>
      </c>
      <c r="AB46" t="str">
        <f>IF(ISERROR(IF(AA46="","",VLOOKUP(AA46,DESCRIPTORS,4,TRUE))),"",IF(AA46="","",VLOOKUP(AA46,DESCRIPTORS,4,TRUE)))</f>
        <v>Advancing</v>
      </c>
      <c r="AV46">
        <f>(T46/$T$10)*100</f>
        <v>82.5</v>
      </c>
      <c r="AW46">
        <f>(U46/$U$10)*100</f>
        <v>82.5</v>
      </c>
      <c r="AX46">
        <f>(V46/$V$10)*100</f>
        <v>85</v>
      </c>
    </row>
    <row r="47">
      <c r="A47">
        <v>36</v>
      </c>
      <c r="B47" t="str">
        <f>INPUT!B47</f>
        <v>Velasco, Sebastian</v>
      </c>
      <c r="F47">
        <v>20</v>
      </c>
      <c r="G47">
        <v>20</v>
      </c>
      <c r="H47">
        <v>20</v>
      </c>
      <c r="I47">
        <v>20</v>
      </c>
      <c r="J47">
        <v>20</v>
      </c>
      <c r="K47">
        <f>IF(COUNT($F47:$J47)=0,"",SUM($F47:$J47))</f>
        <v>100</v>
      </c>
      <c r="L47">
        <f>IF(ISERROR(IF($K47="","",ROUND(($K47/$K$10)*$L$10,2))),"",IF($K47="","",ROUND(($K47/$K$10)*$L$10,2)))</f>
        <v>100</v>
      </c>
      <c r="M47">
        <f>IF($L47="","",ROUND($L47*$M$10,2))</f>
        <v>20</v>
      </c>
      <c r="N47">
        <v>50</v>
      </c>
      <c r="O47">
        <v>50</v>
      </c>
      <c r="P47">
        <v>50</v>
      </c>
      <c r="Q47">
        <f>IF(COUNT($N47:$P47)=0,"",SUM($N47:$P47))</f>
        <v>150</v>
      </c>
      <c r="R47">
        <f>IF(ISERROR(IF($Q47="","",ROUND(($Q47/$Q$10)*$R$10,2))),"",IF($Q47="","",ROUND(($Q47/$Q$10)*$R$10,2)))</f>
        <v>100</v>
      </c>
      <c r="S47">
        <f>IF($R47="","",ROUND($R47*$S$10,2))</f>
        <v>50</v>
      </c>
      <c r="T47">
        <v>32</v>
      </c>
      <c r="U47">
        <v>31</v>
      </c>
      <c r="V47">
        <v>32</v>
      </c>
      <c r="W47">
        <f>IF(COUNT($T47:$V47)=0,"",SUM($T47:$V47))</f>
        <v>95</v>
      </c>
      <c r="X47">
        <f>IF(ISERROR(IF($W47="","",ROUND(($W47/$W$10)*$X$10,2))),"",IF($W47="","",ROUND(($W47/$W$10)*$X$10,2)))</f>
        <v>79.17</v>
      </c>
      <c r="Y47">
        <f>IF($X47="","",ROUND($X47*$Y$10,2))</f>
        <v>23.75</v>
      </c>
      <c r="Z47">
        <f>IF(ISERROR(IF($V47="","",ROUND(SUM($M47,$S47,$Y47),2))),"",IF($V47="","",ROUND(SUM($M47,$S47,$Y47),2)))</f>
        <v>93.75</v>
      </c>
      <c r="AA47">
        <f>IF(ISERROR(IF($V47="","",VLOOKUP(Z47,NewTransmu,4,TRUE))),"",IF($V47="","",VLOOKUP(Z47,NewTransmu,4,TRUE)))</f>
        <v>95</v>
      </c>
      <c r="AB47" t="str">
        <f>IF(ISERROR(IF(AA47="","",VLOOKUP(AA47,DESCRIPTORS,4,TRUE))),"",IF(AA47="","",VLOOKUP(AA47,DESCRIPTORS,4,TRUE)))</f>
        <v>Advancing</v>
      </c>
      <c r="AV47">
        <f>(T47/$T$10)*100</f>
        <v>80</v>
      </c>
      <c r="AW47">
        <f>(U47/$U$10)*100</f>
        <v>77.5</v>
      </c>
      <c r="AX47">
        <f>(V47/$V$10)*100</f>
        <v>80</v>
      </c>
    </row>
    <row r="48">
      <c r="A48">
        <v>37</v>
      </c>
      <c r="B48" t="str">
        <f>INPUT!B48</f>
        <v>Villanueva, Simon</v>
      </c>
      <c r="F48">
        <v>20</v>
      </c>
      <c r="G48">
        <v>20</v>
      </c>
      <c r="H48">
        <v>20</v>
      </c>
      <c r="I48">
        <v>20</v>
      </c>
      <c r="J48">
        <v>20</v>
      </c>
      <c r="K48">
        <f>IF(COUNT($F48:$J48)=0,"",SUM($F48:$J48))</f>
        <v>100</v>
      </c>
      <c r="L48">
        <f>IF(ISERROR(IF($K48="","",ROUND(($K48/$K$10)*$L$10,2))),"",IF($K48="","",ROUND(($K48/$K$10)*$L$10,2)))</f>
        <v>100</v>
      </c>
      <c r="M48">
        <f>IF($L48="","",ROUND($L48*$M$10,2))</f>
        <v>20</v>
      </c>
      <c r="N48">
        <v>50</v>
      </c>
      <c r="O48">
        <v>50</v>
      </c>
      <c r="P48">
        <v>50</v>
      </c>
      <c r="Q48">
        <f>IF(COUNT($N48:$P48)=0,"",SUM($N48:$P48))</f>
        <v>150</v>
      </c>
      <c r="R48">
        <f>IF(ISERROR(IF($Q48="","",ROUND(($Q48/$Q$10)*$R$10,2))),"",IF($Q48="","",ROUND(($Q48/$Q$10)*$R$10,2)))</f>
        <v>100</v>
      </c>
      <c r="S48">
        <f>IF($R48="","",ROUND($R48*$S$10,2))</f>
        <v>50</v>
      </c>
      <c r="T48">
        <v>38</v>
      </c>
      <c r="U48">
        <v>36</v>
      </c>
      <c r="V48">
        <v>36</v>
      </c>
      <c r="W48">
        <f>IF(COUNT($T48:$V48)=0,"",SUM($T48:$V48))</f>
        <v>110</v>
      </c>
      <c r="X48">
        <f>IF(ISERROR(IF($W48="","",ROUND(($W48/$W$10)*$X$10,2))),"",IF($W48="","",ROUND(($W48/$W$10)*$X$10,2)))</f>
        <v>91.67</v>
      </c>
      <c r="Y48">
        <f>IF($X48="","",ROUND($X48*$Y$10,2))</f>
        <v>27.5</v>
      </c>
      <c r="Z48">
        <f>IF(ISERROR(IF($V48="","",ROUND(SUM($M48,$S48,$Y48),2))),"",IF($V48="","",ROUND(SUM($M48,$S48,$Y48),2)))</f>
        <v>97.5</v>
      </c>
      <c r="AA48">
        <f>IF(ISERROR(IF($V48="","",VLOOKUP(Z48,NewTransmu,4,TRUE))),"",IF($V48="","",VLOOKUP(Z48,NewTransmu,4,TRUE)))</f>
        <v>99</v>
      </c>
      <c r="AB48" t="str">
        <f>IF(ISERROR(IF(AA48="","",VLOOKUP(AA48,DESCRIPTORS,4,TRUE))),"",IF(AA48="","",VLOOKUP(AA48,DESCRIPTORS,4,TRUE)))</f>
        <v>Advancing</v>
      </c>
      <c r="AV48">
        <f>(T48/$T$10)*100</f>
        <v>95</v>
      </c>
      <c r="AW48">
        <f>(U48/$U$10)*100</f>
        <v>90</v>
      </c>
      <c r="AX48">
        <f>(V48/$V$10)*100</f>
        <v>90</v>
      </c>
    </row>
    <row r="49">
      <c r="A49">
        <v>38</v>
      </c>
      <c r="B49" t="str">
        <f>INPUT!B49</f>
        <v>Yap, Stephen</v>
      </c>
      <c r="F49">
        <v>20</v>
      </c>
      <c r="G49">
        <v>20</v>
      </c>
      <c r="H49">
        <v>20</v>
      </c>
      <c r="I49">
        <v>20</v>
      </c>
      <c r="J49">
        <v>20</v>
      </c>
      <c r="K49">
        <f>IF(COUNT($F49:$J49)=0,"",SUM($F49:$J49))</f>
        <v>100</v>
      </c>
      <c r="L49">
        <f>IF(ISERROR(IF($K49="","",ROUND(($K49/$K$10)*$L$10,2))),"",IF($K49="","",ROUND(($K49/$K$10)*$L$10,2)))</f>
        <v>100</v>
      </c>
      <c r="M49">
        <f>IF($L49="","",ROUND($L49*$M$10,2))</f>
        <v>20</v>
      </c>
      <c r="N49">
        <v>50</v>
      </c>
      <c r="O49">
        <v>50</v>
      </c>
      <c r="P49">
        <v>50</v>
      </c>
      <c r="Q49">
        <f>IF(COUNT($N49:$P49)=0,"",SUM($N49:$P49))</f>
        <v>150</v>
      </c>
      <c r="R49">
        <f>IF(ISERROR(IF($Q49="","",ROUND(($Q49/$Q$10)*$R$10,2))),"",IF($Q49="","",ROUND(($Q49/$Q$10)*$R$10,2)))</f>
        <v>100</v>
      </c>
      <c r="S49">
        <f>IF($R49="","",ROUND($R49*$S$10,2))</f>
        <v>50</v>
      </c>
      <c r="T49">
        <v>34</v>
      </c>
      <c r="U49">
        <v>30</v>
      </c>
      <c r="V49">
        <v>31</v>
      </c>
      <c r="W49">
        <f>IF(COUNT($T49:$V49)=0,"",SUM($T49:$V49))</f>
        <v>95</v>
      </c>
      <c r="X49">
        <f>IF(ISERROR(IF($W49="","",ROUND(($W49/$W$10)*$X$10,2))),"",IF($W49="","",ROUND(($W49/$W$10)*$X$10,2)))</f>
        <v>79.17</v>
      </c>
      <c r="Y49">
        <f>IF($X49="","",ROUND($X49*$Y$10,2))</f>
        <v>23.75</v>
      </c>
      <c r="Z49">
        <f>IF(ISERROR(IF($V49="","",ROUND(SUM($M49,$S49,$Y49),2))),"",IF($V49="","",ROUND(SUM($M49,$S49,$Y49),2)))</f>
        <v>93.75</v>
      </c>
      <c r="AA49">
        <f>IF(ISERROR(IF($V49="","",VLOOKUP(Z49,NewTransmu,4,TRUE))),"",IF($V49="","",VLOOKUP(Z49,NewTransmu,4,TRUE)))</f>
        <v>95</v>
      </c>
      <c r="AB49" t="str">
        <f>IF(ISERROR(IF(AA49="","",VLOOKUP(AA49,DESCRIPTORS,4,TRUE))),"",IF(AA49="","",VLOOKUP(AA49,DESCRIPTORS,4,TRUE)))</f>
        <v>Advancing</v>
      </c>
      <c r="AV49">
        <f>(T49/$T$10)*100</f>
        <v>85</v>
      </c>
      <c r="AW49">
        <f>(U49/$U$10)*100</f>
        <v>75</v>
      </c>
      <c r="AX49">
        <f>(V49/$V$10)*100</f>
        <v>77.5</v>
      </c>
    </row>
    <row r="50">
      <c r="A50">
        <v>39</v>
      </c>
      <c r="B50" t="str">
        <f>INPUT!B50</f>
        <v>Zamora, Thomas</v>
      </c>
      <c r="F50">
        <v>20</v>
      </c>
      <c r="G50">
        <v>20</v>
      </c>
      <c r="H50">
        <v>20</v>
      </c>
      <c r="I50">
        <v>20</v>
      </c>
      <c r="J50">
        <v>20</v>
      </c>
      <c r="K50">
        <f>IF(COUNT($F50:$J50)=0,"",SUM($F50:$J50))</f>
        <v>100</v>
      </c>
      <c r="L50">
        <f>IF(ISERROR(IF($K50="","",ROUND(($K50/$K$10)*$L$10,2))),"",IF($K50="","",ROUND(($K50/$K$10)*$L$10,2)))</f>
        <v>100</v>
      </c>
      <c r="M50">
        <f>IF($L50="","",ROUND($L50*$M$10,2))</f>
        <v>20</v>
      </c>
      <c r="N50">
        <v>50</v>
      </c>
      <c r="O50">
        <v>50</v>
      </c>
      <c r="P50">
        <v>50</v>
      </c>
      <c r="Q50">
        <f>IF(COUNT($N50:$P50)=0,"",SUM($N50:$P50))</f>
        <v>150</v>
      </c>
      <c r="R50">
        <f>IF(ISERROR(IF($Q50="","",ROUND(($Q50/$Q$10)*$R$10,2))),"",IF($Q50="","",ROUND(($Q50/$Q$10)*$R$10,2)))</f>
        <v>100</v>
      </c>
      <c r="S50">
        <f>IF($R50="","",ROUND($R50*$S$10,2))</f>
        <v>50</v>
      </c>
      <c r="T50">
        <v>33</v>
      </c>
      <c r="U50">
        <v>35</v>
      </c>
      <c r="V50">
        <v>35</v>
      </c>
      <c r="W50">
        <f>IF(COUNT($T50:$V50)=0,"",SUM($T50:$V50))</f>
        <v>103</v>
      </c>
      <c r="X50">
        <f>IF(ISERROR(IF($W50="","",ROUND(($W50/$W$10)*$X$10,2))),"",IF($W50="","",ROUND(($W50/$W$10)*$X$10,2)))</f>
        <v>85.83</v>
      </c>
      <c r="Y50">
        <f>IF($X50="","",ROUND($X50*$Y$10,2))</f>
        <v>25.75</v>
      </c>
      <c r="Z50">
        <f>IF(ISERROR(IF($V50="","",ROUND(SUM($M50,$S50,$Y50),2))),"",IF($V50="","",ROUND(SUM($M50,$S50,$Y50),2)))</f>
        <v>95.75</v>
      </c>
      <c r="AA50">
        <f>IF(ISERROR(IF($V50="","",VLOOKUP(Z50,NewTransmu,4,TRUE))),"",IF($V50="","",VLOOKUP(Z50,NewTransmu,4,TRUE)))</f>
        <v>97</v>
      </c>
      <c r="AB50" t="str">
        <f>IF(ISERROR(IF(AA50="","",VLOOKUP(AA50,DESCRIPTORS,4,TRUE))),"",IF(AA50="","",VLOOKUP(AA50,DESCRIPTORS,4,TRUE)))</f>
        <v>Advancing</v>
      </c>
      <c r="AV50">
        <f>(T50/$T$10)*100</f>
        <v>82.5</v>
      </c>
      <c r="AW50">
        <f>(U50/$U$10)*100</f>
        <v>87.5</v>
      </c>
      <c r="AX50">
        <f>(V50/$V$10)*100</f>
        <v>87.5</v>
      </c>
    </row>
    <row r="51">
      <c r="A51">
        <v>40</v>
      </c>
      <c r="B51" t="str">
        <f>INPUT!B51</f>
        <v>Zuniga, Vincent</v>
      </c>
      <c r="F51">
        <v>20</v>
      </c>
      <c r="G51">
        <v>20</v>
      </c>
      <c r="H51">
        <v>20</v>
      </c>
      <c r="I51">
        <v>20</v>
      </c>
      <c r="J51">
        <v>20</v>
      </c>
      <c r="K51">
        <f>IF(COUNT($F51:$J51)=0,"",SUM($F51:$J51))</f>
        <v>100</v>
      </c>
      <c r="L51">
        <f>IF(ISERROR(IF($K51="","",ROUND(($K51/$K$10)*$L$10,2))),"",IF($K51="","",ROUND(($K51/$K$10)*$L$10,2)))</f>
        <v>100</v>
      </c>
      <c r="M51">
        <f>IF($L51="","",ROUND($L51*$M$10,2))</f>
        <v>20</v>
      </c>
      <c r="N51">
        <v>50</v>
      </c>
      <c r="O51">
        <v>50</v>
      </c>
      <c r="P51">
        <v>50</v>
      </c>
      <c r="Q51">
        <f>IF(COUNT($N51:$P51)=0,"",SUM($N51:$P51))</f>
        <v>150</v>
      </c>
      <c r="R51">
        <f>IF(ISERROR(IF($Q51="","",ROUND(($Q51/$Q$10)*$R$10,2))),"",IF($Q51="","",ROUND(($Q51/$Q$10)*$R$10,2)))</f>
        <v>100</v>
      </c>
      <c r="S51">
        <f>IF($R51="","",ROUND($R51*$S$10,2))</f>
        <v>50</v>
      </c>
      <c r="T51">
        <v>34</v>
      </c>
      <c r="U51">
        <v>30</v>
      </c>
      <c r="V51">
        <v>30</v>
      </c>
      <c r="W51">
        <f>IF(COUNT($T51:$V51)=0,"",SUM($T51:$V51))</f>
        <v>94</v>
      </c>
      <c r="X51">
        <f>IF(ISERROR(IF($W51="","",ROUND(($W51/$W$10)*$X$10,2))),"",IF($W51="","",ROUND(($W51/$W$10)*$X$10,2)))</f>
        <v>78.33</v>
      </c>
      <c r="Y51">
        <f>IF($X51="","",ROUND($X51*$Y$10,2))</f>
        <v>23.5</v>
      </c>
      <c r="Z51">
        <f>IF(ISERROR(IF($V51="","",ROUND(SUM($M51,$S51,$Y51),2))),"",IF($V51="","",ROUND(SUM($M51,$S51,$Y51),2)))</f>
        <v>93.5</v>
      </c>
      <c r="AA51">
        <f>IF(ISERROR(IF($V51="","",VLOOKUP(Z51,NewTransmu,4,TRUE))),"",IF($V51="","",VLOOKUP(Z51,NewTransmu,4,TRUE)))</f>
        <v>95</v>
      </c>
      <c r="AB51" t="str">
        <f>IF(ISERROR(IF(AA51="","",VLOOKUP(AA51,DESCRIPTORS,4,TRUE))),"",IF(AA51="","",VLOOKUP(AA51,DESCRIPTORS,4,TRUE)))</f>
        <v>Advancing</v>
      </c>
      <c r="AV51">
        <f>(T51/$T$10)*100</f>
        <v>85</v>
      </c>
      <c r="AW51">
        <f>(U51/$U$10)*100</f>
        <v>75</v>
      </c>
      <c r="AX51">
        <f>(V51/$V$10)*100</f>
        <v>75</v>
      </c>
    </row>
    <row r="52">
      <c r="A52">
        <v>41</v>
      </c>
      <c r="B52" t="str">
        <f>INPUT!B52</f>
        <v>Abad, Xavier</v>
      </c>
      <c r="F52">
        <v>20</v>
      </c>
      <c r="G52">
        <v>20</v>
      </c>
      <c r="H52">
        <v>20</v>
      </c>
      <c r="I52">
        <v>20</v>
      </c>
      <c r="J52">
        <v>20</v>
      </c>
      <c r="K52">
        <f>IF(COUNT($F52:$J52)=0,"",SUM($F52:$J52))</f>
        <v>100</v>
      </c>
      <c r="L52">
        <f>IF(ISERROR(IF($K52="","",ROUND(($K52/$K$10)*$L$10,2))),"",IF($K52="","",ROUND(($K52/$K$10)*$L$10,2)))</f>
        <v>100</v>
      </c>
      <c r="M52">
        <f>IF($L52="","",ROUND($L52*$M$10,2))</f>
        <v>20</v>
      </c>
      <c r="N52">
        <v>50</v>
      </c>
      <c r="O52">
        <v>50</v>
      </c>
      <c r="P52">
        <v>50</v>
      </c>
      <c r="Q52">
        <f>IF(COUNT($N52:$P52)=0,"",SUM($N52:$P52))</f>
        <v>150</v>
      </c>
      <c r="R52">
        <f>IF(ISERROR(IF($Q52="","",ROUND(($Q52/$Q$10)*$R$10,2))),"",IF($Q52="","",ROUND(($Q52/$Q$10)*$R$10,2)))</f>
        <v>100</v>
      </c>
      <c r="S52">
        <f>IF($R52="","",ROUND($R52*$S$10,2))</f>
        <v>50</v>
      </c>
      <c r="T52">
        <v>29</v>
      </c>
      <c r="U52">
        <v>32</v>
      </c>
      <c r="V52">
        <v>33</v>
      </c>
      <c r="W52">
        <f>IF(COUNT($T52:$V52)=0,"",SUM($T52:$V52))</f>
        <v>94</v>
      </c>
      <c r="X52">
        <f>IF(ISERROR(IF($W52="","",ROUND(($W52/$W$10)*$X$10,2))),"",IF($W52="","",ROUND(($W52/$W$10)*$X$10,2)))</f>
        <v>78.33</v>
      </c>
      <c r="Y52">
        <f>IF($X52="","",ROUND($X52*$Y$10,2))</f>
        <v>23.5</v>
      </c>
      <c r="Z52">
        <f>IF(ISERROR(IF($V52="","",ROUND(SUM($M52,$S52,$Y52),2))),"",IF($V52="","",ROUND(SUM($M52,$S52,$Y52),2)))</f>
        <v>93.5</v>
      </c>
      <c r="AA52">
        <f>IF(ISERROR(IF($V52="","",VLOOKUP(Z52,NewTransmu,4,TRUE))),"",IF($V52="","",VLOOKUP(Z52,NewTransmu,4,TRUE)))</f>
        <v>95</v>
      </c>
      <c r="AB52" t="str">
        <f>IF(ISERROR(IF(AA52="","",VLOOKUP(AA52,DESCRIPTORS,4,TRUE))),"",IF(AA52="","",VLOOKUP(AA52,DESCRIPTORS,4,TRUE)))</f>
        <v>Advancing</v>
      </c>
      <c r="AV52">
        <f>(T52/$T$10)*100</f>
        <v>72.5</v>
      </c>
      <c r="AW52">
        <f>(U52/$U$10)*100</f>
        <v>80</v>
      </c>
      <c r="AX52">
        <f>(V52/$V$10)*100</f>
        <v>82.5</v>
      </c>
    </row>
    <row r="53">
      <c r="A53">
        <v>42</v>
      </c>
      <c r="B53" t="str">
        <f>INPUT!B53</f>
        <v>Agustin, Zachary</v>
      </c>
      <c r="F53">
        <v>20</v>
      </c>
      <c r="G53">
        <v>20</v>
      </c>
      <c r="H53">
        <v>20</v>
      </c>
      <c r="I53">
        <v>20</v>
      </c>
      <c r="J53">
        <v>20</v>
      </c>
      <c r="K53">
        <f>IF(COUNT($F53:$J53)=0,"",SUM($F53:$J53))</f>
        <v>100</v>
      </c>
      <c r="L53">
        <f>IF(ISERROR(IF($K53="","",ROUND(($K53/$K$10)*$L$10,2))),"",IF($K53="","",ROUND(($K53/$K$10)*$L$10,2)))</f>
        <v>100</v>
      </c>
      <c r="M53">
        <f>IF($L53="","",ROUND($L53*$M$10,2))</f>
        <v>20</v>
      </c>
      <c r="N53">
        <v>50</v>
      </c>
      <c r="O53">
        <v>50</v>
      </c>
      <c r="P53">
        <v>50</v>
      </c>
      <c r="Q53">
        <f>IF(COUNT($N53:$P53)=0,"",SUM($N53:$P53))</f>
        <v>150</v>
      </c>
      <c r="R53">
        <f>IF(ISERROR(IF($Q53="","",ROUND(($Q53/$Q$10)*$R$10,2))),"",IF($Q53="","",ROUND(($Q53/$Q$10)*$R$10,2)))</f>
        <v>100</v>
      </c>
      <c r="S53">
        <f>IF($R53="","",ROUND($R53*$S$10,2))</f>
        <v>50</v>
      </c>
      <c r="T53">
        <v>30</v>
      </c>
      <c r="U53">
        <v>32</v>
      </c>
      <c r="V53">
        <v>36</v>
      </c>
      <c r="W53">
        <f>IF(COUNT($T53:$V53)=0,"",SUM($T53:$V53))</f>
        <v>98</v>
      </c>
      <c r="X53">
        <f>IF(ISERROR(IF($W53="","",ROUND(($W53/$W$10)*$X$10,2))),"",IF($W53="","",ROUND(($W53/$W$10)*$X$10,2)))</f>
        <v>81.67</v>
      </c>
      <c r="Y53">
        <f>IF($X53="","",ROUND($X53*$Y$10,2))</f>
        <v>24.5</v>
      </c>
      <c r="Z53">
        <f>IF(ISERROR(IF($V53="","",ROUND(SUM($M53,$S53,$Y53),2))),"",IF($V53="","",ROUND(SUM($M53,$S53,$Y53),2)))</f>
        <v>94.5</v>
      </c>
      <c r="AA53">
        <f>IF(ISERROR(IF($V53="","",VLOOKUP(Z53,NewTransmu,4,TRUE))),"",IF($V53="","",VLOOKUP(Z53,NewTransmu,4,TRUE)))</f>
        <v>96</v>
      </c>
      <c r="AB53" t="str">
        <f>IF(ISERROR(IF(AA53="","",VLOOKUP(AA53,DESCRIPTORS,4,TRUE))),"",IF(AA53="","",VLOOKUP(AA53,DESCRIPTORS,4,TRUE)))</f>
        <v>Advancing</v>
      </c>
      <c r="AV53">
        <f>(T53/$T$10)*100</f>
        <v>75</v>
      </c>
      <c r="AW53">
        <f>(U53/$U$10)*100</f>
        <v>80</v>
      </c>
      <c r="AX53">
        <f>(V53/$V$10)*100</f>
        <v>90</v>
      </c>
    </row>
    <row r="54">
      <c r="A54">
        <v>43</v>
      </c>
      <c r="B54" t="str">
        <f>INPUT!B54</f>
        <v>Alvarez, Alvin</v>
      </c>
      <c r="F54">
        <v>20</v>
      </c>
      <c r="G54">
        <v>20</v>
      </c>
      <c r="H54">
        <v>20</v>
      </c>
      <c r="I54">
        <v>20</v>
      </c>
      <c r="J54">
        <v>20</v>
      </c>
      <c r="K54">
        <f>IF(COUNT($F54:$J54)=0,"",SUM($F54:$J54))</f>
        <v>100</v>
      </c>
      <c r="L54">
        <f>IF(ISERROR(IF($K54="","",ROUND(($K54/$K$10)*$L$10,2))),"",IF($K54="","",ROUND(($K54/$K$10)*$L$10,2)))</f>
        <v>100</v>
      </c>
      <c r="M54">
        <f>IF($L54="","",ROUND($L54*$M$10,2))</f>
        <v>20</v>
      </c>
      <c r="N54">
        <v>50</v>
      </c>
      <c r="O54">
        <v>50</v>
      </c>
      <c r="P54">
        <v>50</v>
      </c>
      <c r="Q54">
        <f>IF(COUNT($N54:$P54)=0,"",SUM($N54:$P54))</f>
        <v>150</v>
      </c>
      <c r="R54">
        <f>IF(ISERROR(IF($Q54="","",ROUND(($Q54/$Q$10)*$R$10,2))),"",IF($Q54="","",ROUND(($Q54/$Q$10)*$R$10,2)))</f>
        <v>100</v>
      </c>
      <c r="S54">
        <f>IF($R54="","",ROUND($R54*$S$10,2))</f>
        <v>50</v>
      </c>
      <c r="T54">
        <v>32</v>
      </c>
      <c r="U54">
        <v>32</v>
      </c>
      <c r="V54">
        <v>27</v>
      </c>
      <c r="W54">
        <f>IF(COUNT($T54:$V54)=0,"",SUM($T54:$V54))</f>
        <v>91</v>
      </c>
      <c r="X54">
        <f>IF(ISERROR(IF($W54="","",ROUND(($W54/$W$10)*$X$10,2))),"",IF($W54="","",ROUND(($W54/$W$10)*$X$10,2)))</f>
        <v>75.83</v>
      </c>
      <c r="Y54">
        <f>IF($X54="","",ROUND($X54*$Y$10,2))</f>
        <v>22.75</v>
      </c>
      <c r="Z54">
        <f>IF(ISERROR(IF($V54="","",ROUND(SUM($M54,$S54,$Y54),2))),"",IF($V54="","",ROUND(SUM($M54,$S54,$Y54),2)))</f>
        <v>92.75</v>
      </c>
      <c r="AA54">
        <f>IF(ISERROR(IF($V54="","",VLOOKUP(Z54,NewTransmu,4,TRUE))),"",IF($V54="","",VLOOKUP(Z54,NewTransmu,4,TRUE)))</f>
        <v>94</v>
      </c>
      <c r="AB54" t="str">
        <f>IF(ISERROR(IF(AA54="","",VLOOKUP(AA54,DESCRIPTORS,4,TRUE))),"",IF(AA54="","",VLOOKUP(AA54,DESCRIPTORS,4,TRUE)))</f>
        <v>Advancing</v>
      </c>
      <c r="AV54">
        <f>(T54/$T$10)*100</f>
        <v>80</v>
      </c>
      <c r="AW54">
        <f>(U54/$U$10)*100</f>
        <v>80</v>
      </c>
      <c r="AX54">
        <f>(V54/$V$10)*100</f>
        <v>67.5</v>
      </c>
    </row>
    <row r="55">
      <c r="A55">
        <v>44</v>
      </c>
      <c r="B55" t="str">
        <f>INPUT!B55</f>
        <v>Aquino, Andre</v>
      </c>
      <c r="F55">
        <v>20</v>
      </c>
      <c r="G55">
        <v>20</v>
      </c>
      <c r="H55">
        <v>20</v>
      </c>
      <c r="I55">
        <v>20</v>
      </c>
      <c r="J55">
        <v>20</v>
      </c>
      <c r="K55">
        <f>IF(COUNT($F55:$J55)=0,"",SUM($F55:$J55))</f>
        <v>100</v>
      </c>
      <c r="L55">
        <f>IF(ISERROR(IF($K55="","",ROUND(($K55/$K$10)*$L$10,2))),"",IF($K55="","",ROUND(($K55/$K$10)*$L$10,2)))</f>
        <v>100</v>
      </c>
      <c r="M55">
        <f>IF($L55="","",ROUND($L55*$M$10,2))</f>
        <v>20</v>
      </c>
      <c r="N55">
        <v>50</v>
      </c>
      <c r="O55">
        <v>50</v>
      </c>
      <c r="P55">
        <v>50</v>
      </c>
      <c r="Q55">
        <f>IF(COUNT($N55:$P55)=0,"",SUM($N55:$P55))</f>
        <v>150</v>
      </c>
      <c r="R55">
        <f>IF(ISERROR(IF($Q55="","",ROUND(($Q55/$Q$10)*$R$10,2))),"",IF($Q55="","",ROUND(($Q55/$Q$10)*$R$10,2)))</f>
        <v>100</v>
      </c>
      <c r="S55">
        <f>IF($R55="","",ROUND($R55*$S$10,2))</f>
        <v>50</v>
      </c>
      <c r="T55">
        <v>36</v>
      </c>
      <c r="U55">
        <v>38</v>
      </c>
      <c r="V55">
        <v>34</v>
      </c>
      <c r="W55">
        <f>IF(COUNT($T55:$V55)=0,"",SUM($T55:$V55))</f>
        <v>108</v>
      </c>
      <c r="X55">
        <f>IF(ISERROR(IF($W55="","",ROUND(($W55/$W$10)*$X$10,2))),"",IF($W55="","",ROUND(($W55/$W$10)*$X$10,2)))</f>
        <v>90</v>
      </c>
      <c r="Y55">
        <f>IF($X55="","",ROUND($X55*$Y$10,2))</f>
        <v>27</v>
      </c>
      <c r="Z55">
        <f>IF(ISERROR(IF($V55="","",ROUND(SUM($M55,$S55,$Y55),2))),"",IF($V55="","",ROUND(SUM($M55,$S55,$Y55),2)))</f>
        <v>97</v>
      </c>
      <c r="AA55">
        <f>IF(ISERROR(IF($V55="","",VLOOKUP(Z55,NewTransmu,4,TRUE))),"",IF($V55="","",VLOOKUP(Z55,NewTransmu,4,TRUE)))</f>
        <v>98</v>
      </c>
      <c r="AB55" t="str">
        <f>IF(ISERROR(IF(AA55="","",VLOOKUP(AA55,DESCRIPTORS,4,TRUE))),"",IF(AA55="","",VLOOKUP(AA55,DESCRIPTORS,4,TRUE)))</f>
        <v>Advancing</v>
      </c>
      <c r="AV55">
        <f>(T55/$T$10)*100</f>
        <v>90</v>
      </c>
      <c r="AW55">
        <f>(U55/$U$10)*100</f>
        <v>95</v>
      </c>
      <c r="AX55">
        <f>(V55/$V$10)*100</f>
        <v>85</v>
      </c>
    </row>
    <row r="56">
      <c r="A56">
        <v>45</v>
      </c>
      <c r="B56" t="str">
        <f>INPUT!B56</f>
        <v>Arceo, Benedict</v>
      </c>
      <c r="F56">
        <v>20</v>
      </c>
      <c r="G56">
        <v>20</v>
      </c>
      <c r="H56">
        <v>20</v>
      </c>
      <c r="I56">
        <v>20</v>
      </c>
      <c r="J56">
        <v>20</v>
      </c>
      <c r="K56">
        <f>IF(COUNT($F56:$J56)=0,"",SUM($F56:$J56))</f>
        <v>100</v>
      </c>
      <c r="L56">
        <f>IF(ISERROR(IF($K56="","",ROUND(($K56/$K$10)*$L$10,2))),"",IF($K56="","",ROUND(($K56/$K$10)*$L$10,2)))</f>
        <v>100</v>
      </c>
      <c r="M56">
        <f>IF($L56="","",ROUND($L56*$M$10,2))</f>
        <v>20</v>
      </c>
      <c r="N56">
        <v>50</v>
      </c>
      <c r="O56">
        <v>50</v>
      </c>
      <c r="P56">
        <v>50</v>
      </c>
      <c r="Q56">
        <f>IF(COUNT($N56:$P56)=0,"",SUM($N56:$P56))</f>
        <v>150</v>
      </c>
      <c r="R56">
        <f>IF(ISERROR(IF($Q56="","",ROUND(($Q56/$Q$10)*$R$10,2))),"",IF($Q56="","",ROUND(($Q56/$Q$10)*$R$10,2)))</f>
        <v>100</v>
      </c>
      <c r="S56">
        <f>IF($R56="","",ROUND($R56*$S$10,2))</f>
        <v>50</v>
      </c>
      <c r="T56">
        <v>28</v>
      </c>
      <c r="U56">
        <v>26</v>
      </c>
      <c r="V56">
        <v>23</v>
      </c>
      <c r="W56">
        <f>IF(COUNT($T56:$V56)=0,"",SUM($T56:$V56))</f>
        <v>77</v>
      </c>
      <c r="X56">
        <f>IF(ISERROR(IF($W56="","",ROUND(($W56/$W$10)*$X$10,2))),"",IF($W56="","",ROUND(($W56/$W$10)*$X$10,2)))</f>
        <v>64.17</v>
      </c>
      <c r="Y56">
        <f>IF($X56="","",ROUND($X56*$Y$10,2))</f>
        <v>19.25</v>
      </c>
      <c r="Z56">
        <f>IF(ISERROR(IF($V56="","",ROUND(SUM($M56,$S56,$Y56),2))),"",IF($V56="","",ROUND(SUM($M56,$S56,$Y56),2)))</f>
        <v>89.25</v>
      </c>
      <c r="AA56">
        <f>IF(ISERROR(IF($V56="","",VLOOKUP(Z56,NewTransmu,4,TRUE))),"",IF($V56="","",VLOOKUP(Z56,NewTransmu,4,TRUE)))</f>
        <v>91</v>
      </c>
      <c r="AB56" t="str">
        <f>IF(ISERROR(IF(AA56="","",VLOOKUP(AA56,DESCRIPTORS,4,TRUE))),"",IF(AA56="","",VLOOKUP(AA56,DESCRIPTORS,4,TRUE)))</f>
        <v>Advancing</v>
      </c>
      <c r="AV56">
        <f>(T56/$T$10)*100</f>
        <v>70</v>
      </c>
      <c r="AW56">
        <f>(U56/$U$10)*100</f>
        <v>65</v>
      </c>
      <c r="AX56">
        <f>(V56/$V$10)*100</f>
        <v>57.49999999999999</v>
      </c>
    </row>
    <row r="57">
      <c r="A57">
        <v>46</v>
      </c>
      <c r="B57" t="str">
        <f>INPUT!B57</f>
        <v>Arellano, Cyrus</v>
      </c>
      <c r="F57">
        <v>20</v>
      </c>
      <c r="G57">
        <v>20</v>
      </c>
      <c r="H57">
        <v>20</v>
      </c>
      <c r="I57">
        <v>20</v>
      </c>
      <c r="J57">
        <v>20</v>
      </c>
      <c r="K57">
        <f>IF(COUNT($F57:$J57)=0,"",SUM($F57:$J57))</f>
        <v>100</v>
      </c>
      <c r="L57">
        <f>IF(ISERROR(IF($K57="","",ROUND(($K57/$K$10)*$L$10,2))),"",IF($K57="","",ROUND(($K57/$K$10)*$L$10,2)))</f>
        <v>100</v>
      </c>
      <c r="M57">
        <f>IF($L57="","",ROUND($L57*$M$10,2))</f>
        <v>20</v>
      </c>
      <c r="N57">
        <v>50</v>
      </c>
      <c r="O57">
        <v>50</v>
      </c>
      <c r="P57">
        <v>50</v>
      </c>
      <c r="Q57">
        <f>IF(COUNT($N57:$P57)=0,"",SUM($N57:$P57))</f>
        <v>150</v>
      </c>
      <c r="R57">
        <f>IF(ISERROR(IF($Q57="","",ROUND(($Q57/$Q$10)*$R$10,2))),"",IF($Q57="","",ROUND(($Q57/$Q$10)*$R$10,2)))</f>
        <v>100</v>
      </c>
      <c r="S57">
        <f>IF($R57="","",ROUND($R57*$S$10,2))</f>
        <v>50</v>
      </c>
      <c r="T57">
        <v>31</v>
      </c>
      <c r="U57">
        <v>36</v>
      </c>
      <c r="V57">
        <v>34</v>
      </c>
      <c r="W57">
        <f>IF(COUNT($T57:$V57)=0,"",SUM($T57:$V57))</f>
        <v>101</v>
      </c>
      <c r="X57">
        <f>IF(ISERROR(IF($W57="","",ROUND(($W57/$W$10)*$X$10,2))),"",IF($W57="","",ROUND(($W57/$W$10)*$X$10,2)))</f>
        <v>84.17</v>
      </c>
      <c r="Y57">
        <f>IF($X57="","",ROUND($X57*$Y$10,2))</f>
        <v>25.25</v>
      </c>
      <c r="Z57">
        <f>IF(ISERROR(IF($V57="","",ROUND(SUM($M57,$S57,$Y57),2))),"",IF($V57="","",ROUND(SUM($M57,$S57,$Y57),2)))</f>
        <v>95.25</v>
      </c>
      <c r="AA57">
        <f>IF(ISERROR(IF($V57="","",VLOOKUP(Z57,NewTransmu,4,TRUE))),"",IF($V57="","",VLOOKUP(Z57,NewTransmu,4,TRUE)))</f>
        <v>97</v>
      </c>
      <c r="AB57" t="str">
        <f>IF(ISERROR(IF(AA57="","",VLOOKUP(AA57,DESCRIPTORS,4,TRUE))),"",IF(AA57="","",VLOOKUP(AA57,DESCRIPTORS,4,TRUE)))</f>
        <v>Advancing</v>
      </c>
      <c r="AV57">
        <f>(T57/$T$10)*100</f>
        <v>77.5</v>
      </c>
      <c r="AW57">
        <f>(U57/$U$10)*100</f>
        <v>90</v>
      </c>
      <c r="AX57">
        <f>(V57/$V$10)*100</f>
        <v>85</v>
      </c>
    </row>
    <row r="58">
      <c r="A58">
        <v>47</v>
      </c>
      <c r="B58" t="str">
        <f>INPUT!B58</f>
        <v>Barrera, Dominic</v>
      </c>
      <c r="F58">
        <v>20</v>
      </c>
      <c r="G58">
        <v>20</v>
      </c>
      <c r="H58">
        <v>20</v>
      </c>
      <c r="I58">
        <v>20</v>
      </c>
      <c r="J58">
        <v>20</v>
      </c>
      <c r="K58">
        <f>IF(COUNT($F58:$J58)=0,"",SUM($F58:$J58))</f>
        <v>100</v>
      </c>
      <c r="L58">
        <f>IF(ISERROR(IF($K58="","",ROUND(($K58/$K$10)*$L$10,2))),"",IF($K58="","",ROUND(($K58/$K$10)*$L$10,2)))</f>
        <v>100</v>
      </c>
      <c r="M58">
        <f>IF($L58="","",ROUND($L58*$M$10,2))</f>
        <v>20</v>
      </c>
      <c r="N58">
        <v>50</v>
      </c>
      <c r="O58">
        <v>50</v>
      </c>
      <c r="P58">
        <v>50</v>
      </c>
      <c r="Q58">
        <f>IF(COUNT($N58:$P58)=0,"",SUM($N58:$P58))</f>
        <v>150</v>
      </c>
      <c r="R58">
        <f>IF(ISERROR(IF($Q58="","",ROUND(($Q58/$Q$10)*$R$10,2))),"",IF($Q58="","",ROUND(($Q58/$Q$10)*$R$10,2)))</f>
        <v>100</v>
      </c>
      <c r="S58">
        <f>IF($R58="","",ROUND($R58*$S$10,2))</f>
        <v>50</v>
      </c>
      <c r="T58">
        <v>32</v>
      </c>
      <c r="U58">
        <v>33</v>
      </c>
      <c r="V58">
        <v>31</v>
      </c>
      <c r="W58">
        <f>IF(COUNT($T58:$V58)=0,"",SUM($T58:$V58))</f>
        <v>96</v>
      </c>
      <c r="X58">
        <f>IF(ISERROR(IF($W58="","",ROUND(($W58/$W$10)*$X$10,2))),"",IF($W58="","",ROUND(($W58/$W$10)*$X$10,2)))</f>
        <v>80</v>
      </c>
      <c r="Y58">
        <f>IF($X58="","",ROUND($X58*$Y$10,2))</f>
        <v>24</v>
      </c>
      <c r="Z58">
        <f>IF(ISERROR(IF($V58="","",ROUND(SUM($M58,$S58,$Y58),2))),"",IF($V58="","",ROUND(SUM($M58,$S58,$Y58),2)))</f>
        <v>94</v>
      </c>
      <c r="AA58">
        <f>IF(ISERROR(IF($V58="","",VLOOKUP(Z58,NewTransmu,4,TRUE))),"",IF($V58="","",VLOOKUP(Z58,NewTransmu,4,TRUE)))</f>
        <v>96</v>
      </c>
      <c r="AB58" t="str">
        <f>IF(ISERROR(IF(AA58="","",VLOOKUP(AA58,DESCRIPTORS,4,TRUE))),"",IF(AA58="","",VLOOKUP(AA58,DESCRIPTORS,4,TRUE)))</f>
        <v>Advancing</v>
      </c>
      <c r="AV58">
        <f>(T58/$T$10)*100</f>
        <v>80</v>
      </c>
      <c r="AW58">
        <f>(U58/$U$10)*100</f>
        <v>82.5</v>
      </c>
      <c r="AX58">
        <f>(V58/$V$10)*100</f>
        <v>77.5</v>
      </c>
    </row>
    <row r="59">
      <c r="A59">
        <v>48</v>
      </c>
      <c r="B59" t="str">
        <f>INPUT!B59</f>
        <v>Cabral, Emmanuel</v>
      </c>
      <c r="F59">
        <v>20</v>
      </c>
      <c r="G59">
        <v>20</v>
      </c>
      <c r="H59">
        <v>20</v>
      </c>
      <c r="I59">
        <v>20</v>
      </c>
      <c r="J59">
        <v>20</v>
      </c>
      <c r="K59">
        <f>IF(COUNT($F59:$J59)=0,"",SUM($F59:$J59))</f>
        <v>100</v>
      </c>
      <c r="L59">
        <f>IF(ISERROR(IF($K59="","",ROUND(($K59/$K$10)*$L$10,2))),"",IF($K59="","",ROUND(($K59/$K$10)*$L$10,2)))</f>
        <v>100</v>
      </c>
      <c r="M59">
        <f>IF($L59="","",ROUND($L59*$M$10,2))</f>
        <v>20</v>
      </c>
      <c r="N59">
        <v>50</v>
      </c>
      <c r="O59">
        <v>50</v>
      </c>
      <c r="P59">
        <v>50</v>
      </c>
      <c r="Q59">
        <f>IF(COUNT($N59:$P59)=0,"",SUM($N59:$P59))</f>
        <v>150</v>
      </c>
      <c r="R59">
        <f>IF(ISERROR(IF($Q59="","",ROUND(($Q59/$Q$10)*$R$10,2))),"",IF($Q59="","",ROUND(($Q59/$Q$10)*$R$10,2)))</f>
        <v>100</v>
      </c>
      <c r="S59">
        <f>IF($R59="","",ROUND($R59*$S$10,2))</f>
        <v>50</v>
      </c>
      <c r="T59">
        <v>37</v>
      </c>
      <c r="U59">
        <v>39</v>
      </c>
      <c r="V59">
        <v>38</v>
      </c>
      <c r="W59">
        <f>IF(COUNT($T59:$V59)=0,"",SUM($T59:$V59))</f>
        <v>114</v>
      </c>
      <c r="X59">
        <f>IF(ISERROR(IF($W59="","",ROUND(($W59/$W$10)*$X$10,2))),"",IF($W59="","",ROUND(($W59/$W$10)*$X$10,2)))</f>
        <v>95</v>
      </c>
      <c r="Y59">
        <f>IF($X59="","",ROUND($X59*$Y$10,2))</f>
        <v>28.5</v>
      </c>
      <c r="Z59">
        <f>IF(ISERROR(IF($V59="","",ROUND(SUM($M59,$S59,$Y59),2))),"",IF($V59="","",ROUND(SUM($M59,$S59,$Y59),2)))</f>
        <v>98.5</v>
      </c>
      <c r="AA59">
        <f>IF(ISERROR(IF($V59="","",VLOOKUP(Z59,NewTransmu,4,TRUE))),"",IF($V59="","",VLOOKUP(Z59,NewTransmu,4,TRUE)))</f>
        <v>99</v>
      </c>
      <c r="AB59" t="str">
        <f>IF(ISERROR(IF(AA59="","",VLOOKUP(AA59,DESCRIPTORS,4,TRUE))),"",IF(AA59="","",VLOOKUP(AA59,DESCRIPTORS,4,TRUE)))</f>
        <v>Advancing</v>
      </c>
      <c r="AV59">
        <f>(T59/$T$10)*100</f>
        <v>92.5</v>
      </c>
      <c r="AW59">
        <f>(U59/$U$10)*100</f>
        <v>97.5</v>
      </c>
      <c r="AX59">
        <f>(V59/$V$10)*100</f>
        <v>95</v>
      </c>
    </row>
    <row r="60">
      <c r="A60">
        <v>49</v>
      </c>
      <c r="B60" t="str">
        <f>INPUT!B60</f>
        <v>David, Francis</v>
      </c>
      <c r="F60">
        <v>20</v>
      </c>
      <c r="G60">
        <v>20</v>
      </c>
      <c r="H60">
        <v>20</v>
      </c>
      <c r="I60">
        <v>20</v>
      </c>
      <c r="J60">
        <v>20</v>
      </c>
      <c r="K60">
        <f>IF(COUNT($F60:$J60)=0,"",SUM($F60:$J60))</f>
        <v>100</v>
      </c>
      <c r="L60">
        <f>IF(ISERROR(IF($K60="","",ROUND(($K60/$K$10)*$L$10,2))),"",IF($K60="","",ROUND(($K60/$K$10)*$L$10,2)))</f>
        <v>100</v>
      </c>
      <c r="M60">
        <f>IF($L60="","",ROUND($L60*$M$10,2))</f>
        <v>20</v>
      </c>
      <c r="N60">
        <v>50</v>
      </c>
      <c r="O60">
        <v>50</v>
      </c>
      <c r="P60">
        <v>50</v>
      </c>
      <c r="Q60">
        <f>IF(COUNT($N60:$P60)=0,"",SUM($N60:$P60))</f>
        <v>150</v>
      </c>
      <c r="R60">
        <f>IF(ISERROR(IF($Q60="","",ROUND(($Q60/$Q$10)*$R$10,2))),"",IF($Q60="","",ROUND(($Q60/$Q$10)*$R$10,2)))</f>
        <v>100</v>
      </c>
      <c r="S60">
        <f>IF($R60="","",ROUND($R60*$S$10,2))</f>
        <v>50</v>
      </c>
      <c r="T60">
        <v>30</v>
      </c>
      <c r="U60">
        <v>26</v>
      </c>
      <c r="V60">
        <v>28</v>
      </c>
      <c r="W60">
        <f>IF(COUNT($T60:$V60)=0,"",SUM($T60:$V60))</f>
        <v>84</v>
      </c>
      <c r="X60">
        <f>IF(ISERROR(IF($W60="","",ROUND(($W60/$W$10)*$X$10,2))),"",IF($W60="","",ROUND(($W60/$W$10)*$X$10,2)))</f>
        <v>70</v>
      </c>
      <c r="Y60">
        <f>IF($X60="","",ROUND($X60*$Y$10,2))</f>
        <v>21</v>
      </c>
      <c r="Z60">
        <f>IF(ISERROR(IF($V60="","",ROUND(SUM($M60,$S60,$Y60),2))),"",IF($V60="","",ROUND(SUM($M60,$S60,$Y60),2)))</f>
        <v>91</v>
      </c>
      <c r="AA60">
        <f>IF(ISERROR(IF($V60="","",VLOOKUP(Z60,NewTransmu,4,TRUE))),"",IF($V60="","",VLOOKUP(Z60,NewTransmu,4,TRUE)))</f>
        <v>93</v>
      </c>
      <c r="AB60" t="str">
        <f>IF(ISERROR(IF(AA60="","",VLOOKUP(AA60,DESCRIPTORS,4,TRUE))),"",IF(AA60="","",VLOOKUP(AA60,DESCRIPTORS,4,TRUE)))</f>
        <v>Advancing</v>
      </c>
      <c r="AV60">
        <f>(T60/$T$10)*100</f>
        <v>75</v>
      </c>
      <c r="AW60">
        <f>(U60/$U$10)*100</f>
        <v>65</v>
      </c>
      <c r="AX60">
        <f>(V60/$V$10)*100</f>
        <v>70</v>
      </c>
    </row>
    <row r="61">
      <c r="A61">
        <v>50</v>
      </c>
      <c r="B61" t="str">
        <f>INPUT!B61</f>
        <v>Escobar, Gian</v>
      </c>
      <c r="F61">
        <v>20</v>
      </c>
      <c r="G61">
        <v>20</v>
      </c>
      <c r="H61">
        <v>20</v>
      </c>
      <c r="I61">
        <v>20</v>
      </c>
      <c r="J61">
        <v>20</v>
      </c>
      <c r="K61">
        <f>IF(COUNT($F61:$J61)=0,"",SUM($F61:$J61))</f>
        <v>100</v>
      </c>
      <c r="L61">
        <f>IF(ISERROR(IF($K61="","",ROUND(($K61/$K$10)*$L$10,2))),"",IF($K61="","",ROUND(($K61/$K$10)*$L$10,2)))</f>
        <v>100</v>
      </c>
      <c r="M61">
        <f>IF($L61="","",ROUND($L61*$M$10,2))</f>
        <v>20</v>
      </c>
      <c r="N61">
        <v>50</v>
      </c>
      <c r="O61">
        <v>50</v>
      </c>
      <c r="P61">
        <v>50</v>
      </c>
      <c r="Q61">
        <f>IF(COUNT($N61:$P61)=0,"",SUM($N61:$P61))</f>
        <v>150</v>
      </c>
      <c r="R61">
        <f>IF(ISERROR(IF($Q61="","",ROUND(($Q61/$Q$10)*$R$10,2))),"",IF($Q61="","",ROUND(($Q61/$Q$10)*$R$10,2)))</f>
        <v>100</v>
      </c>
      <c r="S61">
        <f>IF($R61="","",ROUND($R61*$S$10,2))</f>
        <v>50</v>
      </c>
      <c r="T61">
        <v>39</v>
      </c>
      <c r="U61">
        <v>37</v>
      </c>
      <c r="V61">
        <v>34</v>
      </c>
      <c r="W61">
        <f>IF(COUNT($T61:$V61)=0,"",SUM($T61:$V61))</f>
        <v>110</v>
      </c>
      <c r="X61">
        <f>IF(ISERROR(IF($W61="","",ROUND(($W61/$W$10)*$X$10,2))),"",IF($W61="","",ROUND(($W61/$W$10)*$X$10,2)))</f>
        <v>91.67</v>
      </c>
      <c r="Y61">
        <f>IF($X61="","",ROUND($X61*$Y$10,2))</f>
        <v>27.5</v>
      </c>
      <c r="Z61">
        <f>IF(ISERROR(IF($V61="","",ROUND(SUM($M61,$S61,$Y61),2))),"",IF($V61="","",ROUND(SUM($M61,$S61,$Y61),2)))</f>
        <v>97.5</v>
      </c>
      <c r="AA61">
        <f>IF(ISERROR(IF($V61="","",VLOOKUP(Z61,NewTransmu,4,TRUE))),"",IF($V61="","",VLOOKUP(Z61,NewTransmu,4,TRUE)))</f>
        <v>99</v>
      </c>
      <c r="AB61" t="str">
        <f>IF(ISERROR(IF(AA61="","",VLOOKUP(AA61,DESCRIPTORS,4,TRUE))),"",IF(AA61="","",VLOOKUP(AA61,DESCRIPTORS,4,TRUE)))</f>
        <v>Advancing</v>
      </c>
      <c r="AV61">
        <f>(T61/$T$10)*100</f>
        <v>97.5</v>
      </c>
      <c r="AW61">
        <f>(U61/$U$10)*100</f>
        <v>92.5</v>
      </c>
      <c r="AX61">
        <f>(V61/$V$10)*100</f>
        <v>85</v>
      </c>
    </row>
    <row r="62">
      <c r="B62" t="str">
        <v xml:space="preserve">FEMALE </v>
      </c>
      <c r="AV62">
        <f>(T62/$T$10)*100</f>
        <v>0</v>
      </c>
      <c r="AW62">
        <f>(U62/$U$10)*100</f>
        <v>0</v>
      </c>
      <c r="AX62">
        <f>(V62/$V$10)*100</f>
        <v>0</v>
      </c>
    </row>
    <row r="63">
      <c r="A63">
        <v>1</v>
      </c>
      <c r="B63" t="str">
        <f>INPUT!B63</f>
        <v>Fernandez, Alyssa</v>
      </c>
      <c r="F63">
        <v>20</v>
      </c>
      <c r="G63">
        <v>20</v>
      </c>
      <c r="H63">
        <v>20</v>
      </c>
      <c r="I63">
        <v>20</v>
      </c>
      <c r="J63">
        <v>20</v>
      </c>
      <c r="K63">
        <f>IF(COUNT($F63:$J63)=0,"",SUM($F63:$J63))</f>
        <v>100</v>
      </c>
      <c r="L63">
        <f>IF(ISERROR(IF($K63="","",ROUND(($K63/$K$10)*$L$10,2))),"",IF($K63="","",ROUND(($K63/$K$10)*$L$10,2)))</f>
        <v>100</v>
      </c>
      <c r="M63">
        <f>IF($L63="","",ROUND($L63*$M$10,2))</f>
        <v>20</v>
      </c>
      <c r="N63">
        <v>50</v>
      </c>
      <c r="O63">
        <v>50</v>
      </c>
      <c r="P63">
        <v>50</v>
      </c>
      <c r="Q63">
        <f>IF(COUNT($N63:$P63)=0,"",SUM($N63:$P63))</f>
        <v>150</v>
      </c>
      <c r="R63">
        <f>IF(ISERROR(IF($Q63="","",ROUND(($Q63/$Q$10)*$R$10,2))),"",IF($Q63="","",ROUND(($Q63/$Q$10)*$R$10,2)))</f>
        <v>100</v>
      </c>
      <c r="S63">
        <f>IF($R63="","",ROUND($R63*$S$10,2))</f>
        <v>50</v>
      </c>
      <c r="T63">
        <v>37</v>
      </c>
      <c r="U63">
        <v>40</v>
      </c>
      <c r="V63">
        <v>38</v>
      </c>
      <c r="W63">
        <f>IF(COUNT($T63:$V63)=0,"",SUM($T63:$V63))</f>
        <v>115</v>
      </c>
      <c r="X63">
        <f>IF(ISERROR(IF($W63="","",ROUND(($W63/$W$10)*$X$10,2))),"",IF($W63="","",ROUND(($W63/$W$10)*$X$10,2)))</f>
        <v>95.83</v>
      </c>
      <c r="Y63">
        <f>IF($X63="","",ROUND($X63*$Y$10,2))</f>
        <v>28.75</v>
      </c>
      <c r="Z63">
        <f>IF(ISERROR(IF($V63="","",ROUND(SUM($M63,$S63,$Y63),2))),"",IF($V63="","",ROUND(SUM($M63,$S63,$Y63),2)))</f>
        <v>98.75</v>
      </c>
      <c r="AA63">
        <f>IF(ISERROR(IF($V63="","",VLOOKUP(Z63,NewTransmu,4,TRUE))),"",IF($V63="","",VLOOKUP(Z63,NewTransmu,4,TRUE)))</f>
        <v>99</v>
      </c>
      <c r="AB63" t="str">
        <f>IF(ISERROR(IF(AA63="","",VLOOKUP(AA63,DESCRIPTORS,4,TRUE))),"",IF(AA63="","",VLOOKUP(AA63,DESCRIPTORS,4,TRUE)))</f>
        <v>Advancing</v>
      </c>
      <c r="AV63">
        <f>(T63/$T$10)*100</f>
        <v>92.5</v>
      </c>
      <c r="AW63">
        <f>(U63/$U$10)*100</f>
        <v>100</v>
      </c>
      <c r="AX63">
        <f>(V63/$V$10)*100</f>
        <v>95</v>
      </c>
    </row>
    <row r="64">
      <c r="A64">
        <v>2</v>
      </c>
      <c r="B64" t="str">
        <f>INPUT!B64</f>
        <v>Garcia, Angela</v>
      </c>
      <c r="F64">
        <v>20</v>
      </c>
      <c r="G64">
        <v>20</v>
      </c>
      <c r="H64">
        <v>20</v>
      </c>
      <c r="I64">
        <v>20</v>
      </c>
      <c r="J64">
        <v>20</v>
      </c>
      <c r="K64">
        <f>IF(COUNT($F64:$J64)=0,"",SUM($F64:$J64))</f>
        <v>100</v>
      </c>
      <c r="L64">
        <f>IF(ISERROR(IF($K64="","",ROUND(($K64/$K$10)*$L$10,2))),"",IF($K64="","",ROUND(($K64/$K$10)*$L$10,2)))</f>
        <v>100</v>
      </c>
      <c r="M64">
        <f>IF($L64="","",ROUND($L64*$M$10,2))</f>
        <v>20</v>
      </c>
      <c r="N64">
        <v>50</v>
      </c>
      <c r="O64">
        <v>50</v>
      </c>
      <c r="P64">
        <v>50</v>
      </c>
      <c r="Q64">
        <f>IF(COUNT($N64:$P64)=0,"",SUM($N64:$P64))</f>
        <v>150</v>
      </c>
      <c r="R64">
        <f>IF(ISERROR(IF($Q64="","",ROUND(($Q64/$Q$10)*$R$10,2))),"",IF($Q64="","",ROUND(($Q64/$Q$10)*$R$10,2)))</f>
        <v>100</v>
      </c>
      <c r="S64">
        <f>IF($R64="","",ROUND($R64*$S$10,2))</f>
        <v>50</v>
      </c>
      <c r="T64">
        <v>29</v>
      </c>
      <c r="U64">
        <v>25</v>
      </c>
      <c r="V64">
        <v>31</v>
      </c>
      <c r="W64">
        <f>IF(COUNT($T64:$V64)=0,"",SUM($T64:$V64))</f>
        <v>85</v>
      </c>
      <c r="X64">
        <f>IF(ISERROR(IF($W64="","",ROUND(($W64/$W$10)*$X$10,2))),"",IF($W64="","",ROUND(($W64/$W$10)*$X$10,2)))</f>
        <v>70.83</v>
      </c>
      <c r="Y64">
        <f>IF($X64="","",ROUND($X64*$Y$10,2))</f>
        <v>21.25</v>
      </c>
      <c r="Z64">
        <f>IF(ISERROR(IF($V64="","",ROUND(SUM($M64,$S64,$Y64),2))),"",IF($V64="","",ROUND(SUM($M64,$S64,$Y64),2)))</f>
        <v>91.25</v>
      </c>
      <c r="AA64">
        <f>IF(ISERROR(IF($V64="","",VLOOKUP(Z64,NewTransmu,4,TRUE))),"",IF($V64="","",VLOOKUP(Z64,NewTransmu,4,TRUE)))</f>
        <v>93</v>
      </c>
      <c r="AB64" t="str">
        <f>IF(ISERROR(IF(AA64="","",VLOOKUP(AA64,DESCRIPTORS,4,TRUE))),"",IF(AA64="","",VLOOKUP(AA64,DESCRIPTORS,4,TRUE)))</f>
        <v>Advancing</v>
      </c>
      <c r="AV64">
        <f>(T64/$T$10)*100</f>
        <v>72.5</v>
      </c>
      <c r="AW64">
        <f>(U64/$U$10)*100</f>
        <v>62.5</v>
      </c>
      <c r="AX64">
        <f>(V64/$V$10)*100</f>
        <v>77.5</v>
      </c>
    </row>
    <row r="65">
      <c r="A65">
        <v>3</v>
      </c>
      <c r="B65" t="str">
        <f>INPUT!B65</f>
        <v>Gonzales, Bea</v>
      </c>
      <c r="F65">
        <v>20</v>
      </c>
      <c r="G65">
        <v>20</v>
      </c>
      <c r="H65">
        <v>20</v>
      </c>
      <c r="I65">
        <v>20</v>
      </c>
      <c r="J65">
        <v>20</v>
      </c>
      <c r="K65">
        <f>IF(COUNT($F65:$J65)=0,"",SUM($F65:$J65))</f>
        <v>100</v>
      </c>
      <c r="L65">
        <f>IF(ISERROR(IF($K65="","",ROUND(($K65/$K$10)*$L$10,2))),"",IF($K65="","",ROUND(($K65/$K$10)*$L$10,2)))</f>
        <v>100</v>
      </c>
      <c r="M65">
        <f>IF($L65="","",ROUND($L65*$M$10,2))</f>
        <v>20</v>
      </c>
      <c r="N65">
        <v>50</v>
      </c>
      <c r="O65">
        <v>50</v>
      </c>
      <c r="P65">
        <v>50</v>
      </c>
      <c r="Q65">
        <f>IF(COUNT($N65:$P65)=0,"",SUM($N65:$P65))</f>
        <v>150</v>
      </c>
      <c r="R65">
        <f>IF(ISERROR(IF($Q65="","",ROUND(($Q65/$Q$10)*$R$10,2))),"",IF($Q65="","",ROUND(($Q65/$Q$10)*$R$10,2)))</f>
        <v>100</v>
      </c>
      <c r="S65">
        <f>IF($R65="","",ROUND($R65*$S$10,2))</f>
        <v>50</v>
      </c>
      <c r="T65">
        <v>28</v>
      </c>
      <c r="U65">
        <v>29</v>
      </c>
      <c r="V65">
        <v>31</v>
      </c>
      <c r="W65">
        <f>IF(COUNT($T65:$V65)=0,"",SUM($T65:$V65))</f>
        <v>88</v>
      </c>
      <c r="X65">
        <f>IF(ISERROR(IF($W65="","",ROUND(($W65/$W$10)*$X$10,2))),"",IF($W65="","",ROUND(($W65/$W$10)*$X$10,2)))</f>
        <v>73.33</v>
      </c>
      <c r="Y65">
        <f>IF($X65="","",ROUND($X65*$Y$10,2))</f>
        <v>22</v>
      </c>
      <c r="Z65">
        <f>IF(ISERROR(IF($V65="","",ROUND(SUM($M65,$S65,$Y65),2))),"",IF($V65="","",ROUND(SUM($M65,$S65,$Y65),2)))</f>
        <v>92</v>
      </c>
      <c r="AA65">
        <f>IF(ISERROR(IF($V65="","",VLOOKUP(Z65,NewTransmu,4,TRUE))),"",IF($V65="","",VLOOKUP(Z65,NewTransmu,4,TRUE)))</f>
        <v>94</v>
      </c>
      <c r="AB65" t="str">
        <f>IF(ISERROR(IF(AA65="","",VLOOKUP(AA65,DESCRIPTORS,4,TRUE))),"",IF(AA65="","",VLOOKUP(AA65,DESCRIPTORS,4,TRUE)))</f>
        <v>Advancing</v>
      </c>
      <c r="AV65">
        <f>(T65/$T$10)*100</f>
        <v>70</v>
      </c>
      <c r="AW65">
        <f>(U65/$U$10)*100</f>
        <v>72.5</v>
      </c>
      <c r="AX65">
        <f>(V65/$V$10)*100</f>
        <v>77.5</v>
      </c>
    </row>
    <row r="66">
      <c r="A66">
        <v>4</v>
      </c>
      <c r="B66" t="str">
        <f>INPUT!B66</f>
        <v>Hernandez, Bianca</v>
      </c>
      <c r="F66">
        <v>20</v>
      </c>
      <c r="G66">
        <v>20</v>
      </c>
      <c r="H66">
        <v>20</v>
      </c>
      <c r="I66">
        <v>20</v>
      </c>
      <c r="J66">
        <v>20</v>
      </c>
      <c r="K66">
        <f>IF(COUNT($F66:$J66)=0,"",SUM($F66:$J66))</f>
        <v>100</v>
      </c>
      <c r="L66">
        <f>IF(ISERROR(IF($K66="","",ROUND(($K66/$K$10)*$L$10,2))),"",IF($K66="","",ROUND(($K66/$K$10)*$L$10,2)))</f>
        <v>100</v>
      </c>
      <c r="M66">
        <f>IF($L66="","",ROUND($L66*$M$10,2))</f>
        <v>20</v>
      </c>
      <c r="N66">
        <v>50</v>
      </c>
      <c r="O66">
        <v>50</v>
      </c>
      <c r="P66">
        <v>50</v>
      </c>
      <c r="Q66">
        <f>IF(COUNT($N66:$P66)=0,"",SUM($N66:$P66))</f>
        <v>150</v>
      </c>
      <c r="R66">
        <f>IF(ISERROR(IF($Q66="","",ROUND(($Q66/$Q$10)*$R$10,2))),"",IF($Q66="","",ROUND(($Q66/$Q$10)*$R$10,2)))</f>
        <v>100</v>
      </c>
      <c r="S66">
        <f>IF($R66="","",ROUND($R66*$S$10,2))</f>
        <v>50</v>
      </c>
      <c r="T66">
        <v>31</v>
      </c>
      <c r="U66">
        <v>32</v>
      </c>
      <c r="V66">
        <v>29</v>
      </c>
      <c r="W66">
        <f>IF(COUNT($T66:$V66)=0,"",SUM($T66:$V66))</f>
        <v>92</v>
      </c>
      <c r="X66">
        <f>IF(ISERROR(IF($W66="","",ROUND(($W66/$W$10)*$X$10,2))),"",IF($W66="","",ROUND(($W66/$W$10)*$X$10,2)))</f>
        <v>76.67</v>
      </c>
      <c r="Y66">
        <f>IF($X66="","",ROUND($X66*$Y$10,2))</f>
        <v>23</v>
      </c>
      <c r="Z66">
        <f>IF(ISERROR(IF($V66="","",ROUND(SUM($M66,$S66,$Y66),2))),"",IF($V66="","",ROUND(SUM($M66,$S66,$Y66),2)))</f>
        <v>93</v>
      </c>
      <c r="AA66">
        <f>IF(ISERROR(IF($V66="","",VLOOKUP(Z66,NewTransmu,4,TRUE))),"",IF($V66="","",VLOOKUP(Z66,NewTransmu,4,TRUE)))</f>
        <v>95</v>
      </c>
      <c r="AB66" t="str">
        <f>IF(ISERROR(IF(AA66="","",VLOOKUP(AA66,DESCRIPTORS,4,TRUE))),"",IF(AA66="","",VLOOKUP(AA66,DESCRIPTORS,4,TRUE)))</f>
        <v>Advancing</v>
      </c>
      <c r="AV66">
        <f>(T66/$T$10)*100</f>
        <v>77.5</v>
      </c>
      <c r="AW66">
        <f>(U66/$U$10)*100</f>
        <v>80</v>
      </c>
      <c r="AX66">
        <f>(V66/$V$10)*100</f>
        <v>72.5</v>
      </c>
    </row>
    <row r="67">
      <c r="A67">
        <v>5</v>
      </c>
      <c r="B67" t="str">
        <f>INPUT!B67</f>
        <v>Ilagan, Camille</v>
      </c>
      <c r="F67">
        <v>20</v>
      </c>
      <c r="G67">
        <v>20</v>
      </c>
      <c r="H67">
        <v>20</v>
      </c>
      <c r="I67">
        <v>20</v>
      </c>
      <c r="J67">
        <v>20</v>
      </c>
      <c r="K67">
        <f>IF(COUNT($F67:$J67)=0,"",SUM($F67:$J67))</f>
        <v>100</v>
      </c>
      <c r="L67">
        <f>IF(ISERROR(IF($K67="","",ROUND(($K67/$K$10)*$L$10,2))),"",IF($K67="","",ROUND(($K67/$K$10)*$L$10,2)))</f>
        <v>100</v>
      </c>
      <c r="M67">
        <f>IF($L67="","",ROUND($L67*$M$10,2))</f>
        <v>20</v>
      </c>
      <c r="N67">
        <v>50</v>
      </c>
      <c r="O67">
        <v>50</v>
      </c>
      <c r="P67">
        <v>50</v>
      </c>
      <c r="Q67">
        <f>IF(COUNT($N67:$P67)=0,"",SUM($N67:$P67))</f>
        <v>150</v>
      </c>
      <c r="R67">
        <f>IF(ISERROR(IF($Q67="","",ROUND(($Q67/$Q$10)*$R$10,2))),"",IF($Q67="","",ROUND(($Q67/$Q$10)*$R$10,2)))</f>
        <v>100</v>
      </c>
      <c r="S67">
        <f>IF($R67="","",ROUND($R67*$S$10,2))</f>
        <v>50</v>
      </c>
      <c r="T67">
        <v>33</v>
      </c>
      <c r="U67">
        <v>31</v>
      </c>
      <c r="V67">
        <v>30</v>
      </c>
      <c r="W67">
        <f>IF(COUNT($T67:$V67)=0,"",SUM($T67:$V67))</f>
        <v>94</v>
      </c>
      <c r="X67">
        <f>IF(ISERROR(IF($W67="","",ROUND(($W67/$W$10)*$X$10,2))),"",IF($W67="","",ROUND(($W67/$W$10)*$X$10,2)))</f>
        <v>78.33</v>
      </c>
      <c r="Y67">
        <f>IF($X67="","",ROUND($X67*$Y$10,2))</f>
        <v>23.5</v>
      </c>
      <c r="Z67">
        <f>IF(ISERROR(IF($V67="","",ROUND(SUM($M67,$S67,$Y67),2))),"",IF($V67="","",ROUND(SUM($M67,$S67,$Y67),2)))</f>
        <v>93.5</v>
      </c>
      <c r="AA67">
        <f>IF(ISERROR(IF($V67="","",VLOOKUP(Z67,NewTransmu,4,TRUE))),"",IF($V67="","",VLOOKUP(Z67,NewTransmu,4,TRUE)))</f>
        <v>95</v>
      </c>
      <c r="AB67" t="str">
        <f>IF(ISERROR(IF(AA67="","",VLOOKUP(AA67,DESCRIPTORS,4,TRUE))),"",IF(AA67="","",VLOOKUP(AA67,DESCRIPTORS,4,TRUE)))</f>
        <v>Advancing</v>
      </c>
      <c r="AV67">
        <f>(T67/$T$10)*100</f>
        <v>82.5</v>
      </c>
      <c r="AW67">
        <f>(U67/$U$10)*100</f>
        <v>77.5</v>
      </c>
      <c r="AX67">
        <f>(V67/$V$10)*100</f>
        <v>75</v>
      </c>
    </row>
    <row r="68">
      <c r="A68">
        <v>6</v>
      </c>
      <c r="B68" t="str">
        <f>INPUT!B68</f>
        <v>Jimenez, Carla</v>
      </c>
      <c r="F68">
        <v>20</v>
      </c>
      <c r="G68">
        <v>20</v>
      </c>
      <c r="H68">
        <v>20</v>
      </c>
      <c r="I68">
        <v>20</v>
      </c>
      <c r="J68">
        <v>20</v>
      </c>
      <c r="K68">
        <f>IF(COUNT($F68:$J68)=0,"",SUM($F68:$J68))</f>
        <v>100</v>
      </c>
      <c r="L68">
        <f>IF(ISERROR(IF($K68="","",ROUND(($K68/$K$10)*$L$10,2))),"",IF($K68="","",ROUND(($K68/$K$10)*$L$10,2)))</f>
        <v>100</v>
      </c>
      <c r="M68">
        <f>IF($L68="","",ROUND($L68*$M$10,2))</f>
        <v>20</v>
      </c>
      <c r="N68">
        <v>50</v>
      </c>
      <c r="O68">
        <v>50</v>
      </c>
      <c r="P68">
        <v>50</v>
      </c>
      <c r="Q68">
        <f>IF(COUNT($N68:$P68)=0,"",SUM($N68:$P68))</f>
        <v>150</v>
      </c>
      <c r="R68">
        <f>IF(ISERROR(IF($Q68="","",ROUND(($Q68/$Q$10)*$R$10,2))),"",IF($Q68="","",ROUND(($Q68/$Q$10)*$R$10,2)))</f>
        <v>100</v>
      </c>
      <c r="S68">
        <f>IF($R68="","",ROUND($R68*$S$10,2))</f>
        <v>50</v>
      </c>
      <c r="T68">
        <v>31</v>
      </c>
      <c r="U68">
        <v>30</v>
      </c>
      <c r="V68">
        <v>25</v>
      </c>
      <c r="W68">
        <f>IF(COUNT($T68:$V68)=0,"",SUM($T68:$V68))</f>
        <v>86</v>
      </c>
      <c r="X68">
        <f>IF(ISERROR(IF($W68="","",ROUND(($W68/$W$10)*$X$10,2))),"",IF($W68="","",ROUND(($W68/$W$10)*$X$10,2)))</f>
        <v>71.67</v>
      </c>
      <c r="Y68">
        <f>IF($X68="","",ROUND($X68*$Y$10,2))</f>
        <v>21.5</v>
      </c>
      <c r="Z68">
        <f>IF(ISERROR(IF($V68="","",ROUND(SUM($M68,$S68,$Y68),2))),"",IF($V68="","",ROUND(SUM($M68,$S68,$Y68),2)))</f>
        <v>91.5</v>
      </c>
      <c r="AA68">
        <f>IF(ISERROR(IF($V68="","",VLOOKUP(Z68,NewTransmu,4,TRUE))),"",IF($V68="","",VLOOKUP(Z68,NewTransmu,4,TRUE)))</f>
        <v>93</v>
      </c>
      <c r="AB68" t="str">
        <f>IF(ISERROR(IF(AA68="","",VLOOKUP(AA68,DESCRIPTORS,4,TRUE))),"",IF(AA68="","",VLOOKUP(AA68,DESCRIPTORS,4,TRUE)))</f>
        <v>Advancing</v>
      </c>
      <c r="AV68">
        <f>(T68/$T$10)*100</f>
        <v>77.5</v>
      </c>
      <c r="AW68">
        <f>(U68/$U$10)*100</f>
        <v>75</v>
      </c>
      <c r="AX68">
        <f>(V68/$V$10)*100</f>
        <v>62.5</v>
      </c>
    </row>
    <row r="69">
      <c r="A69">
        <v>7</v>
      </c>
      <c r="B69" t="str">
        <f>INPUT!B69</f>
        <v>Lacson, Chloe</v>
      </c>
      <c r="F69">
        <v>20</v>
      </c>
      <c r="G69">
        <v>20</v>
      </c>
      <c r="H69">
        <v>20</v>
      </c>
      <c r="I69">
        <v>20</v>
      </c>
      <c r="J69">
        <v>20</v>
      </c>
      <c r="K69">
        <f>IF(COUNT($F69:$J69)=0,"",SUM($F69:$J69))</f>
        <v>100</v>
      </c>
      <c r="L69">
        <f>IF(ISERROR(IF($K69="","",ROUND(($K69/$K$10)*$L$10,2))),"",IF($K69="","",ROUND(($K69/$K$10)*$L$10,2)))</f>
        <v>100</v>
      </c>
      <c r="M69">
        <f>IF($L69="","",ROUND($L69*$M$10,2))</f>
        <v>20</v>
      </c>
      <c r="N69">
        <v>50</v>
      </c>
      <c r="O69">
        <v>50</v>
      </c>
      <c r="P69">
        <v>50</v>
      </c>
      <c r="Q69">
        <f>IF(COUNT($N69:$P69)=0,"",SUM($N69:$P69))</f>
        <v>150</v>
      </c>
      <c r="R69">
        <f>IF(ISERROR(IF($Q69="","",ROUND(($Q69/$Q$10)*$R$10,2))),"",IF($Q69="","",ROUND(($Q69/$Q$10)*$R$10,2)))</f>
        <v>100</v>
      </c>
      <c r="S69">
        <f>IF($R69="","",ROUND($R69*$S$10,2))</f>
        <v>50</v>
      </c>
      <c r="T69">
        <v>33</v>
      </c>
      <c r="U69">
        <v>34</v>
      </c>
      <c r="V69">
        <v>33</v>
      </c>
      <c r="W69">
        <f>IF(COUNT($T69:$V69)=0,"",SUM($T69:$V69))</f>
        <v>100</v>
      </c>
      <c r="X69">
        <f>IF(ISERROR(IF($W69="","",ROUND(($W69/$W$10)*$X$10,2))),"",IF($W69="","",ROUND(($W69/$W$10)*$X$10,2)))</f>
        <v>83.33</v>
      </c>
      <c r="Y69">
        <f>IF($X69="","",ROUND($X69*$Y$10,2))</f>
        <v>25</v>
      </c>
      <c r="Z69">
        <f>IF(ISERROR(IF($V69="","",ROUND(SUM($M69,$S69,$Y69),2))),"",IF($V69="","",ROUND(SUM($M69,$S69,$Y69),2)))</f>
        <v>95</v>
      </c>
      <c r="AA69">
        <f>IF(ISERROR(IF($V69="","",VLOOKUP(Z69,NewTransmu,4,TRUE))),"",IF($V69="","",VLOOKUP(Z69,NewTransmu,4,TRUE)))</f>
        <v>97</v>
      </c>
      <c r="AB69" t="str">
        <f>IF(ISERROR(IF(AA69="","",VLOOKUP(AA69,DESCRIPTORS,4,TRUE))),"",IF(AA69="","",VLOOKUP(AA69,DESCRIPTORS,4,TRUE)))</f>
        <v>Advancing</v>
      </c>
      <c r="AV69">
        <f>(T69/$T$10)*100</f>
        <v>82.5</v>
      </c>
      <c r="AW69">
        <f>(U69/$U$10)*100</f>
        <v>85</v>
      </c>
      <c r="AX69">
        <f>(V69/$V$10)*100</f>
        <v>82.5</v>
      </c>
    </row>
    <row r="70">
      <c r="A70">
        <v>8</v>
      </c>
      <c r="B70" t="str">
        <f>INPUT!B70</f>
        <v>Lim, Clarisse</v>
      </c>
      <c r="F70">
        <v>20</v>
      </c>
      <c r="G70">
        <v>20</v>
      </c>
      <c r="H70">
        <v>20</v>
      </c>
      <c r="I70">
        <v>20</v>
      </c>
      <c r="J70">
        <v>20</v>
      </c>
      <c r="K70">
        <f>IF(COUNT($F70:$J70)=0,"",SUM($F70:$J70))</f>
        <v>100</v>
      </c>
      <c r="L70">
        <f>IF(ISERROR(IF($K70="","",ROUND(($K70/$K$10)*$L$10,2))),"",IF($K70="","",ROUND(($K70/$K$10)*$L$10,2)))</f>
        <v>100</v>
      </c>
      <c r="M70">
        <f>IF($L70="","",ROUND($L70*$M$10,2))</f>
        <v>20</v>
      </c>
      <c r="N70">
        <v>50</v>
      </c>
      <c r="O70">
        <v>50</v>
      </c>
      <c r="P70">
        <v>50</v>
      </c>
      <c r="Q70">
        <f>IF(COUNT($N70:$P70)=0,"",SUM($N70:$P70))</f>
        <v>150</v>
      </c>
      <c r="R70">
        <f>IF(ISERROR(IF($Q70="","",ROUND(($Q70/$Q$10)*$R$10,2))),"",IF($Q70="","",ROUND(($Q70/$Q$10)*$R$10,2)))</f>
        <v>100</v>
      </c>
      <c r="S70">
        <f>IF($R70="","",ROUND($R70*$S$10,2))</f>
        <v>50</v>
      </c>
      <c r="T70">
        <v>37</v>
      </c>
      <c r="U70">
        <v>39</v>
      </c>
      <c r="V70">
        <v>38</v>
      </c>
      <c r="W70">
        <f>IF(COUNT($T70:$V70)=0,"",SUM($T70:$V70))</f>
        <v>114</v>
      </c>
      <c r="X70">
        <f>IF(ISERROR(IF($W70="","",ROUND(($W70/$W$10)*$X$10,2))),"",IF($W70="","",ROUND(($W70/$W$10)*$X$10,2)))</f>
        <v>95</v>
      </c>
      <c r="Y70">
        <f>IF($X70="","",ROUND($X70*$Y$10,2))</f>
        <v>28.5</v>
      </c>
      <c r="Z70">
        <f>IF(ISERROR(IF($V70="","",ROUND(SUM($M70,$S70,$Y70),2))),"",IF($V70="","",ROUND(SUM($M70,$S70,$Y70),2)))</f>
        <v>98.5</v>
      </c>
      <c r="AA70">
        <f>IF(ISERROR(IF($V70="","",VLOOKUP(Z70,NewTransmu,4,TRUE))),"",IF($V70="","",VLOOKUP(Z70,NewTransmu,4,TRUE)))</f>
        <v>99</v>
      </c>
      <c r="AB70" t="str">
        <f>IF(ISERROR(IF(AA70="","",VLOOKUP(AA70,DESCRIPTORS,4,TRUE))),"",IF(AA70="","",VLOOKUP(AA70,DESCRIPTORS,4,TRUE)))</f>
        <v>Advancing</v>
      </c>
      <c r="AV70">
        <f>(T70/$T$10)*100</f>
        <v>92.5</v>
      </c>
      <c r="AW70">
        <f>(U70/$U$10)*100</f>
        <v>97.5</v>
      </c>
      <c r="AX70">
        <f>(V70/$V$10)*100</f>
        <v>95</v>
      </c>
    </row>
    <row r="71">
      <c r="A71">
        <v>9</v>
      </c>
      <c r="B71" t="str">
        <f>INPUT!B71</f>
        <v>Manalo, Danica</v>
      </c>
      <c r="F71">
        <v>20</v>
      </c>
      <c r="G71">
        <v>20</v>
      </c>
      <c r="H71">
        <v>20</v>
      </c>
      <c r="I71">
        <v>20</v>
      </c>
      <c r="J71">
        <v>20</v>
      </c>
      <c r="K71">
        <f>IF(COUNT($F71:$J71)=0,"",SUM($F71:$J71))</f>
        <v>100</v>
      </c>
      <c r="L71">
        <f>IF(ISERROR(IF($K71="","",ROUND(($K71/$K$10)*$L$10,2))),"",IF($K71="","",ROUND(($K71/$K$10)*$L$10,2)))</f>
        <v>100</v>
      </c>
      <c r="M71">
        <f>IF($L71="","",ROUND($L71*$M$10,2))</f>
        <v>20</v>
      </c>
      <c r="N71">
        <v>50</v>
      </c>
      <c r="O71">
        <v>50</v>
      </c>
      <c r="P71">
        <v>50</v>
      </c>
      <c r="Q71">
        <f>IF(COUNT($N71:$P71)=0,"",SUM($N71:$P71))</f>
        <v>150</v>
      </c>
      <c r="R71">
        <f>IF(ISERROR(IF($Q71="","",ROUND(($Q71/$Q$10)*$R$10,2))),"",IF($Q71="","",ROUND(($Q71/$Q$10)*$R$10,2)))</f>
        <v>100</v>
      </c>
      <c r="S71">
        <f>IF($R71="","",ROUND($R71*$S$10,2))</f>
        <v>50</v>
      </c>
      <c r="T71">
        <v>33</v>
      </c>
      <c r="U71">
        <v>35</v>
      </c>
      <c r="V71">
        <v>34</v>
      </c>
      <c r="W71">
        <f>IF(COUNT($T71:$V71)=0,"",SUM($T71:$V71))</f>
        <v>102</v>
      </c>
      <c r="X71">
        <f>IF(ISERROR(IF($W71="","",ROUND(($W71/$W$10)*$X$10,2))),"",IF($W71="","",ROUND(($W71/$W$10)*$X$10,2)))</f>
        <v>85</v>
      </c>
      <c r="Y71">
        <f>IF($X71="","",ROUND($X71*$Y$10,2))</f>
        <v>25.5</v>
      </c>
      <c r="Z71">
        <f>IF(ISERROR(IF($V71="","",ROUND(SUM($M71,$S71,$Y71),2))),"",IF($V71="","",ROUND(SUM($M71,$S71,$Y71),2)))</f>
        <v>95.5</v>
      </c>
      <c r="AA71">
        <f>IF(ISERROR(IF($V71="","",VLOOKUP(Z71,NewTransmu,4,TRUE))),"",IF($V71="","",VLOOKUP(Z71,NewTransmu,4,TRUE)))</f>
        <v>97</v>
      </c>
      <c r="AB71" t="str">
        <f>IF(ISERROR(IF(AA71="","",VLOOKUP(AA71,DESCRIPTORS,4,TRUE))),"",IF(AA71="","",VLOOKUP(AA71,DESCRIPTORS,4,TRUE)))</f>
        <v>Advancing</v>
      </c>
      <c r="AV71">
        <f>(T71/$T$10)*100</f>
        <v>82.5</v>
      </c>
      <c r="AW71">
        <f>(U71/$U$10)*100</f>
        <v>87.5</v>
      </c>
      <c r="AX71">
        <f>(V71/$V$10)*100</f>
        <v>85</v>
      </c>
    </row>
    <row r="72">
      <c r="A72">
        <v>10</v>
      </c>
      <c r="B72" t="str">
        <f>INPUT!B72</f>
        <v>Mendoza, Diana</v>
      </c>
      <c r="F72">
        <v>20</v>
      </c>
      <c r="G72">
        <v>20</v>
      </c>
      <c r="H72">
        <v>20</v>
      </c>
      <c r="I72">
        <v>20</v>
      </c>
      <c r="J72">
        <v>20</v>
      </c>
      <c r="K72">
        <f>IF(COUNT($F72:$J72)=0,"",SUM($F72:$J72))</f>
        <v>100</v>
      </c>
      <c r="L72">
        <f>IF(ISERROR(IF($K72="","",ROUND(($K72/$K$10)*$L$10,2))),"",IF($K72="","",ROUND(($K72/$K$10)*$L$10,2)))</f>
        <v>100</v>
      </c>
      <c r="M72">
        <f>IF($L72="","",ROUND($L72*$M$10,2))</f>
        <v>20</v>
      </c>
      <c r="N72">
        <v>50</v>
      </c>
      <c r="O72">
        <v>50</v>
      </c>
      <c r="P72">
        <v>50</v>
      </c>
      <c r="Q72">
        <f>IF(COUNT($N72:$P72)=0,"",SUM($N72:$P72))</f>
        <v>150</v>
      </c>
      <c r="R72">
        <f>IF(ISERROR(IF($Q72="","",ROUND(($Q72/$Q$10)*$R$10,2))),"",IF($Q72="","",ROUND(($Q72/$Q$10)*$R$10,2)))</f>
        <v>100</v>
      </c>
      <c r="S72">
        <f>IF($R72="","",ROUND($R72*$S$10,2))</f>
        <v>50</v>
      </c>
      <c r="T72">
        <v>32</v>
      </c>
      <c r="U72">
        <v>30</v>
      </c>
      <c r="V72">
        <v>32</v>
      </c>
      <c r="W72">
        <f>IF(COUNT($T72:$V72)=0,"",SUM($T72:$V72))</f>
        <v>94</v>
      </c>
      <c r="X72">
        <f>IF(ISERROR(IF($W72="","",ROUND(($W72/$W$10)*$X$10,2))),"",IF($W72="","",ROUND(($W72/$W$10)*$X$10,2)))</f>
        <v>78.33</v>
      </c>
      <c r="Y72">
        <f>IF($X72="","",ROUND($X72*$Y$10,2))</f>
        <v>23.5</v>
      </c>
      <c r="Z72">
        <f>IF(ISERROR(IF($V72="","",ROUND(SUM($M72,$S72,$Y72),2))),"",IF($V72="","",ROUND(SUM($M72,$S72,$Y72),2)))</f>
        <v>93.5</v>
      </c>
      <c r="AA72">
        <f>IF(ISERROR(IF($V72="","",VLOOKUP(Z72,NewTransmu,4,TRUE))),"",IF($V72="","",VLOOKUP(Z72,NewTransmu,4,TRUE)))</f>
        <v>95</v>
      </c>
      <c r="AB72" t="str">
        <f>IF(ISERROR(IF(AA72="","",VLOOKUP(AA72,DESCRIPTORS,4,TRUE))),"",IF(AA72="","",VLOOKUP(AA72,DESCRIPTORS,4,TRUE)))</f>
        <v>Advancing</v>
      </c>
      <c r="AV72">
        <f>(T72/$T$10)*100</f>
        <v>80</v>
      </c>
      <c r="AW72">
        <f>(U72/$U$10)*100</f>
        <v>75</v>
      </c>
      <c r="AX72">
        <f>(V72/$V$10)*100</f>
        <v>80</v>
      </c>
    </row>
    <row r="73">
      <c r="A73">
        <v>11</v>
      </c>
      <c r="B73" t="str">
        <f>INPUT!B73</f>
        <v>Navarro, Elena</v>
      </c>
      <c r="F73">
        <v>20</v>
      </c>
      <c r="G73">
        <v>20</v>
      </c>
      <c r="H73">
        <v>20</v>
      </c>
      <c r="I73">
        <v>20</v>
      </c>
      <c r="J73">
        <v>20</v>
      </c>
      <c r="K73">
        <f>IF(COUNT($F73:$J73)=0,"",SUM($F73:$J73))</f>
        <v>100</v>
      </c>
      <c r="L73">
        <f>IF(ISERROR(IF($K73="","",ROUND(($K73/$K$10)*$L$10,2))),"",IF($K73="","",ROUND(($K73/$K$10)*$L$10,2)))</f>
        <v>100</v>
      </c>
      <c r="M73">
        <f>IF($L73="","",ROUND($L73*$M$10,2))</f>
        <v>20</v>
      </c>
      <c r="N73">
        <v>50</v>
      </c>
      <c r="O73">
        <v>50</v>
      </c>
      <c r="P73">
        <v>50</v>
      </c>
      <c r="Q73">
        <f>IF(COUNT($N73:$P73)=0,"",SUM($N73:$P73))</f>
        <v>150</v>
      </c>
      <c r="R73">
        <f>IF(ISERROR(IF($Q73="","",ROUND(($Q73/$Q$10)*$R$10,2))),"",IF($Q73="","",ROUND(($Q73/$Q$10)*$R$10,2)))</f>
        <v>100</v>
      </c>
      <c r="S73">
        <f>IF($R73="","",ROUND($R73*$S$10,2))</f>
        <v>50</v>
      </c>
      <c r="T73">
        <v>34</v>
      </c>
      <c r="U73">
        <v>34</v>
      </c>
      <c r="V73">
        <v>34</v>
      </c>
      <c r="W73">
        <f>IF(COUNT($T73:$V73)=0,"",SUM($T73:$V73))</f>
        <v>102</v>
      </c>
      <c r="X73">
        <f>IF(ISERROR(IF($W73="","",ROUND(($W73/$W$10)*$X$10,2))),"",IF($W73="","",ROUND(($W73/$W$10)*$X$10,2)))</f>
        <v>85</v>
      </c>
      <c r="Y73">
        <f>IF($X73="","",ROUND($X73*$Y$10,2))</f>
        <v>25.5</v>
      </c>
      <c r="Z73">
        <f>IF(ISERROR(IF($V73="","",ROUND(SUM($M73,$S73,$Y73),2))),"",IF($V73="","",ROUND(SUM($M73,$S73,$Y73),2)))</f>
        <v>95.5</v>
      </c>
      <c r="AA73">
        <f>IF(ISERROR(IF($V73="","",VLOOKUP(Z73,NewTransmu,4,TRUE))),"",IF($V73="","",VLOOKUP(Z73,NewTransmu,4,TRUE)))</f>
        <v>97</v>
      </c>
      <c r="AB73" t="str">
        <f>IF(ISERROR(IF(AA73="","",VLOOKUP(AA73,DESCRIPTORS,4,TRUE))),"",IF(AA73="","",VLOOKUP(AA73,DESCRIPTORS,4,TRUE)))</f>
        <v>Advancing</v>
      </c>
      <c r="AV73">
        <f>(T73/$T$10)*100</f>
        <v>85</v>
      </c>
      <c r="AW73">
        <f>(U73/$U$10)*100</f>
        <v>85</v>
      </c>
      <c r="AX73">
        <f>(V73/$V$10)*100</f>
        <v>85</v>
      </c>
    </row>
    <row r="74">
      <c r="A74">
        <v>12</v>
      </c>
      <c r="B74" t="str">
        <f>INPUT!B74</f>
        <v>Ocampo, Ella</v>
      </c>
      <c r="F74">
        <v>20</v>
      </c>
      <c r="G74">
        <v>20</v>
      </c>
      <c r="H74">
        <v>20</v>
      </c>
      <c r="I74">
        <v>20</v>
      </c>
      <c r="J74">
        <v>20</v>
      </c>
      <c r="K74">
        <f>IF(COUNT($F74:$J74)=0,"",SUM($F74:$J74))</f>
        <v>100</v>
      </c>
      <c r="L74">
        <f>IF(ISERROR(IF($K74="","",ROUND(($K74/$K$10)*$L$10,2))),"",IF($K74="","",ROUND(($K74/$K$10)*$L$10,2)))</f>
        <v>100</v>
      </c>
      <c r="M74">
        <f>IF($L74="","",ROUND($L74*$M$10,2))</f>
        <v>20</v>
      </c>
      <c r="N74">
        <v>50</v>
      </c>
      <c r="O74">
        <v>50</v>
      </c>
      <c r="P74">
        <v>50</v>
      </c>
      <c r="Q74">
        <f>IF(COUNT($N74:$P74)=0,"",SUM($N74:$P74))</f>
        <v>150</v>
      </c>
      <c r="R74">
        <f>IF(ISERROR(IF($Q74="","",ROUND(($Q74/$Q$10)*$R$10,2))),"",IF($Q74="","",ROUND(($Q74/$Q$10)*$R$10,2)))</f>
        <v>100</v>
      </c>
      <c r="S74">
        <f>IF($R74="","",ROUND($R74*$S$10,2))</f>
        <v>50</v>
      </c>
      <c r="T74">
        <v>26</v>
      </c>
      <c r="U74">
        <v>33</v>
      </c>
      <c r="V74">
        <v>32</v>
      </c>
      <c r="W74">
        <f>IF(COUNT($T74:$V74)=0,"",SUM($T74:$V74))</f>
        <v>91</v>
      </c>
      <c r="X74">
        <f>IF(ISERROR(IF($W74="","",ROUND(($W74/$W$10)*$X$10,2))),"",IF($W74="","",ROUND(($W74/$W$10)*$X$10,2)))</f>
        <v>75.83</v>
      </c>
      <c r="Y74">
        <f>IF($X74="","",ROUND($X74*$Y$10,2))</f>
        <v>22.75</v>
      </c>
      <c r="Z74">
        <f>IF(ISERROR(IF($V74="","",ROUND(SUM($M74,$S74,$Y74),2))),"",IF($V74="","",ROUND(SUM($M74,$S74,$Y74),2)))</f>
        <v>92.75</v>
      </c>
      <c r="AA74">
        <f>IF(ISERROR(IF($V74="","",VLOOKUP(Z74,NewTransmu,4,TRUE))),"",IF($V74="","",VLOOKUP(Z74,NewTransmu,4,TRUE)))</f>
        <v>94</v>
      </c>
      <c r="AB74" t="str">
        <f>IF(ISERROR(IF(AA74="","",VLOOKUP(AA74,DESCRIPTORS,4,TRUE))),"",IF(AA74="","",VLOOKUP(AA74,DESCRIPTORS,4,TRUE)))</f>
        <v>Advancing</v>
      </c>
      <c r="AV74">
        <f>(T74/$T$10)*100</f>
        <v>65</v>
      </c>
      <c r="AW74">
        <f>(U74/$U$10)*100</f>
        <v>82.5</v>
      </c>
      <c r="AX74">
        <f>(V74/$V$10)*100</f>
        <v>80</v>
      </c>
    </row>
    <row r="75">
      <c r="A75">
        <v>13</v>
      </c>
      <c r="B75" t="str">
        <f>INPUT!B75</f>
        <v>Ortega, Erika</v>
      </c>
      <c r="F75">
        <v>20</v>
      </c>
      <c r="G75">
        <v>20</v>
      </c>
      <c r="H75">
        <v>20</v>
      </c>
      <c r="I75">
        <v>20</v>
      </c>
      <c r="J75">
        <v>20</v>
      </c>
      <c r="K75">
        <f>IF(COUNT($F75:$J75)=0,"",SUM($F75:$J75))</f>
        <v>100</v>
      </c>
      <c r="L75">
        <f>IF(ISERROR(IF($K75="","",ROUND(($K75/$K$10)*$L$10,2))),"",IF($K75="","",ROUND(($K75/$K$10)*$L$10,2)))</f>
        <v>100</v>
      </c>
      <c r="M75">
        <f>IF($L75="","",ROUND($L75*$M$10,2))</f>
        <v>20</v>
      </c>
      <c r="N75">
        <v>50</v>
      </c>
      <c r="O75">
        <v>50</v>
      </c>
      <c r="P75">
        <v>50</v>
      </c>
      <c r="Q75">
        <f>IF(COUNT($N75:$P75)=0,"",SUM($N75:$P75))</f>
        <v>150</v>
      </c>
      <c r="R75">
        <f>IF(ISERROR(IF($Q75="","",ROUND(($Q75/$Q$10)*$R$10,2))),"",IF($Q75="","",ROUND(($Q75/$Q$10)*$R$10,2)))</f>
        <v>100</v>
      </c>
      <c r="S75">
        <f>IF($R75="","",ROUND($R75*$S$10,2))</f>
        <v>50</v>
      </c>
      <c r="T75">
        <v>40</v>
      </c>
      <c r="U75">
        <v>39</v>
      </c>
      <c r="V75">
        <v>40</v>
      </c>
      <c r="W75">
        <f>IF(COUNT($T75:$V75)=0,"",SUM($T75:$V75))</f>
        <v>119</v>
      </c>
      <c r="X75">
        <f>IF(ISERROR(IF($W75="","",ROUND(($W75/$W$10)*$X$10,2))),"",IF($W75="","",ROUND(($W75/$W$10)*$X$10,2)))</f>
        <v>99.17</v>
      </c>
      <c r="Y75">
        <f>IF($X75="","",ROUND($X75*$Y$10,2))</f>
        <v>29.75</v>
      </c>
      <c r="Z75">
        <f>IF(ISERROR(IF($V75="","",ROUND(SUM($M75,$S75,$Y75),2))),"",IF($V75="","",ROUND(SUM($M75,$S75,$Y75),2)))</f>
        <v>99.75</v>
      </c>
      <c r="AA75">
        <f>IF(ISERROR(IF($V75="","",VLOOKUP(Z75,NewTransmu,4,TRUE))),"",IF($V75="","",VLOOKUP(Z75,NewTransmu,4,TRUE)))</f>
        <v>100</v>
      </c>
      <c r="AB75" t="str">
        <f>IF(ISERROR(IF(AA75="","",VLOOKUP(AA75,DESCRIPTORS,4,TRUE))),"",IF(AA75="","",VLOOKUP(AA75,DESCRIPTORS,4,TRUE)))</f>
        <v>Advancing</v>
      </c>
      <c r="AV75">
        <f>(T75/$T$10)*100</f>
        <v>100</v>
      </c>
      <c r="AW75">
        <f>(U75/$U$10)*100</f>
        <v>97.5</v>
      </c>
      <c r="AX75">
        <f>(V75/$V$10)*100</f>
        <v>100</v>
      </c>
    </row>
    <row r="76">
      <c r="A76">
        <v>14</v>
      </c>
      <c r="B76" t="str">
        <f>INPUT!B76</f>
        <v>Pascual, Faith</v>
      </c>
      <c r="F76">
        <v>20</v>
      </c>
      <c r="G76">
        <v>20</v>
      </c>
      <c r="H76">
        <v>20</v>
      </c>
      <c r="I76">
        <v>20</v>
      </c>
      <c r="J76">
        <v>20</v>
      </c>
      <c r="K76">
        <f>IF(COUNT($F76:$J76)=0,"",SUM($F76:$J76))</f>
        <v>100</v>
      </c>
      <c r="L76">
        <f>IF(ISERROR(IF($K76="","",ROUND(($K76/$K$10)*$L$10,2))),"",IF($K76="","",ROUND(($K76/$K$10)*$L$10,2)))</f>
        <v>100</v>
      </c>
      <c r="M76">
        <f>IF($L76="","",ROUND($L76*$M$10,2))</f>
        <v>20</v>
      </c>
      <c r="N76">
        <v>50</v>
      </c>
      <c r="O76">
        <v>50</v>
      </c>
      <c r="P76">
        <v>50</v>
      </c>
      <c r="Q76">
        <f>IF(COUNT($N76:$P76)=0,"",SUM($N76:$P76))</f>
        <v>150</v>
      </c>
      <c r="R76">
        <f>IF(ISERROR(IF($Q76="","",ROUND(($Q76/$Q$10)*$R$10,2))),"",IF($Q76="","",ROUND(($Q76/$Q$10)*$R$10,2)))</f>
        <v>100</v>
      </c>
      <c r="S76">
        <f>IF($R76="","",ROUND($R76*$S$10,2))</f>
        <v>50</v>
      </c>
      <c r="T76">
        <v>36</v>
      </c>
      <c r="U76">
        <v>35</v>
      </c>
      <c r="V76">
        <v>35</v>
      </c>
      <c r="W76">
        <f>IF(COUNT($T76:$V76)=0,"",SUM($T76:$V76))</f>
        <v>106</v>
      </c>
      <c r="X76">
        <f>IF(ISERROR(IF($W76="","",ROUND(($W76/$W$10)*$X$10,2))),"",IF($W76="","",ROUND(($W76/$W$10)*$X$10,2)))</f>
        <v>88.33</v>
      </c>
      <c r="Y76">
        <f>IF($X76="","",ROUND($X76*$Y$10,2))</f>
        <v>26.5</v>
      </c>
      <c r="Z76">
        <f>IF(ISERROR(IF($V76="","",ROUND(SUM($M76,$S76,$Y76),2))),"",IF($V76="","",ROUND(SUM($M76,$S76,$Y76),2)))</f>
        <v>96.5</v>
      </c>
      <c r="AA76">
        <f>IF(ISERROR(IF($V76="","",VLOOKUP(Z76,NewTransmu,4,TRUE))),"",IF($V76="","",VLOOKUP(Z76,NewTransmu,4,TRUE)))</f>
        <v>98</v>
      </c>
      <c r="AB76" t="str">
        <f>IF(ISERROR(IF(AA76="","",VLOOKUP(AA76,DESCRIPTORS,4,TRUE))),"",IF(AA76="","",VLOOKUP(AA76,DESCRIPTORS,4,TRUE)))</f>
        <v>Advancing</v>
      </c>
      <c r="AV76">
        <f>(T76/$T$10)*100</f>
        <v>90</v>
      </c>
      <c r="AW76">
        <f>(U76/$U$10)*100</f>
        <v>87.5</v>
      </c>
      <c r="AX76">
        <f>(V76/$V$10)*100</f>
        <v>87.5</v>
      </c>
    </row>
    <row r="77">
      <c r="A77">
        <v>15</v>
      </c>
      <c r="B77" t="str">
        <f>INPUT!B77</f>
        <v>Quizon, Gabrielle</v>
      </c>
      <c r="F77">
        <v>20</v>
      </c>
      <c r="G77">
        <v>20</v>
      </c>
      <c r="H77">
        <v>20</v>
      </c>
      <c r="I77">
        <v>20</v>
      </c>
      <c r="J77">
        <v>20</v>
      </c>
      <c r="K77">
        <f>IF(COUNT($F77:$J77)=0,"",SUM($F77:$J77))</f>
        <v>100</v>
      </c>
      <c r="L77">
        <f>IF(ISERROR(IF($K77="","",ROUND(($K77/$K$10)*$L$10,2))),"",IF($K77="","",ROUND(($K77/$K$10)*$L$10,2)))</f>
        <v>100</v>
      </c>
      <c r="M77">
        <f>IF($L77="","",ROUND($L77*$M$10,2))</f>
        <v>20</v>
      </c>
      <c r="N77">
        <v>50</v>
      </c>
      <c r="O77">
        <v>50</v>
      </c>
      <c r="P77">
        <v>50</v>
      </c>
      <c r="Q77">
        <f>IF(COUNT($N77:$P77)=0,"",SUM($N77:$P77))</f>
        <v>150</v>
      </c>
      <c r="R77">
        <f>IF(ISERROR(IF($Q77="","",ROUND(($Q77/$Q$10)*$R$10,2))),"",IF($Q77="","",ROUND(($Q77/$Q$10)*$R$10,2)))</f>
        <v>100</v>
      </c>
      <c r="S77">
        <f>IF($R77="","",ROUND($R77*$S$10,2))</f>
        <v>50</v>
      </c>
      <c r="T77">
        <v>38</v>
      </c>
      <c r="U77">
        <v>40</v>
      </c>
      <c r="V77">
        <v>37</v>
      </c>
      <c r="W77">
        <f>IF(COUNT($T77:$V77)=0,"",SUM($T77:$V77))</f>
        <v>115</v>
      </c>
      <c r="X77">
        <f>IF(ISERROR(IF($W77="","",ROUND(($W77/$W$10)*$X$10,2))),"",IF($W77="","",ROUND(($W77/$W$10)*$X$10,2)))</f>
        <v>95.83</v>
      </c>
      <c r="Y77">
        <f>IF($X77="","",ROUND($X77*$Y$10,2))</f>
        <v>28.75</v>
      </c>
      <c r="Z77">
        <f>IF(ISERROR(IF($V77="","",ROUND(SUM($M77,$S77,$Y77),2))),"",IF($V77="","",ROUND(SUM($M77,$S77,$Y77),2)))</f>
        <v>98.75</v>
      </c>
      <c r="AA77">
        <f>IF(ISERROR(IF($V77="","",VLOOKUP(Z77,NewTransmu,4,TRUE))),"",IF($V77="","",VLOOKUP(Z77,NewTransmu,4,TRUE)))</f>
        <v>99</v>
      </c>
      <c r="AB77" t="str">
        <f>IF(ISERROR(IF(AA77="","",VLOOKUP(AA77,DESCRIPTORS,4,TRUE))),"",IF(AA77="","",VLOOKUP(AA77,DESCRIPTORS,4,TRUE)))</f>
        <v>Advancing</v>
      </c>
      <c r="AV77">
        <f>(T77/$T$10)*100</f>
        <v>95</v>
      </c>
      <c r="AW77">
        <f>(U77/$U$10)*100</f>
        <v>100</v>
      </c>
      <c r="AX77">
        <f>(V77/$V$10)*100</f>
        <v>92.5</v>
      </c>
    </row>
    <row r="78">
      <c r="A78">
        <v>16</v>
      </c>
      <c r="B78" t="str">
        <f>INPUT!B78</f>
        <v>Ramos, Hannah</v>
      </c>
      <c r="F78">
        <v>20</v>
      </c>
      <c r="G78">
        <v>20</v>
      </c>
      <c r="H78">
        <v>20</v>
      </c>
      <c r="I78">
        <v>20</v>
      </c>
      <c r="J78">
        <v>20</v>
      </c>
      <c r="K78">
        <f>IF(COUNT($F78:$J78)=0,"",SUM($F78:$J78))</f>
        <v>100</v>
      </c>
      <c r="L78">
        <f>IF(ISERROR(IF($K78="","",ROUND(($K78/$K$10)*$L$10,2))),"",IF($K78="","",ROUND(($K78/$K$10)*$L$10,2)))</f>
        <v>100</v>
      </c>
      <c r="M78">
        <f>IF($L78="","",ROUND($L78*$M$10,2))</f>
        <v>20</v>
      </c>
      <c r="N78">
        <v>50</v>
      </c>
      <c r="O78">
        <v>50</v>
      </c>
      <c r="P78">
        <v>50</v>
      </c>
      <c r="Q78">
        <f>IF(COUNT($N78:$P78)=0,"",SUM($N78:$P78))</f>
        <v>150</v>
      </c>
      <c r="R78">
        <f>IF(ISERROR(IF($Q78="","",ROUND(($Q78/$Q$10)*$R$10,2))),"",IF($Q78="","",ROUND(($Q78/$Q$10)*$R$10,2)))</f>
        <v>100</v>
      </c>
      <c r="S78">
        <f>IF($R78="","",ROUND($R78*$S$10,2))</f>
        <v>50</v>
      </c>
      <c r="T78">
        <v>32</v>
      </c>
      <c r="U78">
        <v>29</v>
      </c>
      <c r="V78">
        <v>31</v>
      </c>
      <c r="W78">
        <f>IF(COUNT($T78:$V78)=0,"",SUM($T78:$V78))</f>
        <v>92</v>
      </c>
      <c r="X78">
        <f>IF(ISERROR(IF($W78="","",ROUND(($W78/$W$10)*$X$10,2))),"",IF($W78="","",ROUND(($W78/$W$10)*$X$10,2)))</f>
        <v>76.67</v>
      </c>
      <c r="Y78">
        <f>IF($X78="","",ROUND($X78*$Y$10,2))</f>
        <v>23</v>
      </c>
      <c r="Z78">
        <f>IF(ISERROR(IF($V78="","",ROUND(SUM($M78,$S78,$Y78),2))),"",IF($V78="","",ROUND(SUM($M78,$S78,$Y78),2)))</f>
        <v>93</v>
      </c>
      <c r="AA78">
        <f>IF(ISERROR(IF($V78="","",VLOOKUP(Z78,NewTransmu,4,TRUE))),"",IF($V78="","",VLOOKUP(Z78,NewTransmu,4,TRUE)))</f>
        <v>95</v>
      </c>
      <c r="AB78" t="str">
        <f>IF(ISERROR(IF(AA78="","",VLOOKUP(AA78,DESCRIPTORS,4,TRUE))),"",IF(AA78="","",VLOOKUP(AA78,DESCRIPTORS,4,TRUE)))</f>
        <v>Advancing</v>
      </c>
      <c r="AV78">
        <f>(T78/$T$10)*100</f>
        <v>80</v>
      </c>
      <c r="AW78">
        <f>(U78/$U$10)*100</f>
        <v>72.5</v>
      </c>
      <c r="AX78">
        <f>(V78/$V$10)*100</f>
        <v>77.5</v>
      </c>
    </row>
    <row r="79">
      <c r="A79">
        <v>17</v>
      </c>
      <c r="B79" t="str">
        <f>INPUT!B79</f>
        <v>Reyes, Isabelle</v>
      </c>
      <c r="F79">
        <v>20</v>
      </c>
      <c r="G79">
        <v>20</v>
      </c>
      <c r="H79">
        <v>20</v>
      </c>
      <c r="I79">
        <v>20</v>
      </c>
      <c r="J79">
        <v>20</v>
      </c>
      <c r="K79">
        <f>IF(COUNT($F79:$J79)=0,"",SUM($F79:$J79))</f>
        <v>100</v>
      </c>
      <c r="L79">
        <f>IF(ISERROR(IF($K79="","",ROUND(($K79/$K$10)*$L$10,2))),"",IF($K79="","",ROUND(($K79/$K$10)*$L$10,2)))</f>
        <v>100</v>
      </c>
      <c r="M79">
        <f>IF($L79="","",ROUND($L79*$M$10,2))</f>
        <v>20</v>
      </c>
      <c r="N79">
        <v>50</v>
      </c>
      <c r="O79">
        <v>50</v>
      </c>
      <c r="P79">
        <v>50</v>
      </c>
      <c r="Q79">
        <f>IF(COUNT($N79:$P79)=0,"",SUM($N79:$P79))</f>
        <v>150</v>
      </c>
      <c r="R79">
        <f>IF(ISERROR(IF($Q79="","",ROUND(($Q79/$Q$10)*$R$10,2))),"",IF($Q79="","",ROUND(($Q79/$Q$10)*$R$10,2)))</f>
        <v>100</v>
      </c>
      <c r="S79">
        <f>IF($R79="","",ROUND($R79*$S$10,2))</f>
        <v>50</v>
      </c>
      <c r="T79">
        <v>33</v>
      </c>
      <c r="U79">
        <v>31</v>
      </c>
      <c r="V79">
        <v>34</v>
      </c>
      <c r="W79">
        <f>IF(COUNT($T79:$V79)=0,"",SUM($T79:$V79))</f>
        <v>98</v>
      </c>
      <c r="X79">
        <f>IF(ISERROR(IF($W79="","",ROUND(($W79/$W$10)*$X$10,2))),"",IF($W79="","",ROUND(($W79/$W$10)*$X$10,2)))</f>
        <v>81.67</v>
      </c>
      <c r="Y79">
        <f>IF($X79="","",ROUND($X79*$Y$10,2))</f>
        <v>24.5</v>
      </c>
      <c r="Z79">
        <f>IF(ISERROR(IF($V79="","",ROUND(SUM($M79,$S79,$Y79),2))),"",IF($V79="","",ROUND(SUM($M79,$S79,$Y79),2)))</f>
        <v>94.5</v>
      </c>
      <c r="AA79">
        <f>IF(ISERROR(IF($V79="","",VLOOKUP(Z79,NewTransmu,4,TRUE))),"",IF($V79="","",VLOOKUP(Z79,NewTransmu,4,TRUE)))</f>
        <v>96</v>
      </c>
      <c r="AB79" t="str">
        <f>IF(ISERROR(IF(AA79="","",VLOOKUP(AA79,DESCRIPTORS,4,TRUE))),"",IF(AA79="","",VLOOKUP(AA79,DESCRIPTORS,4,TRUE)))</f>
        <v>Advancing</v>
      </c>
      <c r="AV79">
        <f>(T79/$T$10)*100</f>
        <v>82.5</v>
      </c>
      <c r="AW79">
        <f>(U79/$U$10)*100</f>
        <v>77.5</v>
      </c>
      <c r="AX79">
        <f>(V79/$V$10)*100</f>
        <v>85</v>
      </c>
    </row>
    <row r="80">
      <c r="A80">
        <v>18</v>
      </c>
      <c r="B80" t="str">
        <f>INPUT!B80</f>
        <v>Rivera, Jasmine</v>
      </c>
      <c r="F80">
        <v>20</v>
      </c>
      <c r="G80">
        <v>20</v>
      </c>
      <c r="H80">
        <v>20</v>
      </c>
      <c r="I80">
        <v>20</v>
      </c>
      <c r="J80">
        <v>20</v>
      </c>
      <c r="K80">
        <f>IF(COUNT($F80:$J80)=0,"",SUM($F80:$J80))</f>
        <v>100</v>
      </c>
      <c r="L80">
        <f>IF(ISERROR(IF($K80="","",ROUND(($K80/$K$10)*$L$10,2))),"",IF($K80="","",ROUND(($K80/$K$10)*$L$10,2)))</f>
        <v>100</v>
      </c>
      <c r="M80">
        <f>IF($L80="","",ROUND($L80*$M$10,2))</f>
        <v>20</v>
      </c>
      <c r="N80">
        <v>50</v>
      </c>
      <c r="O80">
        <v>50</v>
      </c>
      <c r="P80">
        <v>50</v>
      </c>
      <c r="Q80">
        <f>IF(COUNT($N80:$P80)=0,"",SUM($N80:$P80))</f>
        <v>150</v>
      </c>
      <c r="R80">
        <f>IF(ISERROR(IF($Q80="","",ROUND(($Q80/$Q$10)*$R$10,2))),"",IF($Q80="","",ROUND(($Q80/$Q$10)*$R$10,2)))</f>
        <v>100</v>
      </c>
      <c r="S80">
        <f>IF($R80="","",ROUND($R80*$S$10,2))</f>
        <v>50</v>
      </c>
      <c r="T80">
        <v>36</v>
      </c>
      <c r="U80">
        <v>34</v>
      </c>
      <c r="V80">
        <v>38</v>
      </c>
      <c r="W80">
        <f>IF(COUNT($T80:$V80)=0,"",SUM($T80:$V80))</f>
        <v>108</v>
      </c>
      <c r="X80">
        <f>IF(ISERROR(IF($W80="","",ROUND(($W80/$W$10)*$X$10,2))),"",IF($W80="","",ROUND(($W80/$W$10)*$X$10,2)))</f>
        <v>90</v>
      </c>
      <c r="Y80">
        <f>IF($X80="","",ROUND($X80*$Y$10,2))</f>
        <v>27</v>
      </c>
      <c r="Z80">
        <f>IF(ISERROR(IF($V80="","",ROUND(SUM($M80,$S80,$Y80),2))),"",IF($V80="","",ROUND(SUM($M80,$S80,$Y80),2)))</f>
        <v>97</v>
      </c>
      <c r="AA80">
        <f>IF(ISERROR(IF($V80="","",VLOOKUP(Z80,NewTransmu,4,TRUE))),"",IF($V80="","",VLOOKUP(Z80,NewTransmu,4,TRUE)))</f>
        <v>98</v>
      </c>
      <c r="AB80" t="str">
        <f>IF(ISERROR(IF(AA80="","",VLOOKUP(AA80,DESCRIPTORS,4,TRUE))),"",IF(AA80="","",VLOOKUP(AA80,DESCRIPTORS,4,TRUE)))</f>
        <v>Advancing</v>
      </c>
      <c r="AV80">
        <f>(T80/$T$10)*100</f>
        <v>90</v>
      </c>
      <c r="AW80">
        <f>(U80/$U$10)*100</f>
        <v>85</v>
      </c>
      <c r="AX80">
        <f>(V80/$V$10)*100</f>
        <v>95</v>
      </c>
    </row>
    <row r="81">
      <c r="A81">
        <v>19</v>
      </c>
      <c r="B81" t="str">
        <f>INPUT!B81</f>
        <v>Rosales, Jillian</v>
      </c>
      <c r="F81">
        <v>20</v>
      </c>
      <c r="G81">
        <v>20</v>
      </c>
      <c r="H81">
        <v>20</v>
      </c>
      <c r="I81">
        <v>20</v>
      </c>
      <c r="J81">
        <v>20</v>
      </c>
      <c r="K81">
        <f>IF(COUNT($F81:$J81)=0,"",SUM($F81:$J81))</f>
        <v>100</v>
      </c>
      <c r="L81">
        <f>IF(ISERROR(IF($K81="","",ROUND(($K81/$K$10)*$L$10,2))),"",IF($K81="","",ROUND(($K81/$K$10)*$L$10,2)))</f>
        <v>100</v>
      </c>
      <c r="M81">
        <f>IF($L81="","",ROUND($L81*$M$10,2))</f>
        <v>20</v>
      </c>
      <c r="N81">
        <v>50</v>
      </c>
      <c r="O81">
        <v>50</v>
      </c>
      <c r="P81">
        <v>50</v>
      </c>
      <c r="Q81">
        <f>IF(COUNT($N81:$P81)=0,"",SUM($N81:$P81))</f>
        <v>150</v>
      </c>
      <c r="R81">
        <f>IF(ISERROR(IF($Q81="","",ROUND(($Q81/$Q$10)*$R$10,2))),"",IF($Q81="","",ROUND(($Q81/$Q$10)*$R$10,2)))</f>
        <v>100</v>
      </c>
      <c r="S81">
        <f>IF($R81="","",ROUND($R81*$S$10,2))</f>
        <v>50</v>
      </c>
      <c r="T81">
        <v>33</v>
      </c>
      <c r="U81">
        <v>32</v>
      </c>
      <c r="V81">
        <v>32</v>
      </c>
      <c r="W81">
        <f>IF(COUNT($T81:$V81)=0,"",SUM($T81:$V81))</f>
        <v>97</v>
      </c>
      <c r="X81">
        <f>IF(ISERROR(IF($W81="","",ROUND(($W81/$W$10)*$X$10,2))),"",IF($W81="","",ROUND(($W81/$W$10)*$X$10,2)))</f>
        <v>80.83</v>
      </c>
      <c r="Y81">
        <f>IF($X81="","",ROUND($X81*$Y$10,2))</f>
        <v>24.25</v>
      </c>
      <c r="Z81">
        <f>IF(ISERROR(IF($V81="","",ROUND(SUM($M81,$S81,$Y81),2))),"",IF($V81="","",ROUND(SUM($M81,$S81,$Y81),2)))</f>
        <v>94.25</v>
      </c>
      <c r="AA81">
        <f>IF(ISERROR(IF($V81="","",VLOOKUP(Z81,NewTransmu,4,TRUE))),"",IF($V81="","",VLOOKUP(Z81,NewTransmu,4,TRUE)))</f>
        <v>96</v>
      </c>
      <c r="AB81" t="str">
        <f>IF(ISERROR(IF(AA81="","",VLOOKUP(AA81,DESCRIPTORS,4,TRUE))),"",IF(AA81="","",VLOOKUP(AA81,DESCRIPTORS,4,TRUE)))</f>
        <v>Advancing</v>
      </c>
      <c r="AV81">
        <f>(T81/$T$10)*100</f>
        <v>82.5</v>
      </c>
      <c r="AW81">
        <f>(U81/$U$10)*100</f>
        <v>80</v>
      </c>
      <c r="AX81">
        <f>(V81/$V$10)*100</f>
        <v>80</v>
      </c>
    </row>
    <row r="82">
      <c r="A82">
        <v>20</v>
      </c>
      <c r="B82" t="str">
        <f>INPUT!B82</f>
        <v>Salazar, Julia</v>
      </c>
      <c r="F82">
        <v>20</v>
      </c>
      <c r="G82">
        <v>20</v>
      </c>
      <c r="H82">
        <v>20</v>
      </c>
      <c r="I82">
        <v>20</v>
      </c>
      <c r="J82">
        <v>20</v>
      </c>
      <c r="K82">
        <f>IF(COUNT($F82:$J82)=0,"",SUM($F82:$J82))</f>
        <v>100</v>
      </c>
      <c r="L82">
        <f>IF(ISERROR(IF($K82="","",ROUND(($K82/$K$10)*$L$10,2))),"",IF($K82="","",ROUND(($K82/$K$10)*$L$10,2)))</f>
        <v>100</v>
      </c>
      <c r="M82">
        <f>IF($L82="","",ROUND($L82*$M$10,2))</f>
        <v>20</v>
      </c>
      <c r="N82">
        <v>50</v>
      </c>
      <c r="O82">
        <v>50</v>
      </c>
      <c r="P82">
        <v>50</v>
      </c>
      <c r="Q82">
        <f>IF(COUNT($N82:$P82)=0,"",SUM($N82:$P82))</f>
        <v>150</v>
      </c>
      <c r="R82">
        <f>IF(ISERROR(IF($Q82="","",ROUND(($Q82/$Q$10)*$R$10,2))),"",IF($Q82="","",ROUND(($Q82/$Q$10)*$R$10,2)))</f>
        <v>100</v>
      </c>
      <c r="S82">
        <f>IF($R82="","",ROUND($R82*$S$10,2))</f>
        <v>50</v>
      </c>
      <c r="T82">
        <v>31</v>
      </c>
      <c r="U82">
        <v>32</v>
      </c>
      <c r="V82">
        <v>29</v>
      </c>
      <c r="W82">
        <f>IF(COUNT($T82:$V82)=0,"",SUM($T82:$V82))</f>
        <v>92</v>
      </c>
      <c r="X82">
        <f>IF(ISERROR(IF($W82="","",ROUND(($W82/$W$10)*$X$10,2))),"",IF($W82="","",ROUND(($W82/$W$10)*$X$10,2)))</f>
        <v>76.67</v>
      </c>
      <c r="Y82">
        <f>IF($X82="","",ROUND($X82*$Y$10,2))</f>
        <v>23</v>
      </c>
      <c r="Z82">
        <f>IF(ISERROR(IF($V82="","",ROUND(SUM($M82,$S82,$Y82),2))),"",IF($V82="","",ROUND(SUM($M82,$S82,$Y82),2)))</f>
        <v>93</v>
      </c>
      <c r="AA82">
        <f>IF(ISERROR(IF($V82="","",VLOOKUP(Z82,NewTransmu,4,TRUE))),"",IF($V82="","",VLOOKUP(Z82,NewTransmu,4,TRUE)))</f>
        <v>95</v>
      </c>
      <c r="AB82" t="str">
        <f>IF(ISERROR(IF(AA82="","",VLOOKUP(AA82,DESCRIPTORS,4,TRUE))),"",IF(AA82="","",VLOOKUP(AA82,DESCRIPTORS,4,TRUE)))</f>
        <v>Advancing</v>
      </c>
      <c r="AV82">
        <f>(T82/$T$10)*100</f>
        <v>77.5</v>
      </c>
      <c r="AW82">
        <f>(U82/$U$10)*100</f>
        <v>80</v>
      </c>
      <c r="AX82">
        <f>(V82/$V$10)*100</f>
        <v>72.5</v>
      </c>
    </row>
    <row r="83">
      <c r="A83">
        <v>21</v>
      </c>
      <c r="B83" t="str">
        <f>INPUT!B83</f>
        <v>Santiago, Katrina</v>
      </c>
      <c r="F83">
        <v>20</v>
      </c>
      <c r="G83">
        <v>20</v>
      </c>
      <c r="H83">
        <v>20</v>
      </c>
      <c r="I83">
        <v>20</v>
      </c>
      <c r="J83">
        <v>20</v>
      </c>
      <c r="K83">
        <f>IF(COUNT($F83:$J83)=0,"",SUM($F83:$J83))</f>
        <v>100</v>
      </c>
      <c r="L83">
        <f>IF(ISERROR(IF($K83="","",ROUND(($K83/$K$10)*$L$10,2))),"",IF($K83="","",ROUND(($K83/$K$10)*$L$10,2)))</f>
        <v>100</v>
      </c>
      <c r="M83">
        <f>IF($L83="","",ROUND($L83*$M$10,2))</f>
        <v>20</v>
      </c>
      <c r="N83">
        <v>50</v>
      </c>
      <c r="O83">
        <v>50</v>
      </c>
      <c r="P83">
        <v>50</v>
      </c>
      <c r="Q83">
        <f>IF(COUNT($N83:$P83)=0,"",SUM($N83:$P83))</f>
        <v>150</v>
      </c>
      <c r="R83">
        <f>IF(ISERROR(IF($Q83="","",ROUND(($Q83/$Q$10)*$R$10,2))),"",IF($Q83="","",ROUND(($Q83/$Q$10)*$R$10,2)))</f>
        <v>100</v>
      </c>
      <c r="S83">
        <f>IF($R83="","",ROUND($R83*$S$10,2))</f>
        <v>50</v>
      </c>
      <c r="T83">
        <v>35</v>
      </c>
      <c r="U83">
        <v>36</v>
      </c>
      <c r="V83">
        <v>34</v>
      </c>
      <c r="W83">
        <f>IF(COUNT($T83:$V83)=0,"",SUM($T83:$V83))</f>
        <v>105</v>
      </c>
      <c r="X83">
        <f>IF(ISERROR(IF($W83="","",ROUND(($W83/$W$10)*$X$10,2))),"",IF($W83="","",ROUND(($W83/$W$10)*$X$10,2)))</f>
        <v>87.5</v>
      </c>
      <c r="Y83">
        <f>IF($X83="","",ROUND($X83*$Y$10,2))</f>
        <v>26.25</v>
      </c>
      <c r="Z83">
        <f>IF(ISERROR(IF($V83="","",ROUND(SUM($M83,$S83,$Y83),2))),"",IF($V83="","",ROUND(SUM($M83,$S83,$Y83),2)))</f>
        <v>96.25</v>
      </c>
      <c r="AA83">
        <f>IF(ISERROR(IF($V83="","",VLOOKUP(Z83,NewTransmu,4,TRUE))),"",IF($V83="","",VLOOKUP(Z83,NewTransmu,4,TRUE)))</f>
        <v>98</v>
      </c>
      <c r="AB83" t="str">
        <f>IF(ISERROR(IF(AA83="","",VLOOKUP(AA83,DESCRIPTORS,4,TRUE))),"",IF(AA83="","",VLOOKUP(AA83,DESCRIPTORS,4,TRUE)))</f>
        <v>Advancing</v>
      </c>
      <c r="AV83">
        <f>(T83/$T$10)*100</f>
        <v>87.5</v>
      </c>
      <c r="AW83">
        <f>(U83/$U$10)*100</f>
        <v>90</v>
      </c>
      <c r="AX83">
        <f>(V83/$V$10)*100</f>
        <v>85</v>
      </c>
    </row>
    <row r="84">
      <c r="A84">
        <v>22</v>
      </c>
      <c r="B84" t="str">
        <f>INPUT!B84</f>
        <v>Santos, Kayla</v>
      </c>
      <c r="F84">
        <v>20</v>
      </c>
      <c r="G84">
        <v>20</v>
      </c>
      <c r="H84">
        <v>20</v>
      </c>
      <c r="I84">
        <v>20</v>
      </c>
      <c r="J84">
        <v>20</v>
      </c>
      <c r="K84">
        <f>IF(COUNT($F84:$J84)=0,"",SUM($F84:$J84))</f>
        <v>100</v>
      </c>
      <c r="L84">
        <f>IF(ISERROR(IF($K84="","",ROUND(($K84/$K$10)*$L$10,2))),"",IF($K84="","",ROUND(($K84/$K$10)*$L$10,2)))</f>
        <v>100</v>
      </c>
      <c r="M84">
        <f>IF($L84="","",ROUND($L84*$M$10,2))</f>
        <v>20</v>
      </c>
      <c r="N84">
        <v>50</v>
      </c>
      <c r="O84">
        <v>50</v>
      </c>
      <c r="P84">
        <v>50</v>
      </c>
      <c r="Q84">
        <f>IF(COUNT($N84:$P84)=0,"",SUM($N84:$P84))</f>
        <v>150</v>
      </c>
      <c r="R84">
        <f>IF(ISERROR(IF($Q84="","",ROUND(($Q84/$Q$10)*$R$10,2))),"",IF($Q84="","",ROUND(($Q84/$Q$10)*$R$10,2)))</f>
        <v>100</v>
      </c>
      <c r="S84">
        <f>IF($R84="","",ROUND($R84*$S$10,2))</f>
        <v>50</v>
      </c>
      <c r="T84">
        <v>31</v>
      </c>
      <c r="U84">
        <v>25</v>
      </c>
      <c r="V84">
        <v>28</v>
      </c>
      <c r="W84">
        <f>IF(COUNT($T84:$V84)=0,"",SUM($T84:$V84))</f>
        <v>84</v>
      </c>
      <c r="X84">
        <f>IF(ISERROR(IF($W84="","",ROUND(($W84/$W$10)*$X$10,2))),"",IF($W84="","",ROUND(($W84/$W$10)*$X$10,2)))</f>
        <v>70</v>
      </c>
      <c r="Y84">
        <f>IF($X84="","",ROUND($X84*$Y$10,2))</f>
        <v>21</v>
      </c>
      <c r="Z84">
        <f>IF(ISERROR(IF($V84="","",ROUND(SUM($M84,$S84,$Y84),2))),"",IF($V84="","",ROUND(SUM($M84,$S84,$Y84),2)))</f>
        <v>91</v>
      </c>
      <c r="AA84">
        <f>IF(ISERROR(IF($V84="","",VLOOKUP(Z84,NewTransmu,4,TRUE))),"",IF($V84="","",VLOOKUP(Z84,NewTransmu,4,TRUE)))</f>
        <v>93</v>
      </c>
      <c r="AB84" t="str">
        <f>IF(ISERROR(IF(AA84="","",VLOOKUP(AA84,DESCRIPTORS,4,TRUE))),"",IF(AA84="","",VLOOKUP(AA84,DESCRIPTORS,4,TRUE)))</f>
        <v>Advancing</v>
      </c>
      <c r="AV84">
        <f>(T84/$T$10)*100</f>
        <v>77.5</v>
      </c>
      <c r="AW84">
        <f>(U84/$U$10)*100</f>
        <v>62.5</v>
      </c>
      <c r="AX84">
        <f>(V84/$V$10)*100</f>
        <v>70</v>
      </c>
    </row>
    <row r="85">
      <c r="A85">
        <v>23</v>
      </c>
      <c r="B85" t="str">
        <f>INPUT!B85</f>
        <v>Soriano, Kiana</v>
      </c>
      <c r="F85">
        <v>20</v>
      </c>
      <c r="G85">
        <v>20</v>
      </c>
      <c r="H85">
        <v>20</v>
      </c>
      <c r="I85">
        <v>20</v>
      </c>
      <c r="J85">
        <v>20</v>
      </c>
      <c r="K85">
        <f>IF(COUNT($F85:$J85)=0,"",SUM($F85:$J85))</f>
        <v>100</v>
      </c>
      <c r="L85">
        <f>IF(ISERROR(IF($K85="","",ROUND(($K85/$K$10)*$L$10,2))),"",IF($K85="","",ROUND(($K85/$K$10)*$L$10,2)))</f>
        <v>100</v>
      </c>
      <c r="M85">
        <f>IF($L85="","",ROUND($L85*$M$10,2))</f>
        <v>20</v>
      </c>
      <c r="N85">
        <v>50</v>
      </c>
      <c r="O85">
        <v>50</v>
      </c>
      <c r="P85">
        <v>50</v>
      </c>
      <c r="Q85">
        <f>IF(COUNT($N85:$P85)=0,"",SUM($N85:$P85))</f>
        <v>150</v>
      </c>
      <c r="R85">
        <f>IF(ISERROR(IF($Q85="","",ROUND(($Q85/$Q$10)*$R$10,2))),"",IF($Q85="","",ROUND(($Q85/$Q$10)*$R$10,2)))</f>
        <v>100</v>
      </c>
      <c r="S85">
        <f>IF($R85="","",ROUND($R85*$S$10,2))</f>
        <v>50</v>
      </c>
      <c r="T85">
        <v>36</v>
      </c>
      <c r="U85">
        <v>33</v>
      </c>
      <c r="V85">
        <v>37</v>
      </c>
      <c r="W85">
        <f>IF(COUNT($T85:$V85)=0,"",SUM($T85:$V85))</f>
        <v>106</v>
      </c>
      <c r="X85">
        <f>IF(ISERROR(IF($W85="","",ROUND(($W85/$W$10)*$X$10,2))),"",IF($W85="","",ROUND(($W85/$W$10)*$X$10,2)))</f>
        <v>88.33</v>
      </c>
      <c r="Y85">
        <f>IF($X85="","",ROUND($X85*$Y$10,2))</f>
        <v>26.5</v>
      </c>
      <c r="Z85">
        <f>IF(ISERROR(IF($V85="","",ROUND(SUM($M85,$S85,$Y85),2))),"",IF($V85="","",ROUND(SUM($M85,$S85,$Y85),2)))</f>
        <v>96.5</v>
      </c>
      <c r="AA85">
        <f>IF(ISERROR(IF($V85="","",VLOOKUP(Z85,NewTransmu,4,TRUE))),"",IF($V85="","",VLOOKUP(Z85,NewTransmu,4,TRUE)))</f>
        <v>98</v>
      </c>
      <c r="AB85" t="str">
        <f>IF(ISERROR(IF(AA85="","",VLOOKUP(AA85,DESCRIPTORS,4,TRUE))),"",IF(AA85="","",VLOOKUP(AA85,DESCRIPTORS,4,TRUE)))</f>
        <v>Advancing</v>
      </c>
      <c r="AV85">
        <f>(T85/$T$10)*100</f>
        <v>90</v>
      </c>
      <c r="AW85">
        <f>(U85/$U$10)*100</f>
        <v>82.5</v>
      </c>
      <c r="AX85">
        <f>(V85/$V$10)*100</f>
        <v>92.5</v>
      </c>
    </row>
    <row r="86">
      <c r="A86">
        <v>24</v>
      </c>
      <c r="B86" t="str">
        <f>INPUT!B86</f>
        <v>Torres, Leah</v>
      </c>
      <c r="F86">
        <v>20</v>
      </c>
      <c r="G86">
        <v>20</v>
      </c>
      <c r="H86">
        <v>20</v>
      </c>
      <c r="I86">
        <v>20</v>
      </c>
      <c r="J86">
        <v>20</v>
      </c>
      <c r="K86">
        <f>IF(COUNT($F86:$J86)=0,"",SUM($F86:$J86))</f>
        <v>100</v>
      </c>
      <c r="L86">
        <f>IF(ISERROR(IF($K86="","",ROUND(($K86/$K$10)*$L$10,2))),"",IF($K86="","",ROUND(($K86/$K$10)*$L$10,2)))</f>
        <v>100</v>
      </c>
      <c r="M86">
        <f>IF($L86="","",ROUND($L86*$M$10,2))</f>
        <v>20</v>
      </c>
      <c r="N86">
        <v>50</v>
      </c>
      <c r="O86">
        <v>50</v>
      </c>
      <c r="P86">
        <v>50</v>
      </c>
      <c r="Q86">
        <f>IF(COUNT($N86:$P86)=0,"",SUM($N86:$P86))</f>
        <v>150</v>
      </c>
      <c r="R86">
        <f>IF(ISERROR(IF($Q86="","",ROUND(($Q86/$Q$10)*$R$10,2))),"",IF($Q86="","",ROUND(($Q86/$Q$10)*$R$10,2)))</f>
        <v>100</v>
      </c>
      <c r="S86">
        <f>IF($R86="","",ROUND($R86*$S$10,2))</f>
        <v>50</v>
      </c>
      <c r="T86">
        <v>33</v>
      </c>
      <c r="U86">
        <v>35</v>
      </c>
      <c r="V86">
        <v>31</v>
      </c>
      <c r="W86">
        <f>IF(COUNT($T86:$V86)=0,"",SUM($T86:$V86))</f>
        <v>99</v>
      </c>
      <c r="X86">
        <f>IF(ISERROR(IF($W86="","",ROUND(($W86/$W$10)*$X$10,2))),"",IF($W86="","",ROUND(($W86/$W$10)*$X$10,2)))</f>
        <v>82.5</v>
      </c>
      <c r="Y86">
        <f>IF($X86="","",ROUND($X86*$Y$10,2))</f>
        <v>24.75</v>
      </c>
      <c r="Z86">
        <f>IF(ISERROR(IF($V86="","",ROUND(SUM($M86,$S86,$Y86),2))),"",IF($V86="","",ROUND(SUM($M86,$S86,$Y86),2)))</f>
        <v>94.75</v>
      </c>
      <c r="AA86">
        <f>IF(ISERROR(IF($V86="","",VLOOKUP(Z86,NewTransmu,4,TRUE))),"",IF($V86="","",VLOOKUP(Z86,NewTransmu,4,TRUE)))</f>
        <v>96</v>
      </c>
      <c r="AB86" t="str">
        <f>IF(ISERROR(IF(AA86="","",VLOOKUP(AA86,DESCRIPTORS,4,TRUE))),"",IF(AA86="","",VLOOKUP(AA86,DESCRIPTORS,4,TRUE)))</f>
        <v>Advancing</v>
      </c>
      <c r="AV86">
        <f>(T86/$T$10)*100</f>
        <v>82.5</v>
      </c>
      <c r="AW86">
        <f>(U86/$U$10)*100</f>
        <v>87.5</v>
      </c>
      <c r="AX86">
        <f>(V86/$V$10)*100</f>
        <v>77.5</v>
      </c>
    </row>
    <row r="87">
      <c r="A87">
        <v>25</v>
      </c>
      <c r="B87" t="str">
        <f>INPUT!B87</f>
        <v>Valdez, Liana</v>
      </c>
      <c r="F87">
        <v>20</v>
      </c>
      <c r="G87">
        <v>20</v>
      </c>
      <c r="H87">
        <v>20</v>
      </c>
      <c r="I87">
        <v>20</v>
      </c>
      <c r="J87">
        <v>20</v>
      </c>
      <c r="K87">
        <f>IF(COUNT($F87:$J87)=0,"",SUM($F87:$J87))</f>
        <v>100</v>
      </c>
      <c r="L87">
        <f>IF(ISERROR(IF($K87="","",ROUND(($K87/$K$10)*$L$10,2))),"",IF($K87="","",ROUND(($K87/$K$10)*$L$10,2)))</f>
        <v>100</v>
      </c>
      <c r="M87">
        <f>IF($L87="","",ROUND($L87*$M$10,2))</f>
        <v>20</v>
      </c>
      <c r="N87">
        <v>50</v>
      </c>
      <c r="O87">
        <v>50</v>
      </c>
      <c r="P87">
        <v>50</v>
      </c>
      <c r="Q87">
        <f>IF(COUNT($N87:$P87)=0,"",SUM($N87:$P87))</f>
        <v>150</v>
      </c>
      <c r="R87">
        <f>IF(ISERROR(IF($Q87="","",ROUND(($Q87/$Q$10)*$R$10,2))),"",IF($Q87="","",ROUND(($Q87/$Q$10)*$R$10,2)))</f>
        <v>100</v>
      </c>
      <c r="S87">
        <f>IF($R87="","",ROUND($R87*$S$10,2))</f>
        <v>50</v>
      </c>
      <c r="T87">
        <v>35</v>
      </c>
      <c r="U87">
        <v>31</v>
      </c>
      <c r="V87">
        <v>32</v>
      </c>
      <c r="W87">
        <f>IF(COUNT($T87:$V87)=0,"",SUM($T87:$V87))</f>
        <v>98</v>
      </c>
      <c r="X87">
        <f>IF(ISERROR(IF($W87="","",ROUND(($W87/$W$10)*$X$10,2))),"",IF($W87="","",ROUND(($W87/$W$10)*$X$10,2)))</f>
        <v>81.67</v>
      </c>
      <c r="Y87">
        <f>IF($X87="","",ROUND($X87*$Y$10,2))</f>
        <v>24.5</v>
      </c>
      <c r="Z87">
        <f>IF(ISERROR(IF($V87="","",ROUND(SUM($M87,$S87,$Y87),2))),"",IF($V87="","",ROUND(SUM($M87,$S87,$Y87),2)))</f>
        <v>94.5</v>
      </c>
      <c r="AA87">
        <f>IF(ISERROR(IF($V87="","",VLOOKUP(Z87,NewTransmu,4,TRUE))),"",IF($V87="","",VLOOKUP(Z87,NewTransmu,4,TRUE)))</f>
        <v>96</v>
      </c>
      <c r="AB87" t="str">
        <f>IF(ISERROR(IF(AA87="","",VLOOKUP(AA87,DESCRIPTORS,4,TRUE))),"",IF(AA87="","",VLOOKUP(AA87,DESCRIPTORS,4,TRUE)))</f>
        <v>Advancing</v>
      </c>
      <c r="AV87">
        <f>(T87/$T$10)*100</f>
        <v>87.5</v>
      </c>
      <c r="AW87">
        <f>(U87/$U$10)*100</f>
        <v>77.5</v>
      </c>
      <c r="AX87">
        <f>(V87/$V$10)*100</f>
        <v>80</v>
      </c>
    </row>
    <row r="88">
      <c r="A88">
        <v>26</v>
      </c>
      <c r="B88" t="str">
        <f>INPUT!B88</f>
        <v>Velasco, Lia</v>
      </c>
      <c r="F88">
        <v>20</v>
      </c>
      <c r="G88">
        <v>20</v>
      </c>
      <c r="H88">
        <v>20</v>
      </c>
      <c r="I88">
        <v>20</v>
      </c>
      <c r="J88">
        <v>20</v>
      </c>
      <c r="K88">
        <f>IF(COUNT($F88:$J88)=0,"",SUM($F88:$J88))</f>
        <v>100</v>
      </c>
      <c r="L88">
        <f>IF(ISERROR(IF($K88="","",ROUND(($K88/$K$10)*$L$10,2))),"",IF($K88="","",ROUND(($K88/$K$10)*$L$10,2)))</f>
        <v>100</v>
      </c>
      <c r="M88">
        <f>IF($L88="","",ROUND($L88*$M$10,2))</f>
        <v>20</v>
      </c>
      <c r="N88">
        <v>50</v>
      </c>
      <c r="O88">
        <v>50</v>
      </c>
      <c r="P88">
        <v>50</v>
      </c>
      <c r="Q88">
        <f>IF(COUNT($N88:$P88)=0,"",SUM($N88:$P88))</f>
        <v>150</v>
      </c>
      <c r="R88">
        <f>IF(ISERROR(IF($Q88="","",ROUND(($Q88/$Q$10)*$R$10,2))),"",IF($Q88="","",ROUND(($Q88/$Q$10)*$R$10,2)))</f>
        <v>100</v>
      </c>
      <c r="S88">
        <f>IF($R88="","",ROUND($R88*$S$10,2))</f>
        <v>50</v>
      </c>
      <c r="T88">
        <v>35</v>
      </c>
      <c r="U88">
        <v>33</v>
      </c>
      <c r="V88">
        <v>35</v>
      </c>
      <c r="W88">
        <f>IF(COUNT($T88:$V88)=0,"",SUM($T88:$V88))</f>
        <v>103</v>
      </c>
      <c r="X88">
        <f>IF(ISERROR(IF($W88="","",ROUND(($W88/$W$10)*$X$10,2))),"",IF($W88="","",ROUND(($W88/$W$10)*$X$10,2)))</f>
        <v>85.83</v>
      </c>
      <c r="Y88">
        <f>IF($X88="","",ROUND($X88*$Y$10,2))</f>
        <v>25.75</v>
      </c>
      <c r="Z88">
        <f>IF(ISERROR(IF($V88="","",ROUND(SUM($M88,$S88,$Y88),2))),"",IF($V88="","",ROUND(SUM($M88,$S88,$Y88),2)))</f>
        <v>95.75</v>
      </c>
      <c r="AA88">
        <f>IF(ISERROR(IF($V88="","",VLOOKUP(Z88,NewTransmu,4,TRUE))),"",IF($V88="","",VLOOKUP(Z88,NewTransmu,4,TRUE)))</f>
        <v>97</v>
      </c>
      <c r="AB88" t="str">
        <f>IF(ISERROR(IF(AA88="","",VLOOKUP(AA88,DESCRIPTORS,4,TRUE))),"",IF(AA88="","",VLOOKUP(AA88,DESCRIPTORS,4,TRUE)))</f>
        <v>Advancing</v>
      </c>
      <c r="AV88">
        <f>(T88/$T$10)*100</f>
        <v>87.5</v>
      </c>
      <c r="AW88">
        <f>(U88/$U$10)*100</f>
        <v>82.5</v>
      </c>
      <c r="AX88">
        <f>(V88/$V$10)*100</f>
        <v>87.5</v>
      </c>
    </row>
    <row r="89">
      <c r="A89">
        <v>27</v>
      </c>
      <c r="B89" t="str">
        <f>INPUT!B89</f>
        <v>Villanueva, Mara</v>
      </c>
      <c r="F89">
        <v>20</v>
      </c>
      <c r="G89">
        <v>20</v>
      </c>
      <c r="H89">
        <v>20</v>
      </c>
      <c r="I89">
        <v>20</v>
      </c>
      <c r="J89">
        <v>20</v>
      </c>
      <c r="K89">
        <f>IF(COUNT($F89:$J89)=0,"",SUM($F89:$J89))</f>
        <v>100</v>
      </c>
      <c r="L89">
        <f>IF(ISERROR(IF($K89="","",ROUND(($K89/$K$10)*$L$10,2))),"",IF($K89="","",ROUND(($K89/$K$10)*$L$10,2)))</f>
        <v>100</v>
      </c>
      <c r="M89">
        <f>IF($L89="","",ROUND($L89*$M$10,2))</f>
        <v>20</v>
      </c>
      <c r="N89">
        <v>50</v>
      </c>
      <c r="O89">
        <v>50</v>
      </c>
      <c r="P89">
        <v>50</v>
      </c>
      <c r="Q89">
        <f>IF(COUNT($N89:$P89)=0,"",SUM($N89:$P89))</f>
        <v>150</v>
      </c>
      <c r="R89">
        <f>IF(ISERROR(IF($Q89="","",ROUND(($Q89/$Q$10)*$R$10,2))),"",IF($Q89="","",ROUND(($Q89/$Q$10)*$R$10,2)))</f>
        <v>100</v>
      </c>
      <c r="S89">
        <f>IF($R89="","",ROUND($R89*$S$10,2))</f>
        <v>50</v>
      </c>
      <c r="T89">
        <v>39</v>
      </c>
      <c r="U89">
        <v>37</v>
      </c>
      <c r="V89">
        <v>40</v>
      </c>
      <c r="W89">
        <f>IF(COUNT($T89:$V89)=0,"",SUM($T89:$V89))</f>
        <v>116</v>
      </c>
      <c r="X89">
        <f>IF(ISERROR(IF($W89="","",ROUND(($W89/$W$10)*$X$10,2))),"",IF($W89="","",ROUND(($W89/$W$10)*$X$10,2)))</f>
        <v>96.67</v>
      </c>
      <c r="Y89">
        <f>IF($X89="","",ROUND($X89*$Y$10,2))</f>
        <v>29</v>
      </c>
      <c r="Z89">
        <f>IF(ISERROR(IF($V89="","",ROUND(SUM($M89,$S89,$Y89),2))),"",IF($V89="","",ROUND(SUM($M89,$S89,$Y89),2)))</f>
        <v>99</v>
      </c>
      <c r="AA89">
        <f>IF(ISERROR(IF($V89="","",VLOOKUP(Z89,NewTransmu,4,TRUE))),"",IF($V89="","",VLOOKUP(Z89,NewTransmu,4,TRUE)))</f>
        <v>99</v>
      </c>
      <c r="AB89" t="str">
        <f>IF(ISERROR(IF(AA89="","",VLOOKUP(AA89,DESCRIPTORS,4,TRUE))),"",IF(AA89="","",VLOOKUP(AA89,DESCRIPTORS,4,TRUE)))</f>
        <v>Advancing</v>
      </c>
      <c r="AV89">
        <f>(T89/$T$10)*100</f>
        <v>97.5</v>
      </c>
      <c r="AW89">
        <f>(U89/$U$10)*100</f>
        <v>92.5</v>
      </c>
      <c r="AX89">
        <f>(V89/$V$10)*100</f>
        <v>100</v>
      </c>
    </row>
    <row r="90">
      <c r="A90">
        <v>28</v>
      </c>
      <c r="B90" t="str">
        <f>INPUT!B90</f>
        <v>Yap, Maria</v>
      </c>
      <c r="F90">
        <v>20</v>
      </c>
      <c r="G90">
        <v>20</v>
      </c>
      <c r="H90">
        <v>20</v>
      </c>
      <c r="I90">
        <v>20</v>
      </c>
      <c r="J90">
        <v>20</v>
      </c>
      <c r="K90">
        <f>IF(COUNT($F90:$J90)=0,"",SUM($F90:$J90))</f>
        <v>100</v>
      </c>
      <c r="L90">
        <f>IF(ISERROR(IF($K90="","",ROUND(($K90/$K$10)*$L$10,2))),"",IF($K90="","",ROUND(($K90/$K$10)*$L$10,2)))</f>
        <v>100</v>
      </c>
      <c r="M90">
        <f>IF($L90="","",ROUND($L90*$M$10,2))</f>
        <v>20</v>
      </c>
      <c r="N90">
        <v>50</v>
      </c>
      <c r="O90">
        <v>50</v>
      </c>
      <c r="P90">
        <v>50</v>
      </c>
      <c r="Q90">
        <f>IF(COUNT($N90:$P90)=0,"",SUM($N90:$P90))</f>
        <v>150</v>
      </c>
      <c r="R90">
        <f>IF(ISERROR(IF($Q90="","",ROUND(($Q90/$Q$10)*$R$10,2))),"",IF($Q90="","",ROUND(($Q90/$Q$10)*$R$10,2)))</f>
        <v>100</v>
      </c>
      <c r="S90">
        <f>IF($R90="","",ROUND($R90*$S$10,2))</f>
        <v>50</v>
      </c>
      <c r="T90">
        <v>30</v>
      </c>
      <c r="U90">
        <v>28</v>
      </c>
      <c r="V90">
        <v>28</v>
      </c>
      <c r="W90">
        <f>IF(COUNT($T90:$V90)=0,"",SUM($T90:$V90))</f>
        <v>86</v>
      </c>
      <c r="X90">
        <f>IF(ISERROR(IF($W90="","",ROUND(($W90/$W$10)*$X$10,2))),"",IF($W90="","",ROUND(($W90/$W$10)*$X$10,2)))</f>
        <v>71.67</v>
      </c>
      <c r="Y90">
        <f>IF($X90="","",ROUND($X90*$Y$10,2))</f>
        <v>21.5</v>
      </c>
      <c r="Z90">
        <f>IF(ISERROR(IF($V90="","",ROUND(SUM($M90,$S90,$Y90),2))),"",IF($V90="","",ROUND(SUM($M90,$S90,$Y90),2)))</f>
        <v>91.5</v>
      </c>
      <c r="AA90">
        <f>IF(ISERROR(IF($V90="","",VLOOKUP(Z90,NewTransmu,4,TRUE))),"",IF($V90="","",VLOOKUP(Z90,NewTransmu,4,TRUE)))</f>
        <v>93</v>
      </c>
      <c r="AB90" t="str">
        <f>IF(ISERROR(IF(AA90="","",VLOOKUP(AA90,DESCRIPTORS,4,TRUE))),"",IF(AA90="","",VLOOKUP(AA90,DESCRIPTORS,4,TRUE)))</f>
        <v>Advancing</v>
      </c>
      <c r="AV90">
        <f>(T90/$T$10)*100</f>
        <v>75</v>
      </c>
      <c r="AW90">
        <f>(U90/$U$10)*100</f>
        <v>70</v>
      </c>
      <c r="AX90">
        <f>(V90/$V$10)*100</f>
        <v>70</v>
      </c>
    </row>
    <row r="91">
      <c r="A91">
        <v>29</v>
      </c>
      <c r="B91" t="str">
        <f>INPUT!B91</f>
        <v>Zamora, Mika</v>
      </c>
      <c r="F91">
        <v>20</v>
      </c>
      <c r="G91">
        <v>20</v>
      </c>
      <c r="H91">
        <v>20</v>
      </c>
      <c r="I91">
        <v>20</v>
      </c>
      <c r="J91">
        <v>20</v>
      </c>
      <c r="K91">
        <f>IF(COUNT($F91:$J91)=0,"",SUM($F91:$J91))</f>
        <v>100</v>
      </c>
      <c r="L91">
        <f>IF(ISERROR(IF($K91="","",ROUND(($K91/$K$10)*$L$10,2))),"",IF($K91="","",ROUND(($K91/$K$10)*$L$10,2)))</f>
        <v>100</v>
      </c>
      <c r="M91">
        <f>IF($L91="","",ROUND($L91*$M$10,2))</f>
        <v>20</v>
      </c>
      <c r="N91">
        <v>50</v>
      </c>
      <c r="O91">
        <v>50</v>
      </c>
      <c r="P91">
        <v>50</v>
      </c>
      <c r="Q91">
        <f>IF(COUNT($N91:$P91)=0,"",SUM($N91:$P91))</f>
        <v>150</v>
      </c>
      <c r="R91">
        <f>IF(ISERROR(IF($Q91="","",ROUND(($Q91/$Q$10)*$R$10,2))),"",IF($Q91="","",ROUND(($Q91/$Q$10)*$R$10,2)))</f>
        <v>100</v>
      </c>
      <c r="S91">
        <f>IF($R91="","",ROUND($R91*$S$10,2))</f>
        <v>50</v>
      </c>
      <c r="T91">
        <v>30</v>
      </c>
      <c r="U91">
        <v>30</v>
      </c>
      <c r="V91">
        <v>29</v>
      </c>
      <c r="W91">
        <f>IF(COUNT($T91:$V91)=0,"",SUM($T91:$V91))</f>
        <v>89</v>
      </c>
      <c r="X91">
        <f>IF(ISERROR(IF($W91="","",ROUND(($W91/$W$10)*$X$10,2))),"",IF($W91="","",ROUND(($W91/$W$10)*$X$10,2)))</f>
        <v>74.17</v>
      </c>
      <c r="Y91">
        <f>IF($X91="","",ROUND($X91*$Y$10,2))</f>
        <v>22.25</v>
      </c>
      <c r="Z91">
        <f>IF(ISERROR(IF($V91="","",ROUND(SUM($M91,$S91,$Y91),2))),"",IF($V91="","",ROUND(SUM($M91,$S91,$Y91),2)))</f>
        <v>92.25</v>
      </c>
      <c r="AA91">
        <f>IF(ISERROR(IF($V91="","",VLOOKUP(Z91,NewTransmu,4,TRUE))),"",IF($V91="","",VLOOKUP(Z91,NewTransmu,4,TRUE)))</f>
        <v>94</v>
      </c>
      <c r="AB91" t="str">
        <f>IF(ISERROR(IF(AA91="","",VLOOKUP(AA91,DESCRIPTORS,4,TRUE))),"",IF(AA91="","",VLOOKUP(AA91,DESCRIPTORS,4,TRUE)))</f>
        <v>Advancing</v>
      </c>
      <c r="AV91">
        <f>(T91/$T$10)*100</f>
        <v>75</v>
      </c>
      <c r="AW91">
        <f>(U91/$U$10)*100</f>
        <v>75</v>
      </c>
      <c r="AX91">
        <f>(V91/$V$10)*100</f>
        <v>72.5</v>
      </c>
    </row>
    <row r="92">
      <c r="A92">
        <v>30</v>
      </c>
      <c r="B92" t="str">
        <f>INPUT!B92</f>
        <v>Zuniga, Nicole</v>
      </c>
      <c r="F92">
        <v>20</v>
      </c>
      <c r="G92">
        <v>20</v>
      </c>
      <c r="H92">
        <v>20</v>
      </c>
      <c r="I92">
        <v>20</v>
      </c>
      <c r="J92">
        <v>20</v>
      </c>
      <c r="K92">
        <f>IF(COUNT($F92:$J92)=0,"",SUM($F92:$J92))</f>
        <v>100</v>
      </c>
      <c r="L92">
        <f>IF(ISERROR(IF($K92="","",ROUND(($K92/$K$10)*$L$10,2))),"",IF($K92="","",ROUND(($K92/$K$10)*$L$10,2)))</f>
        <v>100</v>
      </c>
      <c r="M92">
        <f>IF($L92="","",ROUND($L92*$M$10,2))</f>
        <v>20</v>
      </c>
      <c r="N92">
        <v>50</v>
      </c>
      <c r="O92">
        <v>50</v>
      </c>
      <c r="P92">
        <v>50</v>
      </c>
      <c r="Q92">
        <f>IF(COUNT($N92:$P92)=0,"",SUM($N92:$P92))</f>
        <v>150</v>
      </c>
      <c r="R92">
        <f>IF(ISERROR(IF($Q92="","",ROUND(($Q92/$Q$10)*$R$10,2))),"",IF($Q92="","",ROUND(($Q92/$Q$10)*$R$10,2)))</f>
        <v>100</v>
      </c>
      <c r="S92">
        <f>IF($R92="","",ROUND($R92*$S$10,2))</f>
        <v>50</v>
      </c>
      <c r="T92">
        <v>38</v>
      </c>
      <c r="U92">
        <v>38</v>
      </c>
      <c r="V92">
        <v>38</v>
      </c>
      <c r="W92">
        <f>IF(COUNT($T92:$V92)=0,"",SUM($T92:$V92))</f>
        <v>114</v>
      </c>
      <c r="X92">
        <f>IF(ISERROR(IF($W92="","",ROUND(($W92/$W$10)*$X$10,2))),"",IF($W92="","",ROUND(($W92/$W$10)*$X$10,2)))</f>
        <v>95</v>
      </c>
      <c r="Y92">
        <f>IF($X92="","",ROUND($X92*$Y$10,2))</f>
        <v>28.5</v>
      </c>
      <c r="Z92">
        <f>IF(ISERROR(IF($V92="","",ROUND(SUM($M92,$S92,$Y92),2))),"",IF($V92="","",ROUND(SUM($M92,$S92,$Y92),2)))</f>
        <v>98.5</v>
      </c>
      <c r="AA92">
        <f>IF(ISERROR(IF($V92="","",VLOOKUP(Z92,NewTransmu,4,TRUE))),"",IF($V92="","",VLOOKUP(Z92,NewTransmu,4,TRUE)))</f>
        <v>99</v>
      </c>
      <c r="AB92" t="str">
        <f>IF(ISERROR(IF(AA92="","",VLOOKUP(AA92,DESCRIPTORS,4,TRUE))),"",IF(AA92="","",VLOOKUP(AA92,DESCRIPTORS,4,TRUE)))</f>
        <v>Advancing</v>
      </c>
      <c r="AV92">
        <f>(T92/$T$10)*100</f>
        <v>95</v>
      </c>
      <c r="AW92">
        <f>(U92/$U$10)*100</f>
        <v>95</v>
      </c>
      <c r="AX92">
        <f>(V92/$V$10)*100</f>
        <v>95</v>
      </c>
    </row>
    <row r="93">
      <c r="A93">
        <v>31</v>
      </c>
      <c r="B93" t="str">
        <f>INPUT!B93</f>
        <v>Abad, Patricia</v>
      </c>
      <c r="F93">
        <v>20</v>
      </c>
      <c r="G93">
        <v>20</v>
      </c>
      <c r="H93">
        <v>20</v>
      </c>
      <c r="I93">
        <v>20</v>
      </c>
      <c r="J93">
        <v>20</v>
      </c>
      <c r="K93">
        <f>IF(COUNT($F93:$J93)=0,"",SUM($F93:$J93))</f>
        <v>100</v>
      </c>
      <c r="L93">
        <f>IF(ISERROR(IF($K93="","",ROUND(($K93/$K$10)*$L$10,2))),"",IF($K93="","",ROUND(($K93/$K$10)*$L$10,2)))</f>
        <v>100</v>
      </c>
      <c r="M93">
        <f>IF($L93="","",ROUND($L93*$M$10,2))</f>
        <v>20</v>
      </c>
      <c r="N93">
        <v>50</v>
      </c>
      <c r="O93">
        <v>50</v>
      </c>
      <c r="P93">
        <v>50</v>
      </c>
      <c r="Q93">
        <f>IF(COUNT($N93:$P93)=0,"",SUM($N93:$P93))</f>
        <v>150</v>
      </c>
      <c r="R93">
        <f>IF(ISERROR(IF($Q93="","",ROUND(($Q93/$Q$10)*$R$10,2))),"",IF($Q93="","",ROUND(($Q93/$Q$10)*$R$10,2)))</f>
        <v>100</v>
      </c>
      <c r="S93">
        <f>IF($R93="","",ROUND($R93*$S$10,2))</f>
        <v>50</v>
      </c>
      <c r="T93">
        <v>34</v>
      </c>
      <c r="U93">
        <v>33</v>
      </c>
      <c r="V93">
        <v>34</v>
      </c>
      <c r="W93">
        <f>IF(COUNT($T93:$V93)=0,"",SUM($T93:$V93))</f>
        <v>101</v>
      </c>
      <c r="X93">
        <f>IF(ISERROR(IF($W93="","",ROUND(($W93/$W$10)*$X$10,2))),"",IF($W93="","",ROUND(($W93/$W$10)*$X$10,2)))</f>
        <v>84.17</v>
      </c>
      <c r="Y93">
        <f>IF($X93="","",ROUND($X93*$Y$10,2))</f>
        <v>25.25</v>
      </c>
      <c r="Z93">
        <f>IF(ISERROR(IF($V93="","",ROUND(SUM($M93,$S93,$Y93),2))),"",IF($V93="","",ROUND(SUM($M93,$S93,$Y93),2)))</f>
        <v>95.25</v>
      </c>
      <c r="AA93">
        <f>IF(ISERROR(IF($V93="","",VLOOKUP(Z93,NewTransmu,4,TRUE))),"",IF($V93="","",VLOOKUP(Z93,NewTransmu,4,TRUE)))</f>
        <v>97</v>
      </c>
      <c r="AB93" t="str">
        <f>IF(ISERROR(IF(AA93="","",VLOOKUP(AA93,DESCRIPTORS,4,TRUE))),"",IF(AA93="","",VLOOKUP(AA93,DESCRIPTORS,4,TRUE)))</f>
        <v>Advancing</v>
      </c>
      <c r="AV93">
        <f>(T93/$T$10)*100</f>
        <v>85</v>
      </c>
      <c r="AW93">
        <f>(U93/$U$10)*100</f>
        <v>82.5</v>
      </c>
      <c r="AX93">
        <f>(V93/$V$10)*100</f>
        <v>85</v>
      </c>
    </row>
    <row r="94">
      <c r="A94">
        <v>32</v>
      </c>
      <c r="B94" t="str">
        <f>INPUT!B94</f>
        <v>Agustin, Rachel</v>
      </c>
      <c r="F94">
        <v>20</v>
      </c>
      <c r="G94">
        <v>20</v>
      </c>
      <c r="H94">
        <v>20</v>
      </c>
      <c r="I94">
        <v>20</v>
      </c>
      <c r="J94">
        <v>20</v>
      </c>
      <c r="K94">
        <f>IF(COUNT($F94:$J94)=0,"",SUM($F94:$J94))</f>
        <v>100</v>
      </c>
      <c r="L94">
        <f>IF(ISERROR(IF($K94="","",ROUND(($K94/$K$10)*$L$10,2))),"",IF($K94="","",ROUND(($K94/$K$10)*$L$10,2)))</f>
        <v>100</v>
      </c>
      <c r="M94">
        <f>IF($L94="","",ROUND($L94*$M$10,2))</f>
        <v>20</v>
      </c>
      <c r="N94">
        <v>50</v>
      </c>
      <c r="O94">
        <v>50</v>
      </c>
      <c r="P94">
        <v>50</v>
      </c>
      <c r="Q94">
        <f>IF(COUNT($N94:$P94)=0,"",SUM($N94:$P94))</f>
        <v>150</v>
      </c>
      <c r="R94">
        <f>IF(ISERROR(IF($Q94="","",ROUND(($Q94/$Q$10)*$R$10,2))),"",IF($Q94="","",ROUND(($Q94/$Q$10)*$R$10,2)))</f>
        <v>100</v>
      </c>
      <c r="S94">
        <f>IF($R94="","",ROUND($R94*$S$10,2))</f>
        <v>50</v>
      </c>
      <c r="T94">
        <v>38</v>
      </c>
      <c r="U94">
        <v>40</v>
      </c>
      <c r="V94">
        <v>39</v>
      </c>
      <c r="W94">
        <f>IF(COUNT($T94:$V94)=0,"",SUM($T94:$V94))</f>
        <v>117</v>
      </c>
      <c r="X94">
        <f>IF(ISERROR(IF($W94="","",ROUND(($W94/$W$10)*$X$10,2))),"",IF($W94="","",ROUND(($W94/$W$10)*$X$10,2)))</f>
        <v>97.5</v>
      </c>
      <c r="Y94">
        <f>IF($X94="","",ROUND($X94*$Y$10,2))</f>
        <v>29.25</v>
      </c>
      <c r="Z94">
        <f>IF(ISERROR(IF($V94="","",ROUND(SUM($M94,$S94,$Y94),2))),"",IF($V94="","",ROUND(SUM($M94,$S94,$Y94),2)))</f>
        <v>99.25</v>
      </c>
      <c r="AA94">
        <f>IF(ISERROR(IF($V94="","",VLOOKUP(Z94,NewTransmu,4,TRUE))),"",IF($V94="","",VLOOKUP(Z94,NewTransmu,4,TRUE)))</f>
        <v>99</v>
      </c>
      <c r="AB94" t="str">
        <f>IF(ISERROR(IF(AA94="","",VLOOKUP(AA94,DESCRIPTORS,4,TRUE))),"",IF(AA94="","",VLOOKUP(AA94,DESCRIPTORS,4,TRUE)))</f>
        <v>Advancing</v>
      </c>
      <c r="AV94">
        <f>(T94/$T$10)*100</f>
        <v>95</v>
      </c>
      <c r="AW94">
        <f>(U94/$U$10)*100</f>
        <v>100</v>
      </c>
      <c r="AX94">
        <f>(V94/$V$10)*100</f>
        <v>97.5</v>
      </c>
    </row>
    <row r="95">
      <c r="A95">
        <v>33</v>
      </c>
      <c r="B95" t="str">
        <f>INPUT!B95</f>
        <v>Alvarez, Rebecca</v>
      </c>
      <c r="F95">
        <v>20</v>
      </c>
      <c r="G95">
        <v>20</v>
      </c>
      <c r="H95">
        <v>20</v>
      </c>
      <c r="I95">
        <v>20</v>
      </c>
      <c r="J95">
        <v>20</v>
      </c>
      <c r="K95">
        <f>IF(COUNT($F95:$J95)=0,"",SUM($F95:$J95))</f>
        <v>100</v>
      </c>
      <c r="L95">
        <f>IF(ISERROR(IF($K95="","",ROUND(($K95/$K$10)*$L$10,2))),"",IF($K95="","",ROUND(($K95/$K$10)*$L$10,2)))</f>
        <v>100</v>
      </c>
      <c r="M95">
        <f>IF($L95="","",ROUND($L95*$M$10,2))</f>
        <v>20</v>
      </c>
      <c r="N95">
        <v>50</v>
      </c>
      <c r="O95">
        <v>50</v>
      </c>
      <c r="P95">
        <v>50</v>
      </c>
      <c r="Q95">
        <f>IF(COUNT($N95:$P95)=0,"",SUM($N95:$P95))</f>
        <v>150</v>
      </c>
      <c r="R95">
        <f>IF(ISERROR(IF($Q95="","",ROUND(($Q95/$Q$10)*$R$10,2))),"",IF($Q95="","",ROUND(($Q95/$Q$10)*$R$10,2)))</f>
        <v>100</v>
      </c>
      <c r="S95">
        <f>IF($R95="","",ROUND($R95*$S$10,2))</f>
        <v>50</v>
      </c>
      <c r="T95">
        <v>31</v>
      </c>
      <c r="U95">
        <v>29</v>
      </c>
      <c r="V95">
        <v>33</v>
      </c>
      <c r="W95">
        <f>IF(COUNT($T95:$V95)=0,"",SUM($T95:$V95))</f>
        <v>93</v>
      </c>
      <c r="X95">
        <f>IF(ISERROR(IF($W95="","",ROUND(($W95/$W$10)*$X$10,2))),"",IF($W95="","",ROUND(($W95/$W$10)*$X$10,2)))</f>
        <v>77.5</v>
      </c>
      <c r="Y95">
        <f>IF($X95="","",ROUND($X95*$Y$10,2))</f>
        <v>23.25</v>
      </c>
      <c r="Z95">
        <f>IF(ISERROR(IF($V95="","",ROUND(SUM($M95,$S95,$Y95),2))),"",IF($V95="","",ROUND(SUM($M95,$S95,$Y95),2)))</f>
        <v>93.25</v>
      </c>
      <c r="AA95">
        <f>IF(ISERROR(IF($V95="","",VLOOKUP(Z95,NewTransmu,4,TRUE))),"",IF($V95="","",VLOOKUP(Z95,NewTransmu,4,TRUE)))</f>
        <v>95</v>
      </c>
      <c r="AB95" t="str">
        <f>IF(ISERROR(IF(AA95="","",VLOOKUP(AA95,DESCRIPTORS,4,TRUE))),"",IF(AA95="","",VLOOKUP(AA95,DESCRIPTORS,4,TRUE)))</f>
        <v>Advancing</v>
      </c>
      <c r="AV95">
        <f>(T95/$T$10)*100</f>
        <v>77.5</v>
      </c>
      <c r="AW95">
        <f>(U95/$U$10)*100</f>
        <v>72.5</v>
      </c>
      <c r="AX95">
        <f>(V95/$V$10)*100</f>
        <v>82.5</v>
      </c>
    </row>
    <row r="96">
      <c r="A96">
        <v>34</v>
      </c>
      <c r="B96" t="str">
        <f>INPUT!B96</f>
        <v>Aquino, Rhea</v>
      </c>
      <c r="F96">
        <v>20</v>
      </c>
      <c r="G96">
        <v>20</v>
      </c>
      <c r="H96">
        <v>20</v>
      </c>
      <c r="I96">
        <v>20</v>
      </c>
      <c r="J96">
        <v>20</v>
      </c>
      <c r="K96">
        <f>IF(COUNT($F96:$J96)=0,"",SUM($F96:$J96))</f>
        <v>100</v>
      </c>
      <c r="L96">
        <f>IF(ISERROR(IF($K96="","",ROUND(($K96/$K$10)*$L$10,2))),"",IF($K96="","",ROUND(($K96/$K$10)*$L$10,2)))</f>
        <v>100</v>
      </c>
      <c r="M96">
        <f>IF($L96="","",ROUND($L96*$M$10,2))</f>
        <v>20</v>
      </c>
      <c r="N96">
        <v>50</v>
      </c>
      <c r="O96">
        <v>50</v>
      </c>
      <c r="P96">
        <v>50</v>
      </c>
      <c r="Q96">
        <f>IF(COUNT($N96:$P96)=0,"",SUM($N96:$P96))</f>
        <v>150</v>
      </c>
      <c r="R96">
        <f>IF(ISERROR(IF($Q96="","",ROUND(($Q96/$Q$10)*$R$10,2))),"",IF($Q96="","",ROUND(($Q96/$Q$10)*$R$10,2)))</f>
        <v>100</v>
      </c>
      <c r="S96">
        <f>IF($R96="","",ROUND($R96*$S$10,2))</f>
        <v>50</v>
      </c>
      <c r="T96">
        <v>34</v>
      </c>
      <c r="U96">
        <v>33</v>
      </c>
      <c r="V96">
        <v>35</v>
      </c>
      <c r="W96">
        <f>IF(COUNT($T96:$V96)=0,"",SUM($T96:$V96))</f>
        <v>102</v>
      </c>
      <c r="X96">
        <f>IF(ISERROR(IF($W96="","",ROUND(($W96/$W$10)*$X$10,2))),"",IF($W96="","",ROUND(($W96/$W$10)*$X$10,2)))</f>
        <v>85</v>
      </c>
      <c r="Y96">
        <f>IF($X96="","",ROUND($X96*$Y$10,2))</f>
        <v>25.5</v>
      </c>
      <c r="Z96">
        <f>IF(ISERROR(IF($V96="","",ROUND(SUM($M96,$S96,$Y96),2))),"",IF($V96="","",ROUND(SUM($M96,$S96,$Y96),2)))</f>
        <v>95.5</v>
      </c>
      <c r="AA96">
        <f>IF(ISERROR(IF($V96="","",VLOOKUP(Z96,NewTransmu,4,TRUE))),"",IF($V96="","",VLOOKUP(Z96,NewTransmu,4,TRUE)))</f>
        <v>97</v>
      </c>
      <c r="AB96" t="str">
        <f>IF(ISERROR(IF(AA96="","",VLOOKUP(AA96,DESCRIPTORS,4,TRUE))),"",IF(AA96="","",VLOOKUP(AA96,DESCRIPTORS,4,TRUE)))</f>
        <v>Advancing</v>
      </c>
      <c r="AV96">
        <f>(T96/$T$10)*100</f>
        <v>85</v>
      </c>
      <c r="AW96">
        <f>(U96/$U$10)*100</f>
        <v>82.5</v>
      </c>
      <c r="AX96">
        <f>(V96/$V$10)*100</f>
        <v>87.5</v>
      </c>
    </row>
    <row r="97">
      <c r="A97">
        <v>35</v>
      </c>
      <c r="B97" t="str">
        <f>INPUT!B97</f>
        <v>Arceo, Samantha</v>
      </c>
      <c r="F97">
        <v>20</v>
      </c>
      <c r="G97">
        <v>20</v>
      </c>
      <c r="H97">
        <v>20</v>
      </c>
      <c r="I97">
        <v>20</v>
      </c>
      <c r="J97">
        <v>20</v>
      </c>
      <c r="K97">
        <f>IF(COUNT($F97:$J97)=0,"",SUM($F97:$J97))</f>
        <v>100</v>
      </c>
      <c r="L97">
        <f>IF(ISERROR(IF($K97="","",ROUND(($K97/$K$10)*$L$10,2))),"",IF($K97="","",ROUND(($K97/$K$10)*$L$10,2)))</f>
        <v>100</v>
      </c>
      <c r="M97">
        <f>IF($L97="","",ROUND($L97*$M$10,2))</f>
        <v>20</v>
      </c>
      <c r="N97">
        <v>50</v>
      </c>
      <c r="O97">
        <v>50</v>
      </c>
      <c r="P97">
        <v>50</v>
      </c>
      <c r="Q97">
        <f>IF(COUNT($N97:$P97)=0,"",SUM($N97:$P97))</f>
        <v>150</v>
      </c>
      <c r="R97">
        <f>IF(ISERROR(IF($Q97="","",ROUND(($Q97/$Q$10)*$R$10,2))),"",IF($Q97="","",ROUND(($Q97/$Q$10)*$R$10,2)))</f>
        <v>100</v>
      </c>
      <c r="S97">
        <f>IF($R97="","",ROUND($R97*$S$10,2))</f>
        <v>50</v>
      </c>
      <c r="T97">
        <v>36</v>
      </c>
      <c r="U97">
        <v>32</v>
      </c>
      <c r="V97">
        <v>32</v>
      </c>
      <c r="W97">
        <f>IF(COUNT($T97:$V97)=0,"",SUM($T97:$V97))</f>
        <v>100</v>
      </c>
      <c r="X97">
        <f>IF(ISERROR(IF($W97="","",ROUND(($W97/$W$10)*$X$10,2))),"",IF($W97="","",ROUND(($W97/$W$10)*$X$10,2)))</f>
        <v>83.33</v>
      </c>
      <c r="Y97">
        <f>IF($X97="","",ROUND($X97*$Y$10,2))</f>
        <v>25</v>
      </c>
      <c r="Z97">
        <f>IF(ISERROR(IF($V97="","",ROUND(SUM($M97,$S97,$Y97),2))),"",IF($V97="","",ROUND(SUM($M97,$S97,$Y97),2)))</f>
        <v>95</v>
      </c>
      <c r="AA97">
        <f>IF(ISERROR(IF($V97="","",VLOOKUP(Z97,NewTransmu,4,TRUE))),"",IF($V97="","",VLOOKUP(Z97,NewTransmu,4,TRUE)))</f>
        <v>97</v>
      </c>
      <c r="AB97" t="str">
        <f>IF(ISERROR(IF(AA97="","",VLOOKUP(AA97,DESCRIPTORS,4,TRUE))),"",IF(AA97="","",VLOOKUP(AA97,DESCRIPTORS,4,TRUE)))</f>
        <v>Advancing</v>
      </c>
      <c r="AV97">
        <f>(T97/$T$10)*100</f>
        <v>90</v>
      </c>
      <c r="AW97">
        <f>(U97/$U$10)*100</f>
        <v>80</v>
      </c>
      <c r="AX97">
        <f>(V97/$V$10)*100</f>
        <v>80</v>
      </c>
    </row>
    <row r="98">
      <c r="A98">
        <v>36</v>
      </c>
      <c r="B98" t="str">
        <f>INPUT!B98</f>
        <v>Arellano, Sofia</v>
      </c>
      <c r="F98">
        <v>20</v>
      </c>
      <c r="G98">
        <v>20</v>
      </c>
      <c r="H98">
        <v>20</v>
      </c>
      <c r="I98">
        <v>20</v>
      </c>
      <c r="J98">
        <v>20</v>
      </c>
      <c r="K98">
        <f>IF(COUNT($F98:$J98)=0,"",SUM($F98:$J98))</f>
        <v>100</v>
      </c>
      <c r="L98">
        <f>IF(ISERROR(IF($K98="","",ROUND(($K98/$K$10)*$L$10,2))),"",IF($K98="","",ROUND(($K98/$K$10)*$L$10,2)))</f>
        <v>100</v>
      </c>
      <c r="M98">
        <f>IF($L98="","",ROUND($L98*$M$10,2))</f>
        <v>20</v>
      </c>
      <c r="N98">
        <v>50</v>
      </c>
      <c r="O98">
        <v>50</v>
      </c>
      <c r="P98">
        <v>50</v>
      </c>
      <c r="Q98">
        <f>IF(COUNT($N98:$P98)=0,"",SUM($N98:$P98))</f>
        <v>150</v>
      </c>
      <c r="R98">
        <f>IF(ISERROR(IF($Q98="","",ROUND(($Q98/$Q$10)*$R$10,2))),"",IF($Q98="","",ROUND(($Q98/$Q$10)*$R$10,2)))</f>
        <v>100</v>
      </c>
      <c r="S98">
        <f>IF($R98="","",ROUND($R98*$S$10,2))</f>
        <v>50</v>
      </c>
      <c r="T98">
        <v>37</v>
      </c>
      <c r="U98">
        <v>38</v>
      </c>
      <c r="V98">
        <v>36</v>
      </c>
      <c r="W98">
        <f>IF(COUNT($T98:$V98)=0,"",SUM($T98:$V98))</f>
        <v>111</v>
      </c>
      <c r="X98">
        <f>IF(ISERROR(IF($W98="","",ROUND(($W98/$W$10)*$X$10,2))),"",IF($W98="","",ROUND(($W98/$W$10)*$X$10,2)))</f>
        <v>92.5</v>
      </c>
      <c r="Y98">
        <f>IF($X98="","",ROUND($X98*$Y$10,2))</f>
        <v>27.75</v>
      </c>
      <c r="Z98">
        <f>IF(ISERROR(IF($V98="","",ROUND(SUM($M98,$S98,$Y98),2))),"",IF($V98="","",ROUND(SUM($M98,$S98,$Y98),2)))</f>
        <v>97.75</v>
      </c>
      <c r="AA98">
        <f>IF(ISERROR(IF($V98="","",VLOOKUP(Z98,NewTransmu,4,TRUE))),"",IF($V98="","",VLOOKUP(Z98,NewTransmu,4,TRUE)))</f>
        <v>99</v>
      </c>
      <c r="AB98" t="str">
        <f>IF(ISERROR(IF(AA98="","",VLOOKUP(AA98,DESCRIPTORS,4,TRUE))),"",IF(AA98="","",VLOOKUP(AA98,DESCRIPTORS,4,TRUE)))</f>
        <v>Advancing</v>
      </c>
      <c r="AV98">
        <f>(T98/$T$10)*100</f>
        <v>92.5</v>
      </c>
      <c r="AW98">
        <f>(U98/$U$10)*100</f>
        <v>95</v>
      </c>
      <c r="AX98">
        <f>(V98/$V$10)*100</f>
        <v>90</v>
      </c>
    </row>
    <row r="99">
      <c r="A99">
        <v>37</v>
      </c>
      <c r="B99" t="str">
        <f>INPUT!B99</f>
        <v>Barrera, Sophia</v>
      </c>
      <c r="F99">
        <v>20</v>
      </c>
      <c r="G99">
        <v>20</v>
      </c>
      <c r="H99">
        <v>20</v>
      </c>
      <c r="I99">
        <v>20</v>
      </c>
      <c r="J99">
        <v>20</v>
      </c>
      <c r="K99">
        <f>IF(COUNT($F99:$J99)=0,"",SUM($F99:$J99))</f>
        <v>100</v>
      </c>
      <c r="L99">
        <f>IF(ISERROR(IF($K99="","",ROUND(($K99/$K$10)*$L$10,2))),"",IF($K99="","",ROUND(($K99/$K$10)*$L$10,2)))</f>
        <v>100</v>
      </c>
      <c r="M99">
        <f>IF($L99="","",ROUND($L99*$M$10,2))</f>
        <v>20</v>
      </c>
      <c r="N99">
        <v>50</v>
      </c>
      <c r="O99">
        <v>50</v>
      </c>
      <c r="P99">
        <v>50</v>
      </c>
      <c r="Q99">
        <f>IF(COUNT($N99:$P99)=0,"",SUM($N99:$P99))</f>
        <v>150</v>
      </c>
      <c r="R99">
        <f>IF(ISERROR(IF($Q99="","",ROUND(($Q99/$Q$10)*$R$10,2))),"",IF($Q99="","",ROUND(($Q99/$Q$10)*$R$10,2)))</f>
        <v>100</v>
      </c>
      <c r="S99">
        <f>IF($R99="","",ROUND($R99*$S$10,2))</f>
        <v>50</v>
      </c>
      <c r="T99">
        <v>35</v>
      </c>
      <c r="U99">
        <v>30</v>
      </c>
      <c r="V99">
        <v>36</v>
      </c>
      <c r="W99">
        <f>IF(COUNT($T99:$V99)=0,"",SUM($T99:$V99))</f>
        <v>101</v>
      </c>
      <c r="X99">
        <f>IF(ISERROR(IF($W99="","",ROUND(($W99/$W$10)*$X$10,2))),"",IF($W99="","",ROUND(($W99/$W$10)*$X$10,2)))</f>
        <v>84.17</v>
      </c>
      <c r="Y99">
        <f>IF($X99="","",ROUND($X99*$Y$10,2))</f>
        <v>25.25</v>
      </c>
      <c r="Z99">
        <f>IF(ISERROR(IF($V99="","",ROUND(SUM($M99,$S99,$Y99),2))),"",IF($V99="","",ROUND(SUM($M99,$S99,$Y99),2)))</f>
        <v>95.25</v>
      </c>
      <c r="AA99">
        <f>IF(ISERROR(IF($V99="","",VLOOKUP(Z99,NewTransmu,4,TRUE))),"",IF($V99="","",VLOOKUP(Z99,NewTransmu,4,TRUE)))</f>
        <v>97</v>
      </c>
      <c r="AB99" t="str">
        <f>IF(ISERROR(IF(AA99="","",VLOOKUP(AA99,DESCRIPTORS,4,TRUE))),"",IF(AA99="","",VLOOKUP(AA99,DESCRIPTORS,4,TRUE)))</f>
        <v>Advancing</v>
      </c>
      <c r="AV99">
        <f>(T99/$T$10)*100</f>
        <v>87.5</v>
      </c>
      <c r="AW99">
        <f>(U99/$U$10)*100</f>
        <v>75</v>
      </c>
      <c r="AX99">
        <f>(V99/$V$10)*100</f>
        <v>90</v>
      </c>
    </row>
    <row r="100">
      <c r="A100">
        <v>38</v>
      </c>
      <c r="B100" t="str">
        <f>INPUT!B100</f>
        <v>Cabral, Therese</v>
      </c>
      <c r="F100">
        <v>20</v>
      </c>
      <c r="G100">
        <v>20</v>
      </c>
      <c r="H100">
        <v>20</v>
      </c>
      <c r="I100">
        <v>20</v>
      </c>
      <c r="J100">
        <v>20</v>
      </c>
      <c r="K100">
        <f>IF(COUNT($F100:$J100)=0,"",SUM($F100:$J100))</f>
        <v>100</v>
      </c>
      <c r="L100">
        <f>IF(ISERROR(IF($K100="","",ROUND(($K100/$K$10)*$L$10,2))),"",IF($K100="","",ROUND(($K100/$K$10)*$L$10,2)))</f>
        <v>100</v>
      </c>
      <c r="M100">
        <f>IF($L100="","",ROUND($L100*$M$10,2))</f>
        <v>20</v>
      </c>
      <c r="N100">
        <v>50</v>
      </c>
      <c r="O100">
        <v>50</v>
      </c>
      <c r="P100">
        <v>50</v>
      </c>
      <c r="Q100">
        <f>IF(COUNT($N100:$P100)=0,"",SUM($N100:$P100))</f>
        <v>150</v>
      </c>
      <c r="R100">
        <f>IF(ISERROR(IF($Q100="","",ROUND(($Q100/$Q$10)*$R$10,2))),"",IF($Q100="","",ROUND(($Q100/$Q$10)*$R$10,2)))</f>
        <v>100</v>
      </c>
      <c r="S100">
        <f>IF($R100="","",ROUND($R100*$S$10,2))</f>
        <v>50</v>
      </c>
      <c r="T100">
        <v>31</v>
      </c>
      <c r="U100">
        <v>26</v>
      </c>
      <c r="V100">
        <v>29</v>
      </c>
      <c r="W100">
        <f>IF(COUNT($T100:$V100)=0,"",SUM($T100:$V100))</f>
        <v>86</v>
      </c>
      <c r="X100">
        <f>IF(ISERROR(IF($W100="","",ROUND(($W100/$W$10)*$X$10,2))),"",IF($W100="","",ROUND(($W100/$W$10)*$X$10,2)))</f>
        <v>71.67</v>
      </c>
      <c r="Y100">
        <f>IF($X100="","",ROUND($X100*$Y$10,2))</f>
        <v>21.5</v>
      </c>
      <c r="Z100">
        <f>IF(ISERROR(IF($V100="","",ROUND(SUM($M100,$S100,$Y100),2))),"",IF($V100="","",ROUND(SUM($M100,$S100,$Y100),2)))</f>
        <v>91.5</v>
      </c>
      <c r="AA100">
        <f>IF(ISERROR(IF($V100="","",VLOOKUP(Z100,NewTransmu,4,TRUE))),"",IF($V100="","",VLOOKUP(Z100,NewTransmu,4,TRUE)))</f>
        <v>93</v>
      </c>
      <c r="AB100" t="str">
        <f>IF(ISERROR(IF(AA100="","",VLOOKUP(AA100,DESCRIPTORS,4,TRUE))),"",IF(AA100="","",VLOOKUP(AA100,DESCRIPTORS,4,TRUE)))</f>
        <v>Advancing</v>
      </c>
      <c r="AV100">
        <f>(T100/$T$10)*100</f>
        <v>77.5</v>
      </c>
      <c r="AW100">
        <f>(U100/$U$10)*100</f>
        <v>65</v>
      </c>
      <c r="AX100">
        <f>(V100/$V$10)*100</f>
        <v>72.5</v>
      </c>
    </row>
    <row r="101">
      <c r="A101">
        <v>39</v>
      </c>
      <c r="B101" t="str">
        <f>INPUT!B101</f>
        <v>David, Trisha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f>IF(COUNT($F101:$J101)=0,"",SUM($F101:$J101))</f>
        <v>100</v>
      </c>
      <c r="L101">
        <f>IF(ISERROR(IF($K101="","",ROUND(($K101/$K$10)*$L$10,2))),"",IF($K101="","",ROUND(($K101/$K$10)*$L$10,2)))</f>
        <v>100</v>
      </c>
      <c r="M101">
        <f>IF($L101="","",ROUND($L101*$M$10,2))</f>
        <v>20</v>
      </c>
      <c r="N101">
        <v>50</v>
      </c>
      <c r="O101">
        <v>50</v>
      </c>
      <c r="P101">
        <v>50</v>
      </c>
      <c r="Q101">
        <f>IF(COUNT($N101:$P101)=0,"",SUM($N101:$P101))</f>
        <v>150</v>
      </c>
      <c r="R101">
        <f>IF(ISERROR(IF($Q101="","",ROUND(($Q101/$Q$10)*$R$10,2))),"",IF($Q101="","",ROUND(($Q101/$Q$10)*$R$10,2)))</f>
        <v>100</v>
      </c>
      <c r="S101">
        <f>IF($R101="","",ROUND($R101*$S$10,2))</f>
        <v>50</v>
      </c>
      <c r="T101">
        <v>22</v>
      </c>
      <c r="U101">
        <v>25</v>
      </c>
      <c r="V101">
        <v>24</v>
      </c>
      <c r="W101">
        <f>IF(COUNT($T101:$V101)=0,"",SUM($T101:$V101))</f>
        <v>71</v>
      </c>
      <c r="X101">
        <f>IF(ISERROR(IF($W101="","",ROUND(($W101/$W$10)*$X$10,2))),"",IF($W101="","",ROUND(($W101/$W$10)*$X$10,2)))</f>
        <v>59.17</v>
      </c>
      <c r="Y101">
        <f>IF($X101="","",ROUND($X101*$Y$10,2))</f>
        <v>17.75</v>
      </c>
      <c r="Z101">
        <f>IF(ISERROR(IF($V101="","",ROUND(SUM($M101,$S101,$Y101),2))),"",IF($V101="","",ROUND(SUM($M101,$S101,$Y101),2)))</f>
        <v>87.75</v>
      </c>
      <c r="AA101">
        <f>IF(ISERROR(IF($V101="","",VLOOKUP(Z101,NewTransmu,4,TRUE))),"",IF($V101="","",VLOOKUP(Z101,NewTransmu,4,TRUE)))</f>
        <v>89</v>
      </c>
      <c r="AB101" t="str">
        <f>IF(ISERROR(IF(AA101="","",VLOOKUP(AA101,DESCRIPTORS,4,TRUE))),"",IF(AA101="","",VLOOKUP(AA101,DESCRIPTORS,4,TRUE)))</f>
        <v>Benchmarking</v>
      </c>
      <c r="AV101">
        <f>(T101/$T$10)*100</f>
        <v>55.00000000000001</v>
      </c>
      <c r="AW101">
        <f>(U101/$U$10)*100</f>
        <v>62.5</v>
      </c>
      <c r="AX101">
        <f>(V101/$V$10)*100</f>
        <v>60</v>
      </c>
    </row>
    <row r="102">
      <c r="A102">
        <v>40</v>
      </c>
      <c r="B102" t="str">
        <f>INPUT!B102</f>
        <v>Escobar, Valerie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f>IF(COUNT($F102:$J102)=0,"",SUM($F102:$J102))</f>
        <v>100</v>
      </c>
      <c r="L102">
        <f>IF(ISERROR(IF($K102="","",ROUND(($K102/$K$10)*$L$10,2))),"",IF($K102="","",ROUND(($K102/$K$10)*$L$10,2)))</f>
        <v>100</v>
      </c>
      <c r="M102">
        <f>IF($L102="","",ROUND($L102*$M$10,2))</f>
        <v>20</v>
      </c>
      <c r="N102">
        <v>50</v>
      </c>
      <c r="O102">
        <v>50</v>
      </c>
      <c r="P102">
        <v>50</v>
      </c>
      <c r="Q102">
        <f>IF(COUNT($N102:$P102)=0,"",SUM($N102:$P102))</f>
        <v>150</v>
      </c>
      <c r="R102">
        <f>IF(ISERROR(IF($Q102="","",ROUND(($Q102/$Q$10)*$R$10,2))),"",IF($Q102="","",ROUND(($Q102/$Q$10)*$R$10,2)))</f>
        <v>100</v>
      </c>
      <c r="S102">
        <f>IF($R102="","",ROUND($R102*$S$10,2))</f>
        <v>50</v>
      </c>
      <c r="T102">
        <v>34</v>
      </c>
      <c r="U102">
        <v>30</v>
      </c>
      <c r="V102">
        <v>34</v>
      </c>
      <c r="W102">
        <f>IF(COUNT($T102:$V102)=0,"",SUM($T102:$V102))</f>
        <v>98</v>
      </c>
      <c r="X102">
        <f>IF(ISERROR(IF($W102="","",ROUND(($W102/$W$10)*$X$10,2))),"",IF($W102="","",ROUND(($W102/$W$10)*$X$10,2)))</f>
        <v>81.67</v>
      </c>
      <c r="Y102">
        <f>IF($X102="","",ROUND($X102*$Y$10,2))</f>
        <v>24.5</v>
      </c>
      <c r="Z102">
        <f>IF(ISERROR(IF($V102="","",ROUND(SUM($M102,$S102,$Y102),2))),"",IF($V102="","",ROUND(SUM($M102,$S102,$Y102),2)))</f>
        <v>94.5</v>
      </c>
      <c r="AA102">
        <f>IF(ISERROR(IF($V102="","",VLOOKUP(Z102,NewTransmu,4,TRUE))),"",IF($V102="","",VLOOKUP(Z102,NewTransmu,4,TRUE)))</f>
        <v>96</v>
      </c>
      <c r="AB102" t="str">
        <f>IF(ISERROR(IF(AA102="","",VLOOKUP(AA102,DESCRIPTORS,4,TRUE))),"",IF(AA102="","",VLOOKUP(AA102,DESCRIPTORS,4,TRUE)))</f>
        <v>Advancing</v>
      </c>
      <c r="AV102">
        <f>(T102/$T$10)*100</f>
        <v>85</v>
      </c>
      <c r="AW102">
        <f>(U102/$U$10)*100</f>
        <v>75</v>
      </c>
      <c r="AX102">
        <f>(V102/$V$10)*100</f>
        <v>85</v>
      </c>
    </row>
    <row r="103">
      <c r="A103">
        <v>41</v>
      </c>
      <c r="B103" t="str">
        <f>INPUT!B103</f>
        <v>Aguilar, Vanessa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f>IF(COUNT($F103:$J103)=0,"",SUM($F103:$J103))</f>
        <v>100</v>
      </c>
      <c r="L103">
        <f>IF(ISERROR(IF($K103="","",ROUND(($K103/$K$10)*$L$10,2))),"",IF($K103="","",ROUND(($K103/$K$10)*$L$10,2)))</f>
        <v>100</v>
      </c>
      <c r="M103">
        <f>IF($L103="","",ROUND($L103*$M$10,2))</f>
        <v>20</v>
      </c>
      <c r="N103">
        <v>50</v>
      </c>
      <c r="O103">
        <v>50</v>
      </c>
      <c r="P103">
        <v>50</v>
      </c>
      <c r="Q103">
        <f>IF(COUNT($N103:$P103)=0,"",SUM($N103:$P103))</f>
        <v>150</v>
      </c>
      <c r="R103">
        <f>IF(ISERROR(IF($Q103="","",ROUND(($Q103/$Q$10)*$R$10,2))),"",IF($Q103="","",ROUND(($Q103/$Q$10)*$R$10,2)))</f>
        <v>100</v>
      </c>
      <c r="S103">
        <f>IF($R103="","",ROUND($R103*$S$10,2))</f>
        <v>50</v>
      </c>
      <c r="T103">
        <v>29</v>
      </c>
      <c r="U103">
        <v>31</v>
      </c>
      <c r="V103">
        <v>33</v>
      </c>
      <c r="W103">
        <f>IF(COUNT($T103:$V103)=0,"",SUM($T103:$V103))</f>
        <v>93</v>
      </c>
      <c r="X103">
        <f>IF(ISERROR(IF($W103="","",ROUND(($W103/$W$10)*$X$10,2))),"",IF($W103="","",ROUND(($W103/$W$10)*$X$10,2)))</f>
        <v>77.5</v>
      </c>
      <c r="Y103">
        <f>IF($X103="","",ROUND($X103*$Y$10,2))</f>
        <v>23.25</v>
      </c>
      <c r="Z103">
        <f>IF(ISERROR(IF($V103="","",ROUND(SUM($M103,$S103,$Y103),2))),"",IF($V103="","",ROUND(SUM($M103,$S103,$Y103),2)))</f>
        <v>93.25</v>
      </c>
      <c r="AA103">
        <f>IF(ISERROR(IF($V103="","",VLOOKUP(Z103,NewTransmu,4,TRUE))),"",IF($V103="","",VLOOKUP(Z103,NewTransmu,4,TRUE)))</f>
        <v>95</v>
      </c>
      <c r="AB103" t="str">
        <f>IF(ISERROR(IF(AA103="","",VLOOKUP(AA103,DESCRIPTORS,4,TRUE))),"",IF(AA103="","",VLOOKUP(AA103,DESCRIPTORS,4,TRUE)))</f>
        <v>Advancing</v>
      </c>
      <c r="AV103">
        <f>(T103/$T$10)*100</f>
        <v>72.5</v>
      </c>
      <c r="AW103">
        <f>(U103/$U$10)*100</f>
        <v>77.5</v>
      </c>
      <c r="AX103">
        <f>(V103/$V$10)*100</f>
        <v>82.5</v>
      </c>
    </row>
    <row r="104">
      <c r="A104">
        <v>42</v>
      </c>
      <c r="B104" t="str">
        <f>INPUT!B104</f>
        <v>Alcantara, Veronica</v>
      </c>
      <c r="F104">
        <v>20</v>
      </c>
      <c r="G104">
        <v>20</v>
      </c>
      <c r="H104">
        <v>20</v>
      </c>
      <c r="I104">
        <v>20</v>
      </c>
      <c r="J104">
        <v>20</v>
      </c>
      <c r="K104">
        <f>IF(COUNT($F104:$J104)=0,"",SUM($F104:$J104))</f>
        <v>100</v>
      </c>
      <c r="L104">
        <f>IF(ISERROR(IF($K104="","",ROUND(($K104/$K$10)*$L$10,2))),"",IF($K104="","",ROUND(($K104/$K$10)*$L$10,2)))</f>
        <v>100</v>
      </c>
      <c r="M104">
        <f>IF($L104="","",ROUND($L104*$M$10,2))</f>
        <v>20</v>
      </c>
      <c r="N104">
        <v>50</v>
      </c>
      <c r="O104">
        <v>50</v>
      </c>
      <c r="P104">
        <v>50</v>
      </c>
      <c r="Q104">
        <f>IF(COUNT($N104:$P104)=0,"",SUM($N104:$P104))</f>
        <v>150</v>
      </c>
      <c r="R104">
        <f>IF(ISERROR(IF($Q104="","",ROUND(($Q104/$Q$10)*$R$10,2))),"",IF($Q104="","",ROUND(($Q104/$Q$10)*$R$10,2)))</f>
        <v>100</v>
      </c>
      <c r="S104">
        <f>IF($R104="","",ROUND($R104*$S$10,2))</f>
        <v>50</v>
      </c>
      <c r="T104">
        <v>36</v>
      </c>
      <c r="U104">
        <v>38</v>
      </c>
      <c r="V104">
        <v>36</v>
      </c>
      <c r="W104">
        <f>IF(COUNT($T104:$V104)=0,"",SUM($T104:$V104))</f>
        <v>110</v>
      </c>
      <c r="X104">
        <f>IF(ISERROR(IF($W104="","",ROUND(($W104/$W$10)*$X$10,2))),"",IF($W104="","",ROUND(($W104/$W$10)*$X$10,2)))</f>
        <v>91.67</v>
      </c>
      <c r="Y104">
        <f>IF($X104="","",ROUND($X104*$Y$10,2))</f>
        <v>27.5</v>
      </c>
      <c r="Z104">
        <f>IF(ISERROR(IF($V104="","",ROUND(SUM($M104,$S104,$Y104),2))),"",IF($V104="","",ROUND(SUM($M104,$S104,$Y104),2)))</f>
        <v>97.5</v>
      </c>
      <c r="AA104">
        <f>IF(ISERROR(IF($V104="","",VLOOKUP(Z104,NewTransmu,4,TRUE))),"",IF($V104="","",VLOOKUP(Z104,NewTransmu,4,TRUE)))</f>
        <v>99</v>
      </c>
      <c r="AB104" t="str">
        <f>IF(ISERROR(IF(AA104="","",VLOOKUP(AA104,DESCRIPTORS,4,TRUE))),"",IF(AA104="","",VLOOKUP(AA104,DESCRIPTORS,4,TRUE)))</f>
        <v>Advancing</v>
      </c>
      <c r="AV104">
        <f>(T104/$T$10)*100</f>
        <v>90</v>
      </c>
      <c r="AW104">
        <f>(U104/$U$10)*100</f>
        <v>95</v>
      </c>
      <c r="AX104">
        <f>(V104/$V$10)*100</f>
        <v>90</v>
      </c>
    </row>
    <row r="105">
      <c r="A105">
        <v>43</v>
      </c>
      <c r="B105" t="str">
        <f>INPUT!B105</f>
        <v>Andrada, Victoria</v>
      </c>
      <c r="F105">
        <v>20</v>
      </c>
      <c r="G105">
        <v>20</v>
      </c>
      <c r="H105">
        <v>20</v>
      </c>
      <c r="I105">
        <v>20</v>
      </c>
      <c r="J105">
        <v>20</v>
      </c>
      <c r="K105">
        <f>IF(COUNT($F105:$J105)=0,"",SUM($F105:$J105))</f>
        <v>100</v>
      </c>
      <c r="L105">
        <f>IF(ISERROR(IF($K105="","",ROUND(($K105/$K$10)*$L$10,2))),"",IF($K105="","",ROUND(($K105/$K$10)*$L$10,2)))</f>
        <v>100</v>
      </c>
      <c r="M105">
        <f>IF($L105="","",ROUND($L105*$M$10,2))</f>
        <v>20</v>
      </c>
      <c r="N105">
        <v>50</v>
      </c>
      <c r="O105">
        <v>50</v>
      </c>
      <c r="P105">
        <v>50</v>
      </c>
      <c r="Q105">
        <f>IF(COUNT($N105:$P105)=0,"",SUM($N105:$P105))</f>
        <v>150</v>
      </c>
      <c r="R105">
        <f>IF(ISERROR(IF($Q105="","",ROUND(($Q105/$Q$10)*$R$10,2))),"",IF($Q105="","",ROUND(($Q105/$Q$10)*$R$10,2)))</f>
        <v>100</v>
      </c>
      <c r="S105">
        <f>IF($R105="","",ROUND($R105*$S$10,2))</f>
        <v>50</v>
      </c>
      <c r="T105">
        <v>31</v>
      </c>
      <c r="U105">
        <v>30</v>
      </c>
      <c r="V105">
        <v>29</v>
      </c>
      <c r="W105">
        <f>IF(COUNT($T105:$V105)=0,"",SUM($T105:$V105))</f>
        <v>90</v>
      </c>
      <c r="X105">
        <f>IF(ISERROR(IF($W105="","",ROUND(($W105/$W$10)*$X$10,2))),"",IF($W105="","",ROUND(($W105/$W$10)*$X$10,2)))</f>
        <v>75</v>
      </c>
      <c r="Y105">
        <f>IF($X105="","",ROUND($X105*$Y$10,2))</f>
        <v>22.5</v>
      </c>
      <c r="Z105">
        <f>IF(ISERROR(IF($V105="","",ROUND(SUM($M105,$S105,$Y105),2))),"",IF($V105="","",ROUND(SUM($M105,$S105,$Y105),2)))</f>
        <v>92.5</v>
      </c>
      <c r="AA105">
        <f>IF(ISERROR(IF($V105="","",VLOOKUP(Z105,NewTransmu,4,TRUE))),"",IF($V105="","",VLOOKUP(Z105,NewTransmu,4,TRUE)))</f>
        <v>94</v>
      </c>
      <c r="AB105" t="str">
        <f>IF(ISERROR(IF(AA105="","",VLOOKUP(AA105,DESCRIPTORS,4,TRUE))),"",IF(AA105="","",VLOOKUP(AA105,DESCRIPTORS,4,TRUE)))</f>
        <v>Advancing</v>
      </c>
      <c r="AV105">
        <f>(T105/$T$10)*100</f>
        <v>77.5</v>
      </c>
      <c r="AW105">
        <f>(U105/$U$10)*100</f>
        <v>75</v>
      </c>
      <c r="AX105">
        <f>(V105/$V$10)*100</f>
        <v>72.5</v>
      </c>
    </row>
    <row r="106">
      <c r="A106">
        <v>44</v>
      </c>
      <c r="B106" t="str">
        <f>INPUT!B106</f>
        <v>Bautista, Yasmine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f>IF(COUNT($F106:$J106)=0,"",SUM($F106:$J106))</f>
        <v>100</v>
      </c>
      <c r="L106">
        <f>IF(ISERROR(IF($K106="","",ROUND(($K106/$K$10)*$L$10,2))),"",IF($K106="","",ROUND(($K106/$K$10)*$L$10,2)))</f>
        <v>100</v>
      </c>
      <c r="M106">
        <f>IF($L106="","",ROUND($L106*$M$10,2))</f>
        <v>20</v>
      </c>
      <c r="N106">
        <v>50</v>
      </c>
      <c r="O106">
        <v>50</v>
      </c>
      <c r="P106">
        <v>50</v>
      </c>
      <c r="Q106">
        <f>IF(COUNT($N106:$P106)=0,"",SUM($N106:$P106))</f>
        <v>150</v>
      </c>
      <c r="R106">
        <f>IF(ISERROR(IF($Q106="","",ROUND(($Q106/$Q$10)*$R$10,2))),"",IF($Q106="","",ROUND(($Q106/$Q$10)*$R$10,2)))</f>
        <v>100</v>
      </c>
      <c r="S106">
        <f>IF($R106="","",ROUND($R106*$S$10,2))</f>
        <v>50</v>
      </c>
      <c r="T106">
        <v>34</v>
      </c>
      <c r="U106">
        <v>34</v>
      </c>
      <c r="V106">
        <v>30</v>
      </c>
      <c r="W106">
        <f>IF(COUNT($T106:$V106)=0,"",SUM($T106:$V106))</f>
        <v>98</v>
      </c>
      <c r="X106">
        <f>IF(ISERROR(IF($W106="","",ROUND(($W106/$W$10)*$X$10,2))),"",IF($W106="","",ROUND(($W106/$W$10)*$X$10,2)))</f>
        <v>81.67</v>
      </c>
      <c r="Y106">
        <f>IF($X106="","",ROUND($X106*$Y$10,2))</f>
        <v>24.5</v>
      </c>
      <c r="Z106">
        <f>IF(ISERROR(IF($V106="","",ROUND(SUM($M106,$S106,$Y106),2))),"",IF($V106="","",ROUND(SUM($M106,$S106,$Y106),2)))</f>
        <v>94.5</v>
      </c>
      <c r="AA106">
        <f>IF(ISERROR(IF($V106="","",VLOOKUP(Z106,NewTransmu,4,TRUE))),"",IF($V106="","",VLOOKUP(Z106,NewTransmu,4,TRUE)))</f>
        <v>96</v>
      </c>
      <c r="AB106" t="str">
        <f>IF(ISERROR(IF(AA106="","",VLOOKUP(AA106,DESCRIPTORS,4,TRUE))),"",IF(AA106="","",VLOOKUP(AA106,DESCRIPTORS,4,TRUE)))</f>
        <v>Advancing</v>
      </c>
      <c r="AV106">
        <f>(T106/$T$10)*100</f>
        <v>85</v>
      </c>
      <c r="AW106">
        <f>(U106/$U$10)*100</f>
        <v>85</v>
      </c>
      <c r="AX106">
        <f>(V106/$V$10)*100</f>
        <v>75</v>
      </c>
    </row>
    <row r="107">
      <c r="A107">
        <v>45</v>
      </c>
      <c r="B107" t="str">
        <f>INPUT!B107</f>
        <v>Bernardo, Zoe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f>IF(COUNT($F107:$J107)=0,"",SUM($F107:$J107))</f>
        <v>100</v>
      </c>
      <c r="L107">
        <f>IF(ISERROR(IF($K107="","",ROUND(($K107/$K$10)*$L$10,2))),"",IF($K107="","",ROUND(($K107/$K$10)*$L$10,2)))</f>
        <v>100</v>
      </c>
      <c r="M107">
        <f>IF($L107="","",ROUND($L107*$M$10,2))</f>
        <v>20</v>
      </c>
      <c r="N107">
        <v>50</v>
      </c>
      <c r="O107">
        <v>50</v>
      </c>
      <c r="P107">
        <v>50</v>
      </c>
      <c r="Q107">
        <f>IF(COUNT($N107:$P107)=0,"",SUM($N107:$P107))</f>
        <v>150</v>
      </c>
      <c r="R107">
        <f>IF(ISERROR(IF($Q107="","",ROUND(($Q107/$Q$10)*$R$10,2))),"",IF($Q107="","",ROUND(($Q107/$Q$10)*$R$10,2)))</f>
        <v>100</v>
      </c>
      <c r="S107">
        <f>IF($R107="","",ROUND($R107*$S$10,2))</f>
        <v>50</v>
      </c>
      <c r="T107">
        <v>35</v>
      </c>
      <c r="U107">
        <v>34</v>
      </c>
      <c r="V107">
        <v>34</v>
      </c>
      <c r="W107">
        <f>IF(COUNT($T107:$V107)=0,"",SUM($T107:$V107))</f>
        <v>103</v>
      </c>
      <c r="X107">
        <f>IF(ISERROR(IF($W107="","",ROUND(($W107/$W$10)*$X$10,2))),"",IF($W107="","",ROUND(($W107/$W$10)*$X$10,2)))</f>
        <v>85.83</v>
      </c>
      <c r="Y107">
        <f>IF($X107="","",ROUND($X107*$Y$10,2))</f>
        <v>25.75</v>
      </c>
      <c r="Z107">
        <f>IF(ISERROR(IF($V107="","",ROUND(SUM($M107,$S107,$Y107),2))),"",IF($V107="","",ROUND(SUM($M107,$S107,$Y107),2)))</f>
        <v>95.75</v>
      </c>
      <c r="AA107">
        <f>IF(ISERROR(IF($V107="","",VLOOKUP(Z107,NewTransmu,4,TRUE))),"",IF($V107="","",VLOOKUP(Z107,NewTransmu,4,TRUE)))</f>
        <v>97</v>
      </c>
      <c r="AB107" t="str">
        <f>IF(ISERROR(IF(AA107="","",VLOOKUP(AA107,DESCRIPTORS,4,TRUE))),"",IF(AA107="","",VLOOKUP(AA107,DESCRIPTORS,4,TRUE)))</f>
        <v>Advancing</v>
      </c>
      <c r="AV107">
        <f>(T107/$T$10)*100</f>
        <v>87.5</v>
      </c>
      <c r="AW107">
        <f>(U107/$U$10)*100</f>
        <v>85</v>
      </c>
      <c r="AX107">
        <f>(V107/$V$10)*100</f>
        <v>85</v>
      </c>
    </row>
    <row r="108">
      <c r="A108">
        <v>46</v>
      </c>
      <c r="B108" t="str">
        <f>INPUT!B108</f>
        <v>Castillo, Amara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f>IF(COUNT($F108:$J108)=0,"",SUM($F108:$J108))</f>
        <v>100</v>
      </c>
      <c r="L108">
        <f>IF(ISERROR(IF($K108="","",ROUND(($K108/$K$10)*$L$10,2))),"",IF($K108="","",ROUND(($K108/$K$10)*$L$10,2)))</f>
        <v>100</v>
      </c>
      <c r="M108">
        <f>IF($L108="","",ROUND($L108*$M$10,2))</f>
        <v>20</v>
      </c>
      <c r="N108">
        <v>50</v>
      </c>
      <c r="O108">
        <v>50</v>
      </c>
      <c r="P108">
        <v>50</v>
      </c>
      <c r="Q108">
        <f>IF(COUNT($N108:$P108)=0,"",SUM($N108:$P108))</f>
        <v>150</v>
      </c>
      <c r="R108">
        <f>IF(ISERROR(IF($Q108="","",ROUND(($Q108/$Q$10)*$R$10,2))),"",IF($Q108="","",ROUND(($Q108/$Q$10)*$R$10,2)))</f>
        <v>100</v>
      </c>
      <c r="S108">
        <f>IF($R108="","",ROUND($R108*$S$10,2))</f>
        <v>50</v>
      </c>
      <c r="T108">
        <v>32</v>
      </c>
      <c r="U108">
        <v>34</v>
      </c>
      <c r="V108">
        <v>37</v>
      </c>
      <c r="W108">
        <f>IF(COUNT($T108:$V108)=0,"",SUM($T108:$V108))</f>
        <v>103</v>
      </c>
      <c r="X108">
        <f>IF(ISERROR(IF($W108="","",ROUND(($W108/$W$10)*$X$10,2))),"",IF($W108="","",ROUND(($W108/$W$10)*$X$10,2)))</f>
        <v>85.83</v>
      </c>
      <c r="Y108">
        <f>IF($X108="","",ROUND($X108*$Y$10,2))</f>
        <v>25.75</v>
      </c>
      <c r="Z108">
        <f>IF(ISERROR(IF($V108="","",ROUND(SUM($M108,$S108,$Y108),2))),"",IF($V108="","",ROUND(SUM($M108,$S108,$Y108),2)))</f>
        <v>95.75</v>
      </c>
      <c r="AA108">
        <f>IF(ISERROR(IF($V108="","",VLOOKUP(Z108,NewTransmu,4,TRUE))),"",IF($V108="","",VLOOKUP(Z108,NewTransmu,4,TRUE)))</f>
        <v>97</v>
      </c>
      <c r="AB108" t="str">
        <f>IF(ISERROR(IF(AA108="","",VLOOKUP(AA108,DESCRIPTORS,4,TRUE))),"",IF(AA108="","",VLOOKUP(AA108,DESCRIPTORS,4,TRUE)))</f>
        <v>Advancing</v>
      </c>
      <c r="AV108">
        <f>(T108/$T$10)*100</f>
        <v>80</v>
      </c>
      <c r="AW108">
        <f>(U108/$U$10)*100</f>
        <v>85</v>
      </c>
      <c r="AX108">
        <f>(V108/$V$10)*100</f>
        <v>92.5</v>
      </c>
    </row>
    <row r="109">
      <c r="A109">
        <v>47</v>
      </c>
      <c r="B109" t="str">
        <f>INPUT!B109</f>
        <v>Cruz, Andrea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f>IF(COUNT($F109:$J109)=0,"",SUM($F109:$J109))</f>
        <v>100</v>
      </c>
      <c r="L109">
        <f>IF(ISERROR(IF($K109="","",ROUND(($K109/$K$10)*$L$10,2))),"",IF($K109="","",ROUND(($K109/$K$10)*$L$10,2)))</f>
        <v>100</v>
      </c>
      <c r="M109">
        <f>IF($L109="","",ROUND($L109*$M$10,2))</f>
        <v>20</v>
      </c>
      <c r="N109">
        <v>50</v>
      </c>
      <c r="O109">
        <v>50</v>
      </c>
      <c r="P109">
        <v>50</v>
      </c>
      <c r="Q109">
        <f>IF(COUNT($N109:$P109)=0,"",SUM($N109:$P109))</f>
        <v>150</v>
      </c>
      <c r="R109">
        <f>IF(ISERROR(IF($Q109="","",ROUND(($Q109/$Q$10)*$R$10,2))),"",IF($Q109="","",ROUND(($Q109/$Q$10)*$R$10,2)))</f>
        <v>100</v>
      </c>
      <c r="S109">
        <f>IF($R109="","",ROUND($R109*$S$10,2))</f>
        <v>50</v>
      </c>
      <c r="T109">
        <v>32</v>
      </c>
      <c r="U109">
        <v>32</v>
      </c>
      <c r="V109">
        <v>37</v>
      </c>
      <c r="W109">
        <f>IF(COUNT($T109:$V109)=0,"",SUM($T109:$V109))</f>
        <v>101</v>
      </c>
      <c r="X109">
        <f>IF(ISERROR(IF($W109="","",ROUND(($W109/$W$10)*$X$10,2))),"",IF($W109="","",ROUND(($W109/$W$10)*$X$10,2)))</f>
        <v>84.17</v>
      </c>
      <c r="Y109">
        <f>IF($X109="","",ROUND($X109*$Y$10,2))</f>
        <v>25.25</v>
      </c>
      <c r="Z109">
        <f>IF(ISERROR(IF($V109="","",ROUND(SUM($M109,$S109,$Y109),2))),"",IF($V109="","",ROUND(SUM($M109,$S109,$Y109),2)))</f>
        <v>95.25</v>
      </c>
      <c r="AA109">
        <f>IF(ISERROR(IF($V109="","",VLOOKUP(Z109,NewTransmu,4,TRUE))),"",IF($V109="","",VLOOKUP(Z109,NewTransmu,4,TRUE)))</f>
        <v>97</v>
      </c>
      <c r="AB109" t="str">
        <f>IF(ISERROR(IF(AA109="","",VLOOKUP(AA109,DESCRIPTORS,4,TRUE))),"",IF(AA109="","",VLOOKUP(AA109,DESCRIPTORS,4,TRUE)))</f>
        <v>Advancing</v>
      </c>
      <c r="AV109">
        <f>(T109/$T$10)*100</f>
        <v>80</v>
      </c>
      <c r="AW109">
        <f>(U109/$U$10)*100</f>
        <v>80</v>
      </c>
      <c r="AX109">
        <f>(V109/$V$10)*100</f>
        <v>92.5</v>
      </c>
    </row>
    <row r="110">
      <c r="A110">
        <v>48</v>
      </c>
      <c r="B110" t="str">
        <f>INPUT!B110</f>
        <v>Dela Cruz, Beatriz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f>IF(COUNT($F110:$J110)=0,"",SUM($F110:$J110))</f>
        <v>100</v>
      </c>
      <c r="L110">
        <f>IF(ISERROR(IF($K110="","",ROUND(($K110/$K$10)*$L$10,2))),"",IF($K110="","",ROUND(($K110/$K$10)*$L$10,2)))</f>
        <v>100</v>
      </c>
      <c r="M110">
        <f>IF($L110="","",ROUND($L110*$M$10,2))</f>
        <v>20</v>
      </c>
      <c r="N110">
        <v>50</v>
      </c>
      <c r="O110">
        <v>50</v>
      </c>
      <c r="P110">
        <v>50</v>
      </c>
      <c r="Q110">
        <f>IF(COUNT($N110:$P110)=0,"",SUM($N110:$P110))</f>
        <v>150</v>
      </c>
      <c r="R110">
        <f>IF(ISERROR(IF($Q110="","",ROUND(($Q110/$Q$10)*$R$10,2))),"",IF($Q110="","",ROUND(($Q110/$Q$10)*$R$10,2)))</f>
        <v>100</v>
      </c>
      <c r="S110">
        <f>IF($R110="","",ROUND($R110*$S$10,2))</f>
        <v>50</v>
      </c>
      <c r="T110">
        <v>37</v>
      </c>
      <c r="U110">
        <v>37</v>
      </c>
      <c r="V110">
        <v>37</v>
      </c>
      <c r="W110">
        <f>IF(COUNT($T110:$V110)=0,"",SUM($T110:$V110))</f>
        <v>111</v>
      </c>
      <c r="X110">
        <f>IF(ISERROR(IF($W110="","",ROUND(($W110/$W$10)*$X$10,2))),"",IF($W110="","",ROUND(($W110/$W$10)*$X$10,2)))</f>
        <v>92.5</v>
      </c>
      <c r="Y110">
        <f>IF($X110="","",ROUND($X110*$Y$10,2))</f>
        <v>27.75</v>
      </c>
      <c r="Z110">
        <f>IF(ISERROR(IF($V110="","",ROUND(SUM($M110,$S110,$Y110),2))),"",IF($V110="","",ROUND(SUM($M110,$S110,$Y110),2)))</f>
        <v>97.75</v>
      </c>
      <c r="AA110">
        <f>IF(ISERROR(IF($V110="","",VLOOKUP(Z110,NewTransmu,4,TRUE))),"",IF($V110="","",VLOOKUP(Z110,NewTransmu,4,TRUE)))</f>
        <v>99</v>
      </c>
      <c r="AB110" t="str">
        <f>IF(ISERROR(IF(AA110="","",VLOOKUP(AA110,DESCRIPTORS,4,TRUE))),"",IF(AA110="","",VLOOKUP(AA110,DESCRIPTORS,4,TRUE)))</f>
        <v>Advancing</v>
      </c>
      <c r="AV110">
        <f>(T110/$T$10)*100</f>
        <v>92.5</v>
      </c>
      <c r="AW110">
        <f>(U110/$U$10)*100</f>
        <v>92.5</v>
      </c>
      <c r="AX110">
        <f>(V110/$V$10)*100</f>
        <v>92.5</v>
      </c>
    </row>
    <row r="111">
      <c r="A111">
        <v>49</v>
      </c>
      <c r="B111" t="str">
        <f>INPUT!B111</f>
        <v>Diaz, Celine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f>IF(COUNT($F111:$J111)=0,"",SUM($F111:$J111))</f>
        <v>100</v>
      </c>
      <c r="L111">
        <f>IF(ISERROR(IF($K111="","",ROUND(($K111/$K$10)*$L$10,2))),"",IF($K111="","",ROUND(($K111/$K$10)*$L$10,2)))</f>
        <v>100</v>
      </c>
      <c r="M111">
        <f>IF($L111="","",ROUND($L111*$M$10,2))</f>
        <v>20</v>
      </c>
      <c r="N111">
        <v>50</v>
      </c>
      <c r="O111">
        <v>50</v>
      </c>
      <c r="P111">
        <v>50</v>
      </c>
      <c r="Q111">
        <f>IF(COUNT($N111:$P111)=0,"",SUM($N111:$P111))</f>
        <v>150</v>
      </c>
      <c r="R111">
        <f>IF(ISERROR(IF($Q111="","",ROUND(($Q111/$Q$10)*$R$10,2))),"",IF($Q111="","",ROUND(($Q111/$Q$10)*$R$10,2)))</f>
        <v>100</v>
      </c>
      <c r="S111">
        <f>IF($R111="","",ROUND($R111*$S$10,2))</f>
        <v>50</v>
      </c>
      <c r="T111">
        <v>30</v>
      </c>
      <c r="U111">
        <v>30</v>
      </c>
      <c r="V111">
        <v>31</v>
      </c>
      <c r="W111">
        <f>IF(COUNT($T111:$V111)=0,"",SUM($T111:$V111))</f>
        <v>91</v>
      </c>
      <c r="X111">
        <f>IF(ISERROR(IF($W111="","",ROUND(($W111/$W$10)*$X$10,2))),"",IF($W111="","",ROUND(($W111/$W$10)*$X$10,2)))</f>
        <v>75.83</v>
      </c>
      <c r="Y111">
        <f>IF($X111="","",ROUND($X111*$Y$10,2))</f>
        <v>22.75</v>
      </c>
      <c r="Z111">
        <f>IF(ISERROR(IF($V111="","",ROUND(SUM($M111,$S111,$Y111),2))),"",IF($V111="","",ROUND(SUM($M111,$S111,$Y111),2)))</f>
        <v>92.75</v>
      </c>
      <c r="AA111">
        <f>IF(ISERROR(IF($V111="","",VLOOKUP(Z111,NewTransmu,4,TRUE))),"",IF($V111="","",VLOOKUP(Z111,NewTransmu,4,TRUE)))</f>
        <v>94</v>
      </c>
      <c r="AB111" t="str">
        <f>IF(ISERROR(IF(AA111="","",VLOOKUP(AA111,DESCRIPTORS,4,TRUE))),"",IF(AA111="","",VLOOKUP(AA111,DESCRIPTORS,4,TRUE)))</f>
        <v>Advancing</v>
      </c>
      <c r="AV111">
        <f>(T111/$T$10)*100</f>
        <v>75</v>
      </c>
      <c r="AW111">
        <f>(U111/$U$10)*100</f>
        <v>75</v>
      </c>
      <c r="AX111">
        <f>(V111/$V$10)*100</f>
        <v>77.5</v>
      </c>
    </row>
    <row r="112">
      <c r="A112">
        <v>50</v>
      </c>
      <c r="B112" t="str">
        <f>INPUT!B112</f>
        <v>Evangelista, Danielle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f>IF(COUNT($F112:$J112)=0,"",SUM($F112:$J112))</f>
        <v>100</v>
      </c>
      <c r="L112">
        <f>IF(ISERROR(IF($K112="","",ROUND(($K112/$K$10)*$L$10,2))),"",IF($K112="","",ROUND(($K112/$K$10)*$L$10,2)))</f>
        <v>100</v>
      </c>
      <c r="M112">
        <f>IF($L112="","",ROUND($L112*$M$10,2))</f>
        <v>20</v>
      </c>
      <c r="N112">
        <v>50</v>
      </c>
      <c r="O112">
        <v>50</v>
      </c>
      <c r="P112">
        <v>50</v>
      </c>
      <c r="Q112">
        <f>IF(COUNT($N112:$P112)=0,"",SUM($N112:$P112))</f>
        <v>150</v>
      </c>
      <c r="R112">
        <f>IF(ISERROR(IF($Q112="","",ROUND(($Q112/$Q$10)*$R$10,2))),"",IF($Q112="","",ROUND(($Q112/$Q$10)*$R$10,2)))</f>
        <v>100</v>
      </c>
      <c r="S112">
        <f>IF($R112="","",ROUND($R112*$S$10,2))</f>
        <v>50</v>
      </c>
      <c r="T112">
        <v>38</v>
      </c>
      <c r="U112">
        <v>34</v>
      </c>
      <c r="V112">
        <v>34</v>
      </c>
      <c r="W112">
        <f>IF(COUNT($T112:$V112)=0,"",SUM($T112:$V112))</f>
        <v>106</v>
      </c>
      <c r="X112">
        <f>IF(ISERROR(IF($W112="","",ROUND(($W112/$W$10)*$X$10,2))),"",IF($W112="","",ROUND(($W112/$W$10)*$X$10,2)))</f>
        <v>88.33</v>
      </c>
      <c r="Y112">
        <f>IF($X112="","",ROUND($X112*$Y$10,2))</f>
        <v>26.5</v>
      </c>
      <c r="Z112">
        <f>IF(ISERROR(IF($V112="","",ROUND(SUM($M112,$S112,$Y112),2))),"",IF($V112="","",ROUND(SUM($M112,$S112,$Y112),2)))</f>
        <v>96.5</v>
      </c>
      <c r="AA112">
        <f>IF(ISERROR(IF($V112="","",VLOOKUP(Z112,NewTransmu,4,TRUE))),"",IF($V112="","",VLOOKUP(Z112,NewTransmu,4,TRUE)))</f>
        <v>98</v>
      </c>
      <c r="AB112" t="str">
        <f>IF(ISERROR(IF(AA112="","",VLOOKUP(AA112,DESCRIPTORS,4,TRUE))),"",IF(AA112="","",VLOOKUP(AA112,DESCRIPTORS,4,TRUE)))</f>
        <v>Advancing</v>
      </c>
      <c r="AV112">
        <f>(T112/$T$10)*100</f>
        <v>95</v>
      </c>
      <c r="AW112">
        <f>(U112/$U$10)*100</f>
        <v>85</v>
      </c>
      <c r="AX112">
        <f>(V112/$V$10)*100</f>
        <v>85</v>
      </c>
    </row>
  </sheetData>
  <autoFilter ref="B11:B112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numberStoredAsText="1" sqref="A1:AZ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Z119"/>
  <sheetViews>
    <sheetView workbookViewId="0" rightToLeft="0"/>
  </sheetViews>
  <sheetData>
    <row r="1">
      <c r="A1" t="str">
        <v xml:space="preserve">Class Record </v>
      </c>
    </row>
    <row r="4">
      <c r="B4" t="str">
        <v>REGION</v>
      </c>
      <c r="G4" t="str">
        <f>INPUT!G4</f>
        <v>Region IV-A CALABARZON</v>
      </c>
      <c r="I4" t="str">
        <v>DIVISION</v>
      </c>
      <c r="L4" t="str">
        <f>INPUT!L4</f>
        <v>Division of Quezon</v>
      </c>
    </row>
    <row r="5">
      <c r="B5" t="str">
        <v>SCHOOL NAME</v>
      </c>
      <c r="G5" t="str">
        <f>INPUT!G5</f>
        <v>San Isidro Elementary School</v>
      </c>
      <c r="Q5" t="str">
        <v>SCHOOL ID</v>
      </c>
      <c r="S5" t="str">
        <f>INPUT!S5</f>
        <v>107845</v>
      </c>
      <c r="V5" t="str">
        <v>SCHOOL YEAR</v>
      </c>
      <c r="Z5" t="str">
        <f>INPUT!Y5</f>
        <v>2026-2027</v>
      </c>
    </row>
    <row r="7">
      <c r="A7" t="str">
        <v>TERM 2</v>
      </c>
      <c r="F7" t="str">
        <v xml:space="preserve">GRADE &amp; SECTION: </v>
      </c>
      <c r="J7" t="str">
        <f>INPUT!J7</f>
        <v>Grade 4 - Mabini</v>
      </c>
      <c r="N7" t="str">
        <v>TEACHER:</v>
      </c>
      <c r="Q7" t="str">
        <f>INPUT!Q7</f>
        <v>Maria Elena Santos</v>
      </c>
      <c r="X7" t="str">
        <v>SUBJECT:</v>
      </c>
      <c r="Z7" t="str">
        <f>INPUT!Y7</f>
        <v>English</v>
      </c>
    </row>
    <row r="8">
      <c r="B8" t="str">
        <v>LEARNERS' NAMES</v>
      </c>
      <c r="F8" t="str">
        <v>WRITTEN / ORAL WORKS (20%)</v>
      </c>
      <c r="N8" t="str">
        <v>PRODUCT / PERFORMANCE TASKS (50%)</v>
      </c>
      <c r="T8" t="str">
        <v>SUMMATIVE TESTS AND TERM EXAMINATIONS (30%)</v>
      </c>
      <c r="Z8" t="str">
        <v>Initial Grade</v>
      </c>
      <c r="AA8" t="str">
        <v>Term Grade</v>
      </c>
      <c r="AB8" t="str">
        <v>Descriptior</v>
      </c>
    </row>
    <row r="9">
      <c r="F9">
        <v>1</v>
      </c>
      <c r="G9">
        <v>2</v>
      </c>
      <c r="H9">
        <v>3</v>
      </c>
      <c r="I9">
        <v>4</v>
      </c>
      <c r="J9">
        <v>5</v>
      </c>
      <c r="K9" t="str">
        <v>Total</v>
      </c>
      <c r="L9" t="str">
        <v>PS</v>
      </c>
      <c r="M9" t="str">
        <v>WS</v>
      </c>
      <c r="N9">
        <v>1</v>
      </c>
      <c r="O9">
        <v>2</v>
      </c>
      <c r="P9">
        <v>3</v>
      </c>
      <c r="Q9" t="str">
        <v>Total</v>
      </c>
      <c r="R9" t="str">
        <v>PS</v>
      </c>
      <c r="S9" t="str">
        <v>WS</v>
      </c>
      <c r="T9" t="str">
        <v>ST1</v>
      </c>
      <c r="U9" t="str">
        <v>ST2</v>
      </c>
      <c r="V9" t="str">
        <v>TE</v>
      </c>
      <c r="W9" t="str">
        <v>Total</v>
      </c>
      <c r="X9" t="str">
        <v>PS</v>
      </c>
      <c r="Y9" t="str">
        <v>WS</v>
      </c>
    </row>
    <row r="10">
      <c r="B10" t="str">
        <v>HIGHEST POSSIBLE SCORE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</row>
    <row r="11">
      <c r="B11" t="str">
        <v xml:space="preserve">MALE </v>
      </c>
      <c r="AD11" t="str">
        <v>TEST/EXAM RESULT ANALYSIS</v>
      </c>
      <c r="AV11" t="str">
        <v>ST1</v>
      </c>
      <c r="AW11" t="str">
        <v>ST2</v>
      </c>
      <c r="AX11" t="str">
        <v>TE</v>
      </c>
    </row>
    <row r="12">
      <c r="A12">
        <v>1</v>
      </c>
      <c r="B12" t="str">
        <f>INPUT!B12</f>
        <v>Aguilar, Adrian</v>
      </c>
      <c r="F12">
        <v>20</v>
      </c>
      <c r="G12">
        <v>20</v>
      </c>
      <c r="H12">
        <v>20</v>
      </c>
      <c r="I12">
        <v>20</v>
      </c>
      <c r="J12">
        <v>20</v>
      </c>
      <c r="K12">
        <f>IF(COUNT($F12:$J12)=0,"",SUM($F12:$J12))</f>
        <v>100</v>
      </c>
      <c r="L12">
        <f>IF(ISERROR(IF($K12="","",ROUND(($K12/$K$10)*$L$10,2))),"",IF($K12="","",ROUND(($K12/$K$10)*$L$10,2)))</f>
        <v>100</v>
      </c>
      <c r="M12">
        <f>IF($L12="","",ROUND($L12*$M$10,2))</f>
        <v>20</v>
      </c>
      <c r="N12">
        <v>50</v>
      </c>
      <c r="O12">
        <v>50</v>
      </c>
      <c r="P12">
        <v>50</v>
      </c>
      <c r="Q12">
        <f>IF(COUNT($N12:$P12)=0,"",SUM($N12:$P12))</f>
        <v>150</v>
      </c>
      <c r="R12">
        <f>IF(ISERROR(IF($Q12="","",ROUND(($Q12/$Q$10)*$R$10,2))),"",IF($Q12="","",ROUND(($Q12/$Q$10)*$R$10,2)))</f>
        <v>100</v>
      </c>
      <c r="S12">
        <f>IF($R12="","",ROUND($R12*$S$10,2))</f>
        <v>50</v>
      </c>
      <c r="T12">
        <v>29</v>
      </c>
      <c r="U12">
        <v>32</v>
      </c>
      <c r="V12">
        <v>34</v>
      </c>
      <c r="W12">
        <f>IF(COUNT($T12:$V12)=0,"",SUM($T12:$V12))</f>
        <v>95</v>
      </c>
      <c r="X12">
        <f>IF(ISERROR(IF($W12="","",ROUND(($W12/$W$10)*$X$10,2))),"",IF($W12="","",ROUND(($W12/$W$10)*$X$10,2)))</f>
        <v>79.17</v>
      </c>
      <c r="Y12">
        <f>IF($X12="","",ROUND($X12*$Y$10,2))</f>
        <v>23.75</v>
      </c>
      <c r="Z12">
        <f>IF(ISERROR(IF($W12="","",ROUND(SUM($M12,$S12,$Y12),2))),"",IF($W12="","",ROUND(SUM($M12,$S12,$Y12),2)))</f>
        <v>93.75</v>
      </c>
      <c r="AA12">
        <f>IF(ISERROR(IF($W12="","",VLOOKUP(Z12,NewTransmu,4,TRUE))),"",IF($W12="","",VLOOKUP(Z12,NewTransmu,4,TRUE)))</f>
        <v>95</v>
      </c>
      <c r="AB12" t="str">
        <f>IF(ISERROR(IF(AA12="","",VLOOKUP(AA12,DESCRIPTORS,4,TRUE))),"",IF(AA12="","",VLOOKUP(AA12,DESCRIPTORS,4,TRUE)))</f>
        <v>Advancing</v>
      </c>
      <c r="AV12">
        <f>(T12/$T$10)*100</f>
        <v>72.5</v>
      </c>
      <c r="AW12">
        <f>(U12/$U$10)*100</f>
        <v>80</v>
      </c>
      <c r="AX12">
        <f>(V12/$V$10)*100</f>
        <v>85</v>
      </c>
    </row>
    <row r="13">
      <c r="A13">
        <v>2</v>
      </c>
      <c r="B13" t="str">
        <f>INPUT!B13</f>
        <v>Alcantara, Angelo</v>
      </c>
      <c r="F13">
        <v>20</v>
      </c>
      <c r="G13">
        <v>20</v>
      </c>
      <c r="H13">
        <v>20</v>
      </c>
      <c r="I13">
        <v>20</v>
      </c>
      <c r="J13">
        <v>20</v>
      </c>
      <c r="K13">
        <f>IF(COUNT($F13:$J13)=0,"",SUM($F13:$J13))</f>
        <v>100</v>
      </c>
      <c r="L13">
        <f>IF(ISERROR(IF($K13="","",ROUND(($K13/$K$10)*$L$10,2))),"",IF($K13="","",ROUND(($K13/$K$10)*$L$10,2)))</f>
        <v>100</v>
      </c>
      <c r="M13">
        <f>IF($L13="","",ROUND($L13*$M$10,2))</f>
        <v>20</v>
      </c>
      <c r="N13">
        <v>50</v>
      </c>
      <c r="O13">
        <v>50</v>
      </c>
      <c r="P13">
        <v>50</v>
      </c>
      <c r="Q13">
        <f>IF(COUNT($N13:$P13)=0,"",SUM($N13:$P13))</f>
        <v>150</v>
      </c>
      <c r="R13">
        <f>IF(ISERROR(IF($Q13="","",ROUND(($Q13/$Q$10)*$R$10,2))),"",IF($Q13="","",ROUND(($Q13/$Q$10)*$R$10,2)))</f>
        <v>100</v>
      </c>
      <c r="S13">
        <f>IF($R13="","",ROUND($R13*$S$10,2))</f>
        <v>50</v>
      </c>
      <c r="T13">
        <v>31</v>
      </c>
      <c r="U13">
        <v>30</v>
      </c>
      <c r="V13">
        <v>29</v>
      </c>
      <c r="W13">
        <f>IF(COUNT($T13:$V13)=0,"",SUM($T13:$V13))</f>
        <v>90</v>
      </c>
      <c r="X13">
        <f>IF(ISERROR(IF($W13="","",ROUND(($W13/$W$10)*$X$10,2))),"",IF($W13="","",ROUND(($W13/$W$10)*$X$10,2)))</f>
        <v>75</v>
      </c>
      <c r="Y13">
        <f>IF($X13="","",ROUND($X13*$Y$10,2))</f>
        <v>22.5</v>
      </c>
      <c r="Z13">
        <f>IF(ISERROR(IF($V13="","",ROUND(SUM($M13,$S13,$Y13),2))),"",IF($V13="","",ROUND(SUM($M13,$S13,$Y13),2)))</f>
        <v>92.5</v>
      </c>
      <c r="AA13">
        <f>IF(ISERROR(IF($V13="","",VLOOKUP(Z13,NewTransmu,4,TRUE))),"",IF($V13="","",VLOOKUP(Z13,NewTransmu,4,TRUE)))</f>
        <v>94</v>
      </c>
      <c r="AB13" t="str">
        <f>IF(ISERROR(IF(AA13="","",VLOOKUP(AA13,DESCRIPTORS,4,TRUE))),"",IF(AA13="","",VLOOKUP(AA13,DESCRIPTORS,4,TRUE)))</f>
        <v>Advancing</v>
      </c>
      <c r="AE13" t="str">
        <v>ST1</v>
      </c>
      <c r="AF13" t="str">
        <v>ST2</v>
      </c>
      <c r="AG13" t="str">
        <v>TE</v>
      </c>
      <c r="AV13">
        <f>(T13/$T$10)*100</f>
        <v>77.5</v>
      </c>
      <c r="AW13">
        <f>(U13/$U$10)*100</f>
        <v>75</v>
      </c>
      <c r="AX13">
        <f>(V13/$V$10)*100</f>
        <v>72.5</v>
      </c>
    </row>
    <row r="14">
      <c r="A14">
        <v>3</v>
      </c>
      <c r="B14" t="str">
        <f>INPUT!B14</f>
        <v>Andrada, Anton</v>
      </c>
      <c r="F14">
        <v>20</v>
      </c>
      <c r="G14">
        <v>20</v>
      </c>
      <c r="H14">
        <v>20</v>
      </c>
      <c r="I14">
        <v>20</v>
      </c>
      <c r="J14">
        <v>20</v>
      </c>
      <c r="K14">
        <f>IF(COUNT($F14:$J14)=0,"",SUM($F14:$J14))</f>
        <v>100</v>
      </c>
      <c r="L14">
        <f>IF(ISERROR(IF($K14="","",ROUND(($K14/$K$10)*$L$10,2))),"",IF($K14="","",ROUND(($K14/$K$10)*$L$10,2)))</f>
        <v>100</v>
      </c>
      <c r="M14">
        <f>IF($L14="","",ROUND($L14*$M$10,2))</f>
        <v>20</v>
      </c>
      <c r="N14">
        <v>50</v>
      </c>
      <c r="O14">
        <v>50</v>
      </c>
      <c r="P14">
        <v>50</v>
      </c>
      <c r="Q14">
        <f>IF(COUNT($N14:$P14)=0,"",SUM($N14:$P14))</f>
        <v>150</v>
      </c>
      <c r="R14">
        <f>IF(ISERROR(IF($Q14="","",ROUND(($Q14/$Q$10)*$R$10,2))),"",IF($Q14="","",ROUND(($Q14/$Q$10)*$R$10,2)))</f>
        <v>100</v>
      </c>
      <c r="S14">
        <f>IF($R14="","",ROUND($R14*$S$10,2))</f>
        <v>50</v>
      </c>
      <c r="T14">
        <v>35</v>
      </c>
      <c r="U14">
        <v>36</v>
      </c>
      <c r="V14">
        <v>33</v>
      </c>
      <c r="W14">
        <f>IF(COUNT($T14:$V14)=0,"",SUM($T14:$V14))</f>
        <v>104</v>
      </c>
      <c r="X14">
        <f>IF(ISERROR(IF($W14="","",ROUND(($W14/$W$10)*$X$10,2))),"",IF($W14="","",ROUND(($W14/$W$10)*$X$10,2)))</f>
        <v>86.67</v>
      </c>
      <c r="Y14">
        <f>IF($X14="","",ROUND($X14*$Y$10,2))</f>
        <v>26</v>
      </c>
      <c r="Z14">
        <f>IF(ISERROR(IF($V14="","",ROUND(SUM($M14,$S14,$Y14),2))),"",IF($V14="","",ROUND(SUM($M14,$S14,$Y14),2)))</f>
        <v>96</v>
      </c>
      <c r="AA14">
        <f>IF(ISERROR(IF($V14="","",VLOOKUP(Z14,NewTransmu,4,TRUE))),"",IF($V14="","",VLOOKUP(Z14,NewTransmu,4,TRUE)))</f>
        <v>98</v>
      </c>
      <c r="AB14" t="str">
        <f>IF(ISERROR(IF(AA14="","",VLOOKUP(AA14,DESCRIPTORS,4,TRUE))),"",IF(AA14="","",VLOOKUP(AA14,DESCRIPTORS,4,TRUE)))</f>
        <v>Advancing</v>
      </c>
      <c r="AD14" t="str">
        <v>Number of Examinees: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>(T14/$T$10)*100</f>
        <v>87.5</v>
      </c>
      <c r="AW14">
        <f>(U14/$U$10)*100</f>
        <v>90</v>
      </c>
      <c r="AX14">
        <f>(V14/$V$10)*100</f>
        <v>82.5</v>
      </c>
    </row>
    <row r="15">
      <c r="A15">
        <v>4</v>
      </c>
      <c r="B15" t="str">
        <f>INPUT!B15</f>
        <v>Bautista, Bryan</v>
      </c>
      <c r="F15">
        <v>20</v>
      </c>
      <c r="G15">
        <v>20</v>
      </c>
      <c r="H15">
        <v>20</v>
      </c>
      <c r="I15">
        <v>20</v>
      </c>
      <c r="J15">
        <v>20</v>
      </c>
      <c r="K15">
        <f>IF(COUNT($F15:$J15)=0,"",SUM($F15:$J15))</f>
        <v>100</v>
      </c>
      <c r="L15">
        <f>IF(ISERROR(IF($K15="","",ROUND(($K15/$K$10)*$L$10,2))),"",IF($K15="","",ROUND(($K15/$K$10)*$L$10,2)))</f>
        <v>100</v>
      </c>
      <c r="M15">
        <f>IF($L15="","",ROUND($L15*$M$10,2))</f>
        <v>20</v>
      </c>
      <c r="N15">
        <v>50</v>
      </c>
      <c r="O15">
        <v>50</v>
      </c>
      <c r="P15">
        <v>50</v>
      </c>
      <c r="Q15">
        <f>IF(COUNT($N15:$P15)=0,"",SUM($N15:$P15))</f>
        <v>150</v>
      </c>
      <c r="R15">
        <f>IF(ISERROR(IF($Q15="","",ROUND(($Q15/$Q$10)*$R$10,2))),"",IF($Q15="","",ROUND(($Q15/$Q$10)*$R$10,2)))</f>
        <v>100</v>
      </c>
      <c r="S15">
        <f>IF($R15="","",ROUND($R15*$S$10,2))</f>
        <v>50</v>
      </c>
      <c r="T15">
        <v>36</v>
      </c>
      <c r="U15">
        <v>34</v>
      </c>
      <c r="V15">
        <v>29</v>
      </c>
      <c r="W15">
        <f>IF(COUNT($T15:$V15)=0,"",SUM($T15:$V15))</f>
        <v>99</v>
      </c>
      <c r="X15">
        <f>IF(ISERROR(IF($W15="","",ROUND(($W15/$W$10)*$X$10,2))),"",IF($W15="","",ROUND(($W15/$W$10)*$X$10,2)))</f>
        <v>82.5</v>
      </c>
      <c r="Y15">
        <f>IF($X15="","",ROUND($X15*$Y$10,2))</f>
        <v>24.75</v>
      </c>
      <c r="Z15">
        <f>IF(ISERROR(IF($V15="","",ROUND(SUM($M15,$S15,$Y15),2))),"",IF($V15="","",ROUND(SUM($M15,$S15,$Y15),2)))</f>
        <v>94.75</v>
      </c>
      <c r="AA15">
        <f>IF(ISERROR(IF($V15="","",VLOOKUP(Z15,NewTransmu,4,TRUE))),"",IF($V15="","",VLOOKUP(Z15,NewTransmu,4,TRUE)))</f>
        <v>96</v>
      </c>
      <c r="AB15" t="str">
        <f>IF(ISERROR(IF(AA15="","",VLOOKUP(AA15,DESCRIPTORS,4,TRUE))),"",IF(AA15="","",VLOOKUP(AA15,DESCRIPTORS,4,TRUE)))</f>
        <v>Advancing</v>
      </c>
      <c r="AD15" t="str">
        <v>Highest Possible Score:</v>
      </c>
      <c r="AE15">
        <f>T10</f>
        <v>40</v>
      </c>
      <c r="AF15">
        <f>U10</f>
        <v>40</v>
      </c>
      <c r="AG15">
        <f>V10</f>
        <v>40</v>
      </c>
      <c r="AV15">
        <f>(T15/$T$10)*100</f>
        <v>90</v>
      </c>
      <c r="AW15">
        <f>(U15/$U$10)*100</f>
        <v>85</v>
      </c>
      <c r="AX15">
        <f>(V15/$V$10)*100</f>
        <v>72.5</v>
      </c>
    </row>
    <row r="16">
      <c r="A16">
        <v>5</v>
      </c>
      <c r="B16" t="str">
        <f>INPUT!B16</f>
        <v>Bernardo, Caleb</v>
      </c>
      <c r="F16">
        <v>20</v>
      </c>
      <c r="G16">
        <v>20</v>
      </c>
      <c r="H16">
        <v>20</v>
      </c>
      <c r="I16">
        <v>20</v>
      </c>
      <c r="J16">
        <v>20</v>
      </c>
      <c r="K16">
        <f>IF(COUNT($F16:$J16)=0,"",SUM($F16:$J16))</f>
        <v>100</v>
      </c>
      <c r="L16">
        <f>IF(ISERROR(IF($K16="","",ROUND(($K16/$K$10)*$L$10,2))),"",IF($K16="","",ROUND(($K16/$K$10)*$L$10,2)))</f>
        <v>100</v>
      </c>
      <c r="M16">
        <f>IF($L16="","",ROUND($L16*$M$10,2))</f>
        <v>20</v>
      </c>
      <c r="N16">
        <v>50</v>
      </c>
      <c r="O16">
        <v>50</v>
      </c>
      <c r="P16">
        <v>50</v>
      </c>
      <c r="Q16">
        <f>IF(COUNT($N16:$P16)=0,"",SUM($N16:$P16))</f>
        <v>150</v>
      </c>
      <c r="R16">
        <f>IF(ISERROR(IF($Q16="","",ROUND(($Q16/$Q$10)*$R$10,2))),"",IF($Q16="","",ROUND(($Q16/$Q$10)*$R$10,2)))</f>
        <v>100</v>
      </c>
      <c r="S16">
        <f>IF($R16="","",ROUND($R16*$S$10,2))</f>
        <v>50</v>
      </c>
      <c r="T16">
        <v>28</v>
      </c>
      <c r="U16">
        <v>34</v>
      </c>
      <c r="V16">
        <v>31</v>
      </c>
      <c r="W16">
        <f>IF(COUNT($T16:$V16)=0,"",SUM($T16:$V16))</f>
        <v>93</v>
      </c>
      <c r="X16">
        <f>IF(ISERROR(IF($W16="","",ROUND(($W16/$W$10)*$X$10,2))),"",IF($W16="","",ROUND(($W16/$W$10)*$X$10,2)))</f>
        <v>77.5</v>
      </c>
      <c r="Y16">
        <f>IF($X16="","",ROUND($X16*$Y$10,2))</f>
        <v>23.25</v>
      </c>
      <c r="Z16">
        <f>IF(ISERROR(IF($V16="","",ROUND(SUM($M16,$S16,$Y16),2))),"",IF($V16="","",ROUND(SUM($M16,$S16,$Y16),2)))</f>
        <v>93.25</v>
      </c>
      <c r="AA16">
        <f>IF(ISERROR(IF($V16="","",VLOOKUP(Z16,NewTransmu,4,TRUE))),"",IF($V16="","",VLOOKUP(Z16,NewTransmu,4,TRUE)))</f>
        <v>95</v>
      </c>
      <c r="AB16" t="str">
        <f>IF(ISERROR(IF(AA16="","",VLOOKUP(AA16,DESCRIPTORS,4,TRUE))),"",IF(AA16="","",VLOOKUP(AA16,DESCRIPTORS,4,TRUE)))</f>
        <v>Advancing</v>
      </c>
      <c r="AV16">
        <f>(T16/$T$10)*100</f>
        <v>70</v>
      </c>
      <c r="AW16">
        <f>(U16/$U$10)*100</f>
        <v>85</v>
      </c>
      <c r="AX16">
        <f>(V16/$V$10)*100</f>
        <v>77.5</v>
      </c>
    </row>
    <row r="17">
      <c r="A17">
        <v>6</v>
      </c>
      <c r="B17" t="str">
        <f>INPUT!B17</f>
        <v>Castillo, Carlo</v>
      </c>
      <c r="F17">
        <v>20</v>
      </c>
      <c r="G17">
        <v>20</v>
      </c>
      <c r="H17">
        <v>20</v>
      </c>
      <c r="I17">
        <v>20</v>
      </c>
      <c r="J17">
        <v>20</v>
      </c>
      <c r="K17">
        <f>IF(COUNT($F17:$J17)=0,"",SUM($F17:$J17))</f>
        <v>100</v>
      </c>
      <c r="L17">
        <f>IF(ISERROR(IF($K17="","",ROUND(($K17/$K$10)*$L$10,2))),"",IF($K17="","",ROUND(($K17/$K$10)*$L$10,2)))</f>
        <v>100</v>
      </c>
      <c r="M17">
        <f>IF($L17="","",ROUND($L17*$M$10,2))</f>
        <v>20</v>
      </c>
      <c r="N17">
        <v>50</v>
      </c>
      <c r="O17">
        <v>50</v>
      </c>
      <c r="P17">
        <v>50</v>
      </c>
      <c r="Q17">
        <f>IF(COUNT($N17:$P17)=0,"",SUM($N17:$P17))</f>
        <v>150</v>
      </c>
      <c r="R17">
        <f>IF(ISERROR(IF($Q17="","",ROUND(($Q17/$Q$10)*$R$10,2))),"",IF($Q17="","",ROUND(($Q17/$Q$10)*$R$10,2)))</f>
        <v>100</v>
      </c>
      <c r="S17">
        <f>IF($R17="","",ROUND($R17*$S$10,2))</f>
        <v>50</v>
      </c>
      <c r="T17">
        <v>28</v>
      </c>
      <c r="U17">
        <v>36</v>
      </c>
      <c r="V17">
        <v>35</v>
      </c>
      <c r="W17">
        <f>IF(COUNT($T17:$V17)=0,"",SUM($T17:$V17))</f>
        <v>99</v>
      </c>
      <c r="X17">
        <f>IF(ISERROR(IF($W17="","",ROUND(($W17/$W$10)*$X$10,2))),"",IF($W17="","",ROUND(($W17/$W$10)*$X$10,2)))</f>
        <v>82.5</v>
      </c>
      <c r="Y17">
        <f>IF($X17="","",ROUND($X17*$Y$10,2))</f>
        <v>24.75</v>
      </c>
      <c r="Z17">
        <f>IF(ISERROR(IF($V17="","",ROUND(SUM($M17,$S17,$Y17),2))),"",IF($V17="","",ROUND(SUM($M17,$S17,$Y17),2)))</f>
        <v>94.75</v>
      </c>
      <c r="AA17">
        <f>IF(ISERROR(IF($V17="","",VLOOKUP(Z17,NewTransmu,4,TRUE))),"",IF($V17="","",VLOOKUP(Z17,NewTransmu,4,TRUE)))</f>
        <v>96</v>
      </c>
      <c r="AB17" t="str">
        <f>IF(ISERROR(IF(AA17="","",VLOOKUP(AA17,DESCRIPTORS,4,TRUE))),"",IF(AA17="","",VLOOKUP(AA17,DESCRIPTORS,4,TRUE)))</f>
        <v>Advancing</v>
      </c>
      <c r="AD17" t="str">
        <v>CRITERION-REFERENCED</v>
      </c>
      <c r="AE17" t="str">
        <v>ST1</v>
      </c>
      <c r="AF17" t="str">
        <v>ST2</v>
      </c>
      <c r="AG17" t="str">
        <v>TE</v>
      </c>
      <c r="AV17">
        <f>(T17/$T$10)*100</f>
        <v>70</v>
      </c>
      <c r="AW17">
        <f>(U17/$U$10)*100</f>
        <v>90</v>
      </c>
      <c r="AX17">
        <f>(V17/$V$10)*100</f>
        <v>87.5</v>
      </c>
    </row>
    <row r="18">
      <c r="A18">
        <v>7</v>
      </c>
      <c r="B18" t="str">
        <f>INPUT!B18</f>
        <v>Cruz, Christian</v>
      </c>
      <c r="F18">
        <v>20</v>
      </c>
      <c r="G18">
        <v>20</v>
      </c>
      <c r="H18">
        <v>20</v>
      </c>
      <c r="I18">
        <v>20</v>
      </c>
      <c r="J18">
        <v>20</v>
      </c>
      <c r="K18">
        <f>IF(COUNT($F18:$J18)=0,"",SUM($F18:$J18))</f>
        <v>100</v>
      </c>
      <c r="L18">
        <f>IF(ISERROR(IF($K18="","",ROUND(($K18/$K$10)*$L$10,2))),"",IF($K18="","",ROUND(($K18/$K$10)*$L$10,2)))</f>
        <v>100</v>
      </c>
      <c r="M18">
        <f>IF($L18="","",ROUND($L18*$M$10,2))</f>
        <v>20</v>
      </c>
      <c r="N18">
        <v>50</v>
      </c>
      <c r="O18">
        <v>50</v>
      </c>
      <c r="P18">
        <v>50</v>
      </c>
      <c r="Q18">
        <f>IF(COUNT($N18:$P18)=0,"",SUM($N18:$P18))</f>
        <v>150</v>
      </c>
      <c r="R18">
        <f>IF(ISERROR(IF($Q18="","",ROUND(($Q18/$Q$10)*$R$10,2))),"",IF($Q18="","",ROUND(($Q18/$Q$10)*$R$10,2)))</f>
        <v>100</v>
      </c>
      <c r="S18">
        <f>IF($R18="","",ROUND($R18*$S$10,2))</f>
        <v>50</v>
      </c>
      <c r="T18">
        <v>39</v>
      </c>
      <c r="U18">
        <v>37</v>
      </c>
      <c r="V18">
        <v>36</v>
      </c>
      <c r="W18">
        <f>IF(COUNT($T18:$V18)=0,"",SUM($T18:$V18))</f>
        <v>112</v>
      </c>
      <c r="X18">
        <f>IF(ISERROR(IF($W18="","",ROUND(($W18/$W$10)*$X$10,2))),"",IF($W18="","",ROUND(($W18/$W$10)*$X$10,2)))</f>
        <v>93.33</v>
      </c>
      <c r="Y18">
        <f>IF($X18="","",ROUND($X18*$Y$10,2))</f>
        <v>28</v>
      </c>
      <c r="Z18">
        <f>IF(ISERROR(IF($V18="","",ROUND(SUM($M18,$S18,$Y18),2))),"",IF($V18="","",ROUND(SUM($M18,$S18,$Y18),2)))</f>
        <v>98</v>
      </c>
      <c r="AA18">
        <f>IF(ISERROR(IF($V18="","",VLOOKUP(Z18,NewTransmu,4,TRUE))),"",IF($V18="","",VLOOKUP(Z18,NewTransmu,4,TRUE)))</f>
        <v>99</v>
      </c>
      <c r="AB18" t="str">
        <f>IF(ISERROR(IF(AA18="","",VLOOKUP(AA18,DESCRIPTORS,4,TRUE))),"",IF(AA18="","",VLOOKUP(AA18,DESCRIPTORS,4,TRUE)))</f>
        <v>Advancing</v>
      </c>
      <c r="AD18" t="str">
        <v xml:space="preserve"> Got 75% &amp; above</v>
      </c>
      <c r="AE18">
        <f>COUNTIF(AV12:AV112,"&gt;=75")</f>
        <v>88</v>
      </c>
      <c r="AF18">
        <f>COUNTIF(AW12:AW112,"&gt;=75")</f>
        <v>92</v>
      </c>
      <c r="AG18">
        <f>COUNTIF(AX12:AX112,"&gt;=75")</f>
        <v>89</v>
      </c>
      <c r="AV18">
        <f>(T18/$T$10)*100</f>
        <v>97.5</v>
      </c>
      <c r="AW18">
        <f>(U18/$U$10)*100</f>
        <v>92.5</v>
      </c>
      <c r="AX18">
        <f>(V18/$V$10)*100</f>
        <v>90</v>
      </c>
    </row>
    <row r="19">
      <c r="A19">
        <v>8</v>
      </c>
      <c r="B19" t="str">
        <f>INPUT!B19</f>
        <v>Dela Cruz, Daniel</v>
      </c>
      <c r="F19">
        <v>20</v>
      </c>
      <c r="G19">
        <v>20</v>
      </c>
      <c r="H19">
        <v>20</v>
      </c>
      <c r="I19">
        <v>20</v>
      </c>
      <c r="J19">
        <v>20</v>
      </c>
      <c r="K19">
        <f>IF(COUNT($F19:$J19)=0,"",SUM($F19:$J19))</f>
        <v>100</v>
      </c>
      <c r="L19">
        <f>IF(ISERROR(IF($K19="","",ROUND(($K19/$K$10)*$L$10,2))),"",IF($K19="","",ROUND(($K19/$K$10)*$L$10,2)))</f>
        <v>100</v>
      </c>
      <c r="M19">
        <f>IF($L19="","",ROUND($L19*$M$10,2))</f>
        <v>20</v>
      </c>
      <c r="N19">
        <v>50</v>
      </c>
      <c r="O19">
        <v>50</v>
      </c>
      <c r="P19">
        <v>50</v>
      </c>
      <c r="Q19">
        <f>IF(COUNT($N19:$P19)=0,"",SUM($N19:$P19))</f>
        <v>150</v>
      </c>
      <c r="R19">
        <f>IF(ISERROR(IF($Q19="","",ROUND(($Q19/$Q$10)*$R$10,2))),"",IF($Q19="","",ROUND(($Q19/$Q$10)*$R$10,2)))</f>
        <v>100</v>
      </c>
      <c r="S19">
        <f>IF($R19="","",ROUND($R19*$S$10,2))</f>
        <v>50</v>
      </c>
      <c r="T19">
        <v>36</v>
      </c>
      <c r="U19">
        <v>37</v>
      </c>
      <c r="V19">
        <v>35</v>
      </c>
      <c r="W19">
        <f>IF(COUNT($T19:$V19)=0,"",SUM($T19:$V19))</f>
        <v>108</v>
      </c>
      <c r="X19">
        <f>IF(ISERROR(IF($W19="","",ROUND(($W19/$W$10)*$X$10,2))),"",IF($W19="","",ROUND(($W19/$W$10)*$X$10,2)))</f>
        <v>90</v>
      </c>
      <c r="Y19">
        <f>IF($X19="","",ROUND($X19*$Y$10,2))</f>
        <v>27</v>
      </c>
      <c r="Z19">
        <f>IF(ISERROR(IF($V19="","",ROUND(SUM($M19,$S19,$Y19),2))),"",IF($V19="","",ROUND(SUM($M19,$S19,$Y19),2)))</f>
        <v>97</v>
      </c>
      <c r="AA19">
        <f>IF(ISERROR(IF($V19="","",VLOOKUP(Z19,NewTransmu,4,TRUE))),"",IF($V19="","",VLOOKUP(Z19,NewTransmu,4,TRUE)))</f>
        <v>98</v>
      </c>
      <c r="AB19" t="str">
        <f>IF(ISERROR(IF(AA19="","",VLOOKUP(AA19,DESCRIPTORS,4,TRUE))),"",IF(AA19="","",VLOOKUP(AA19,DESCRIPTORS,4,TRUE)))</f>
        <v>Advancing</v>
      </c>
      <c r="AD19" t="str">
        <v>Percentage</v>
      </c>
      <c r="AE19">
        <f>IFERROR(AE18/AE14,"")</f>
        <v>0.88</v>
      </c>
      <c r="AF19">
        <f>IFERROR(AF18/AF14,"")</f>
        <v>0.92</v>
      </c>
      <c r="AG19">
        <f>IFERROR(AG18/AG14,"")</f>
        <v>0.89</v>
      </c>
      <c r="AV19">
        <f>(T19/$T$10)*100</f>
        <v>90</v>
      </c>
      <c r="AW19">
        <f>(U19/$U$10)*100</f>
        <v>92.5</v>
      </c>
      <c r="AX19">
        <f>(V19/$V$10)*100</f>
        <v>87.5</v>
      </c>
    </row>
    <row r="20">
      <c r="A20">
        <v>9</v>
      </c>
      <c r="B20" t="str">
        <f>INPUT!B20</f>
        <v>Diaz, Darren</v>
      </c>
      <c r="F20">
        <v>20</v>
      </c>
      <c r="G20">
        <v>20</v>
      </c>
      <c r="H20">
        <v>20</v>
      </c>
      <c r="I20">
        <v>20</v>
      </c>
      <c r="J20">
        <v>20</v>
      </c>
      <c r="K20">
        <f>IF(COUNT($F20:$J20)=0,"",SUM($F20:$J20))</f>
        <v>100</v>
      </c>
      <c r="L20">
        <f>IF(ISERROR(IF($K20="","",ROUND(($K20/$K$10)*$L$10,2))),"",IF($K20="","",ROUND(($K20/$K$10)*$L$10,2)))</f>
        <v>100</v>
      </c>
      <c r="M20">
        <f>IF($L20="","",ROUND($L20*$M$10,2))</f>
        <v>20</v>
      </c>
      <c r="N20">
        <v>50</v>
      </c>
      <c r="O20">
        <v>50</v>
      </c>
      <c r="P20">
        <v>50</v>
      </c>
      <c r="Q20">
        <f>IF(COUNT($N20:$P20)=0,"",SUM($N20:$P20))</f>
        <v>150</v>
      </c>
      <c r="R20">
        <f>IF(ISERROR(IF($Q20="","",ROUND(($Q20/$Q$10)*$R$10,2))),"",IF($Q20="","",ROUND(($Q20/$Q$10)*$R$10,2)))</f>
        <v>100</v>
      </c>
      <c r="S20">
        <f>IF($R20="","",ROUND($R20*$S$10,2))</f>
        <v>50</v>
      </c>
      <c r="T20">
        <v>35</v>
      </c>
      <c r="U20">
        <v>33</v>
      </c>
      <c r="V20">
        <v>35</v>
      </c>
      <c r="W20">
        <f>IF(COUNT($T20:$V20)=0,"",SUM($T20:$V20))</f>
        <v>103</v>
      </c>
      <c r="X20">
        <f>IF(ISERROR(IF($W20="","",ROUND(($W20/$W$10)*$X$10,2))),"",IF($W20="","",ROUND(($W20/$W$10)*$X$10,2)))</f>
        <v>85.83</v>
      </c>
      <c r="Y20">
        <f>IF($X20="","",ROUND($X20*$Y$10,2))</f>
        <v>25.75</v>
      </c>
      <c r="Z20">
        <f>IF(ISERROR(IF($V20="","",ROUND(SUM($M20,$S20,$Y20),2))),"",IF($V20="","",ROUND(SUM($M20,$S20,$Y20),2)))</f>
        <v>95.75</v>
      </c>
      <c r="AA20">
        <f>IF(ISERROR(IF($V20="","",VLOOKUP(Z20,NewTransmu,4,TRUE))),"",IF($V20="","",VLOOKUP(Z20,NewTransmu,4,TRUE)))</f>
        <v>97</v>
      </c>
      <c r="AB20" t="str">
        <f>IF(ISERROR(IF(AA20="","",VLOOKUP(AA20,DESCRIPTORS,4,TRUE))),"",IF(AA20="","",VLOOKUP(AA20,DESCRIPTORS,4,TRUE)))</f>
        <v>Advancing</v>
      </c>
      <c r="AD20" t="str">
        <v>Got below 75%</v>
      </c>
      <c r="AE20">
        <f>AE14-AE18</f>
        <v>12</v>
      </c>
      <c r="AF20">
        <f>AF14-AF18</f>
        <v>8</v>
      </c>
      <c r="AG20">
        <f>AG14-AG18</f>
        <v>11</v>
      </c>
      <c r="AV20">
        <f>(T20/$T$10)*100</f>
        <v>87.5</v>
      </c>
      <c r="AW20">
        <f>(U20/$U$10)*100</f>
        <v>82.5</v>
      </c>
      <c r="AX20">
        <f>(V20/$V$10)*100</f>
        <v>87.5</v>
      </c>
    </row>
    <row r="21">
      <c r="A21">
        <v>10</v>
      </c>
      <c r="B21" t="str">
        <f>INPUT!B21</f>
        <v>Evangelista, Diego</v>
      </c>
      <c r="F21">
        <v>20</v>
      </c>
      <c r="G21">
        <v>20</v>
      </c>
      <c r="H21">
        <v>20</v>
      </c>
      <c r="I21">
        <v>20</v>
      </c>
      <c r="J21">
        <v>20</v>
      </c>
      <c r="K21">
        <f>IF(COUNT($F21:$J21)=0,"",SUM($F21:$J21))</f>
        <v>100</v>
      </c>
      <c r="L21">
        <f>IF(ISERROR(IF($K21="","",ROUND(($K21/$K$10)*$L$10,2))),"",IF($K21="","",ROUND(($K21/$K$10)*$L$10,2)))</f>
        <v>100</v>
      </c>
      <c r="M21">
        <f>IF($L21="","",ROUND($L21*$M$10,2))</f>
        <v>20</v>
      </c>
      <c r="N21">
        <v>50</v>
      </c>
      <c r="O21">
        <v>50</v>
      </c>
      <c r="P21">
        <v>50</v>
      </c>
      <c r="Q21">
        <f>IF(COUNT($N21:$P21)=0,"",SUM($N21:$P21))</f>
        <v>150</v>
      </c>
      <c r="R21">
        <f>IF(ISERROR(IF($Q21="","",ROUND(($Q21/$Q$10)*$R$10,2))),"",IF($Q21="","",ROUND(($Q21/$Q$10)*$R$10,2)))</f>
        <v>100</v>
      </c>
      <c r="S21">
        <f>IF($R21="","",ROUND($R21*$S$10,2))</f>
        <v>50</v>
      </c>
      <c r="T21">
        <v>33</v>
      </c>
      <c r="U21">
        <v>32</v>
      </c>
      <c r="V21">
        <v>33</v>
      </c>
      <c r="W21">
        <f>IF(COUNT($T21:$V21)=0,"",SUM($T21:$V21))</f>
        <v>98</v>
      </c>
      <c r="X21">
        <f>IF(ISERROR(IF($W21="","",ROUND(($W21/$W$10)*$X$10,2))),"",IF($W21="","",ROUND(($W21/$W$10)*$X$10,2)))</f>
        <v>81.67</v>
      </c>
      <c r="Y21">
        <f>IF($X21="","",ROUND($X21*$Y$10,2))</f>
        <v>24.5</v>
      </c>
      <c r="Z21">
        <f>IF(ISERROR(IF($V21="","",ROUND(SUM($M21,$S21,$Y21),2))),"",IF($V21="","",ROUND(SUM($M21,$S21,$Y21),2)))</f>
        <v>94.5</v>
      </c>
      <c r="AA21">
        <f>IF(ISERROR(IF($V21="","",VLOOKUP(Z21,NewTransmu,4,TRUE))),"",IF($V21="","",VLOOKUP(Z21,NewTransmu,4,TRUE)))</f>
        <v>96</v>
      </c>
      <c r="AB21" t="str">
        <f>IF(ISERROR(IF(AA21="","",VLOOKUP(AA21,DESCRIPTORS,4,TRUE))),"",IF(AA21="","",VLOOKUP(AA21,DESCRIPTORS,4,TRUE)))</f>
        <v>Advancing</v>
      </c>
      <c r="AD21" t="str">
        <v>Percentage</v>
      </c>
      <c r="AE21">
        <f>IFERROR(1-AE19,"")</f>
        <v>0.12</v>
      </c>
      <c r="AF21">
        <f>IFERROR(1-AF19,"")</f>
        <v>0.07999999999999996</v>
      </c>
      <c r="AG21">
        <f>IFERROR(1-AG19,"")</f>
        <v>0.10999999999999999</v>
      </c>
      <c r="AV21">
        <f>(T21/$T$10)*100</f>
        <v>82.5</v>
      </c>
      <c r="AW21">
        <f>(U21/$U$10)*100</f>
        <v>80</v>
      </c>
      <c r="AX21">
        <f>(V21/$V$10)*100</f>
        <v>82.5</v>
      </c>
    </row>
    <row r="22">
      <c r="A22">
        <v>11</v>
      </c>
      <c r="B22" t="str">
        <f>INPUT!B22</f>
        <v>Fernandez, Ethan</v>
      </c>
      <c r="F22">
        <v>20</v>
      </c>
      <c r="G22">
        <v>20</v>
      </c>
      <c r="H22">
        <v>20</v>
      </c>
      <c r="I22">
        <v>20</v>
      </c>
      <c r="J22">
        <v>20</v>
      </c>
      <c r="K22">
        <f>IF(COUNT($F22:$J22)=0,"",SUM($F22:$J22))</f>
        <v>100</v>
      </c>
      <c r="L22">
        <f>IF(ISERROR(IF($K22="","",ROUND(($K22/$K$10)*$L$10,2))),"",IF($K22="","",ROUND(($K22/$K$10)*$L$10,2)))</f>
        <v>100</v>
      </c>
      <c r="M22">
        <f>IF($L22="","",ROUND($L22*$M$10,2))</f>
        <v>20</v>
      </c>
      <c r="N22">
        <v>50</v>
      </c>
      <c r="O22">
        <v>50</v>
      </c>
      <c r="P22">
        <v>50</v>
      </c>
      <c r="Q22">
        <f>IF(COUNT($N22:$P22)=0,"",SUM($N22:$P22))</f>
        <v>150</v>
      </c>
      <c r="R22">
        <f>IF(ISERROR(IF($Q22="","",ROUND(($Q22/$Q$10)*$R$10,2))),"",IF($Q22="","",ROUND(($Q22/$Q$10)*$R$10,2)))</f>
        <v>100</v>
      </c>
      <c r="S22">
        <f>IF($R22="","",ROUND($R22*$S$10,2))</f>
        <v>50</v>
      </c>
      <c r="T22">
        <v>39</v>
      </c>
      <c r="U22">
        <v>36</v>
      </c>
      <c r="V22">
        <v>35</v>
      </c>
      <c r="W22">
        <f>IF(COUNT($T22:$V22)=0,"",SUM($T22:$V22))</f>
        <v>110</v>
      </c>
      <c r="X22">
        <f>IF(ISERROR(IF($W22="","",ROUND(($W22/$W$10)*$X$10,2))),"",IF($W22="","",ROUND(($W22/$W$10)*$X$10,2)))</f>
        <v>91.67</v>
      </c>
      <c r="Y22">
        <f>IF($X22="","",ROUND($X22*$Y$10,2))</f>
        <v>27.5</v>
      </c>
      <c r="Z22">
        <f>IF(ISERROR(IF($V22="","",ROUND(SUM($M22,$S22,$Y22),2))),"",IF($V22="","",ROUND(SUM($M22,$S22,$Y22),2)))</f>
        <v>97.5</v>
      </c>
      <c r="AA22">
        <f>IF(ISERROR(IF($V22="","",VLOOKUP(Z22,NewTransmu,4,TRUE))),"",IF($V22="","",VLOOKUP(Z22,NewTransmu,4,TRUE)))</f>
        <v>99</v>
      </c>
      <c r="AB22" t="str">
        <f>IF(ISERROR(IF(AA22="","",VLOOKUP(AA22,DESCRIPTORS,4,TRUE))),"",IF(AA22="","",VLOOKUP(AA22,DESCRIPTORS,4,TRUE)))</f>
        <v>Advancing</v>
      </c>
      <c r="AV22">
        <f>(T22/$T$10)*100</f>
        <v>97.5</v>
      </c>
      <c r="AW22">
        <f>(U22/$U$10)*100</f>
        <v>90</v>
      </c>
      <c r="AX22">
        <f>(V22/$V$10)*100</f>
        <v>87.5</v>
      </c>
    </row>
    <row r="23">
      <c r="A23">
        <v>12</v>
      </c>
      <c r="B23" t="str">
        <f>INPUT!B23</f>
        <v>Garcia, Gabriel</v>
      </c>
      <c r="F23">
        <v>20</v>
      </c>
      <c r="G23">
        <v>20</v>
      </c>
      <c r="H23">
        <v>20</v>
      </c>
      <c r="I23">
        <v>20</v>
      </c>
      <c r="J23">
        <v>20</v>
      </c>
      <c r="K23">
        <f>IF(COUNT($F23:$J23)=0,"",SUM($F23:$J23))</f>
        <v>100</v>
      </c>
      <c r="L23">
        <f>IF(ISERROR(IF($K23="","",ROUND(($K23/$K$10)*$L$10,2))),"",IF($K23="","",ROUND(($K23/$K$10)*$L$10,2)))</f>
        <v>100</v>
      </c>
      <c r="M23">
        <f>IF($L23="","",ROUND($L23*$M$10,2))</f>
        <v>20</v>
      </c>
      <c r="N23">
        <v>50</v>
      </c>
      <c r="O23">
        <v>50</v>
      </c>
      <c r="P23">
        <v>50</v>
      </c>
      <c r="Q23">
        <f>IF(COUNT($N23:$P23)=0,"",SUM($N23:$P23))</f>
        <v>150</v>
      </c>
      <c r="R23">
        <f>IF(ISERROR(IF($Q23="","",ROUND(($Q23/$Q$10)*$R$10,2))),"",IF($Q23="","",ROUND(($Q23/$Q$10)*$R$10,2)))</f>
        <v>100</v>
      </c>
      <c r="S23">
        <f>IF($R23="","",ROUND($R23*$S$10,2))</f>
        <v>50</v>
      </c>
      <c r="T23">
        <v>27</v>
      </c>
      <c r="U23">
        <v>32</v>
      </c>
      <c r="V23">
        <v>30</v>
      </c>
      <c r="W23">
        <f>IF(COUNT($T23:$V23)=0,"",SUM($T23:$V23))</f>
        <v>89</v>
      </c>
      <c r="X23">
        <f>IF(ISERROR(IF($W23="","",ROUND(($W23/$W$10)*$X$10,2))),"",IF($W23="","",ROUND(($W23/$W$10)*$X$10,2)))</f>
        <v>74.17</v>
      </c>
      <c r="Y23">
        <f>IF($X23="","",ROUND($X23*$Y$10,2))</f>
        <v>22.25</v>
      </c>
      <c r="Z23">
        <f>IF(ISERROR(IF($V23="","",ROUND(SUM($M23,$S23,$Y23),2))),"",IF($V23="","",ROUND(SUM($M23,$S23,$Y23),2)))</f>
        <v>92.25</v>
      </c>
      <c r="AA23">
        <f>IF(ISERROR(IF($V23="","",VLOOKUP(Z23,NewTransmu,4,TRUE))),"",IF($V23="","",VLOOKUP(Z23,NewTransmu,4,TRUE)))</f>
        <v>94</v>
      </c>
      <c r="AB23" t="str">
        <f>IF(ISERROR(IF(AA23="","",VLOOKUP(AA23,DESCRIPTORS,4,TRUE))),"",IF(AA23="","",VLOOKUP(AA23,DESCRIPTORS,4,TRUE)))</f>
        <v>Advancing</v>
      </c>
      <c r="AD23" t="str">
        <v>NORM-REFERENCED</v>
      </c>
      <c r="AE23" t="str">
        <v>ST1</v>
      </c>
      <c r="AF23" t="str">
        <v>ST2</v>
      </c>
      <c r="AG23" t="str">
        <v>TE</v>
      </c>
      <c r="AV23">
        <f>(T23/$T$10)*100</f>
        <v>67.5</v>
      </c>
      <c r="AW23">
        <f>(U23/$U$10)*100</f>
        <v>80</v>
      </c>
      <c r="AX23">
        <f>(V23/$V$10)*100</f>
        <v>75</v>
      </c>
    </row>
    <row r="24">
      <c r="A24">
        <v>13</v>
      </c>
      <c r="B24" t="str">
        <f>INPUT!B24</f>
        <v>Gonzales, Harold</v>
      </c>
      <c r="F24">
        <v>20</v>
      </c>
      <c r="G24">
        <v>20</v>
      </c>
      <c r="H24">
        <v>20</v>
      </c>
      <c r="I24">
        <v>20</v>
      </c>
      <c r="J24">
        <v>20</v>
      </c>
      <c r="K24">
        <f>IF(COUNT($F24:$J24)=0,"",SUM($F24:$J24))</f>
        <v>100</v>
      </c>
      <c r="L24">
        <f>IF(ISERROR(IF($K24="","",ROUND(($K24/$K$10)*$L$10,2))),"",IF($K24="","",ROUND(($K24/$K$10)*$L$10,2)))</f>
        <v>100</v>
      </c>
      <c r="M24">
        <f>IF($L24="","",ROUND($L24*$M$10,2))</f>
        <v>20</v>
      </c>
      <c r="N24">
        <v>50</v>
      </c>
      <c r="O24">
        <v>50</v>
      </c>
      <c r="P24">
        <v>50</v>
      </c>
      <c r="Q24">
        <f>IF(COUNT($N24:$P24)=0,"",SUM($N24:$P24))</f>
        <v>150</v>
      </c>
      <c r="R24">
        <f>IF(ISERROR(IF($Q24="","",ROUND(($Q24/$Q$10)*$R$10,2))),"",IF($Q24="","",ROUND(($Q24/$Q$10)*$R$10,2)))</f>
        <v>100</v>
      </c>
      <c r="S24">
        <f>IF($R24="","",ROUND($R24*$S$10,2))</f>
        <v>50</v>
      </c>
      <c r="T24">
        <v>38</v>
      </c>
      <c r="U24">
        <v>32</v>
      </c>
      <c r="V24">
        <v>35</v>
      </c>
      <c r="W24">
        <f>IF(COUNT($T24:$V24)=0,"",SUM($T24:$V24))</f>
        <v>105</v>
      </c>
      <c r="X24">
        <f>IF(ISERROR(IF($W24="","",ROUND(($W24/$W$10)*$X$10,2))),"",IF($W24="","",ROUND(($W24/$W$10)*$X$10,2)))</f>
        <v>87.5</v>
      </c>
      <c r="Y24">
        <f>IF($X24="","",ROUND($X24*$Y$10,2))</f>
        <v>26.25</v>
      </c>
      <c r="Z24">
        <f>IF(ISERROR(IF($V24="","",ROUND(SUM($M24,$S24,$Y24),2))),"",IF($V24="","",ROUND(SUM($M24,$S24,$Y24),2)))</f>
        <v>96.25</v>
      </c>
      <c r="AA24">
        <f>IF(ISERROR(IF($V24="","",VLOOKUP(Z24,NewTransmu,4,TRUE))),"",IF($V24="","",VLOOKUP(Z24,NewTransmu,4,TRUE)))</f>
        <v>98</v>
      </c>
      <c r="AB24" t="str">
        <f>IF(ISERROR(IF(AA24="","",VLOOKUP(AA24,DESCRIPTORS,4,TRUE))),"",IF(AA24="","",VLOOKUP(AA24,DESCRIPTORS,4,TRUE)))</f>
        <v>Advancing</v>
      </c>
      <c r="AD24" t="str">
        <v>Mean</v>
      </c>
      <c r="AE24">
        <f>IFERROR(AVERAGE(T12:T112),"")</f>
        <v>34.05</v>
      </c>
      <c r="AF24">
        <f>IFERROR(AVERAGE(U12:U112),"")</f>
        <v>33.99</v>
      </c>
      <c r="AG24">
        <f>IFERROR(AVERAGE(V12:V112),"")</f>
        <v>33.8</v>
      </c>
      <c r="AV24">
        <f>(T24/$T$10)*100</f>
        <v>95</v>
      </c>
      <c r="AW24">
        <f>(U24/$U$10)*100</f>
        <v>80</v>
      </c>
      <c r="AX24">
        <f>(V24/$V$10)*100</f>
        <v>87.5</v>
      </c>
    </row>
    <row r="25">
      <c r="A25">
        <v>14</v>
      </c>
      <c r="B25" t="str">
        <f>INPUT!B25</f>
        <v>Hernandez, Ivan</v>
      </c>
      <c r="F25">
        <v>20</v>
      </c>
      <c r="G25">
        <v>20</v>
      </c>
      <c r="H25">
        <v>20</v>
      </c>
      <c r="I25">
        <v>20</v>
      </c>
      <c r="J25">
        <v>20</v>
      </c>
      <c r="K25">
        <f>IF(COUNT($F25:$J25)=0,"",SUM($F25:$J25))</f>
        <v>100</v>
      </c>
      <c r="L25">
        <f>IF(ISERROR(IF($K25="","",ROUND(($K25/$K$10)*$L$10,2))),"",IF($K25="","",ROUND(($K25/$K$10)*$L$10,2)))</f>
        <v>100</v>
      </c>
      <c r="M25">
        <f>IF($L25="","",ROUND($L25*$M$10,2))</f>
        <v>20</v>
      </c>
      <c r="N25">
        <v>50</v>
      </c>
      <c r="O25">
        <v>50</v>
      </c>
      <c r="P25">
        <v>50</v>
      </c>
      <c r="Q25">
        <f>IF(COUNT($N25:$P25)=0,"",SUM($N25:$P25))</f>
        <v>150</v>
      </c>
      <c r="R25">
        <f>IF(ISERROR(IF($Q25="","",ROUND(($Q25/$Q$10)*$R$10,2))),"",IF($Q25="","",ROUND(($Q25/$Q$10)*$R$10,2)))</f>
        <v>100</v>
      </c>
      <c r="S25">
        <f>IF($R25="","",ROUND($R25*$S$10,2))</f>
        <v>50</v>
      </c>
      <c r="T25">
        <v>37</v>
      </c>
      <c r="U25">
        <v>40</v>
      </c>
      <c r="V25">
        <v>38</v>
      </c>
      <c r="W25">
        <f>IF(COUNT($T25:$V25)=0,"",SUM($T25:$V25))</f>
        <v>115</v>
      </c>
      <c r="X25">
        <f>IF(ISERROR(IF($W25="","",ROUND(($W25/$W$10)*$X$10,2))),"",IF($W25="","",ROUND(($W25/$W$10)*$X$10,2)))</f>
        <v>95.83</v>
      </c>
      <c r="Y25">
        <f>IF($X25="","",ROUND($X25*$Y$10,2))</f>
        <v>28.75</v>
      </c>
      <c r="Z25">
        <f>IF(ISERROR(IF($V25="","",ROUND(SUM($M25,$S25,$Y25),2))),"",IF($V25="","",ROUND(SUM($M25,$S25,$Y25),2)))</f>
        <v>98.75</v>
      </c>
      <c r="AA25">
        <f>IF(ISERROR(IF($V25="","",VLOOKUP(Z25,NewTransmu,4,TRUE))),"",IF($V25="","",VLOOKUP(Z25,NewTransmu,4,TRUE)))</f>
        <v>99</v>
      </c>
      <c r="AB25" t="str">
        <f>IF(ISERROR(IF(AA25="","",VLOOKUP(AA25,DESCRIPTORS,4,TRUE))),"",IF(AA25="","",VLOOKUP(AA25,DESCRIPTORS,4,TRUE)))</f>
        <v>Advancing</v>
      </c>
      <c r="AD25" t="str">
        <v>Median</v>
      </c>
      <c r="AE25">
        <f>IFERROR(MEDIAN(T12:T112),"")</f>
        <v>34</v>
      </c>
      <c r="AF25">
        <f>IFERROR(MEDIAN(U12:U112),"")</f>
        <v>34</v>
      </c>
      <c r="AG25">
        <f>IFERROR(MEDIAN(V12:V112),"")</f>
        <v>34</v>
      </c>
      <c r="AV25">
        <f>(T25/$T$10)*100</f>
        <v>92.5</v>
      </c>
      <c r="AW25">
        <f>(U25/$U$10)*100</f>
        <v>100</v>
      </c>
      <c r="AX25">
        <f>(V25/$V$10)*100</f>
        <v>95</v>
      </c>
    </row>
    <row r="26">
      <c r="A26">
        <v>15</v>
      </c>
      <c r="B26" t="str">
        <f>INPUT!B26</f>
        <v>Ilagan, Jacob</v>
      </c>
      <c r="F26">
        <v>20</v>
      </c>
      <c r="G26">
        <v>20</v>
      </c>
      <c r="H26">
        <v>20</v>
      </c>
      <c r="I26">
        <v>20</v>
      </c>
      <c r="J26">
        <v>20</v>
      </c>
      <c r="K26">
        <f>IF(COUNT($F26:$J26)=0,"",SUM($F26:$J26))</f>
        <v>100</v>
      </c>
      <c r="L26">
        <f>IF(ISERROR(IF($K26="","",ROUND(($K26/$K$10)*$L$10,2))),"",IF($K26="","",ROUND(($K26/$K$10)*$L$10,2)))</f>
        <v>100</v>
      </c>
      <c r="M26">
        <f>IF($L26="","",ROUND($L26*$M$10,2))</f>
        <v>20</v>
      </c>
      <c r="N26">
        <v>50</v>
      </c>
      <c r="O26">
        <v>50</v>
      </c>
      <c r="P26">
        <v>50</v>
      </c>
      <c r="Q26">
        <f>IF(COUNT($N26:$P26)=0,"",SUM($N26:$P26))</f>
        <v>150</v>
      </c>
      <c r="R26">
        <f>IF(ISERROR(IF($Q26="","",ROUND(($Q26/$Q$10)*$R$10,2))),"",IF($Q26="","",ROUND(($Q26/$Q$10)*$R$10,2)))</f>
        <v>100</v>
      </c>
      <c r="S26">
        <f>IF($R26="","",ROUND($R26*$S$10,2))</f>
        <v>50</v>
      </c>
      <c r="T26">
        <v>36</v>
      </c>
      <c r="U26">
        <v>38</v>
      </c>
      <c r="V26">
        <v>35</v>
      </c>
      <c r="W26">
        <f>IF(COUNT($T26:$V26)=0,"",SUM($T26:$V26))</f>
        <v>109</v>
      </c>
      <c r="X26">
        <f>IF(ISERROR(IF($W26="","",ROUND(($W26/$W$10)*$X$10,2))),"",IF($W26="","",ROUND(($W26/$W$10)*$X$10,2)))</f>
        <v>90.83</v>
      </c>
      <c r="Y26">
        <f>IF($X26="","",ROUND($X26*$Y$10,2))</f>
        <v>27.25</v>
      </c>
      <c r="Z26">
        <f>IF(ISERROR(IF($V26="","",ROUND(SUM($M26,$S26,$Y26),2))),"",IF($V26="","",ROUND(SUM($M26,$S26,$Y26),2)))</f>
        <v>97.25</v>
      </c>
      <c r="AA26">
        <f>IF(ISERROR(IF($V26="","",VLOOKUP(Z26,NewTransmu,4,TRUE))),"",IF($V26="","",VLOOKUP(Z26,NewTransmu,4,TRUE)))</f>
        <v>98</v>
      </c>
      <c r="AB26" t="str">
        <f>IF(ISERROR(IF(AA26="","",VLOOKUP(AA26,DESCRIPTORS,4,TRUE))),"",IF(AA26="","",VLOOKUP(AA26,DESCRIPTORS,4,TRUE)))</f>
        <v>Advancing</v>
      </c>
      <c r="AD26" t="str">
        <v>SD</v>
      </c>
      <c r="AE26">
        <f>IFERROR(STDEV.S(T12:T112),"")</f>
        <v>3.748063473045754</v>
      </c>
      <c r="AF26">
        <f>STDEV.S(U12:U112)</f>
        <v>3.3166095624747554</v>
      </c>
      <c r="AG26">
        <f>STDEV.S(V12:V112)</f>
        <v>3.784604645565019</v>
      </c>
      <c r="AV26">
        <f>(T26/$T$10)*100</f>
        <v>90</v>
      </c>
      <c r="AW26">
        <f>(U26/$U$10)*100</f>
        <v>95</v>
      </c>
      <c r="AX26">
        <f>(V26/$V$10)*100</f>
        <v>87.5</v>
      </c>
    </row>
    <row r="27">
      <c r="A27">
        <v>16</v>
      </c>
      <c r="B27" t="str">
        <f>INPUT!B27</f>
        <v>Jimenez, James</v>
      </c>
      <c r="F27">
        <v>20</v>
      </c>
      <c r="G27">
        <v>20</v>
      </c>
      <c r="H27">
        <v>20</v>
      </c>
      <c r="I27">
        <v>20</v>
      </c>
      <c r="J27">
        <v>20</v>
      </c>
      <c r="K27">
        <f>IF(COUNT($F27:$J27)=0,"",SUM($F27:$J27))</f>
        <v>100</v>
      </c>
      <c r="L27">
        <f>IF(ISERROR(IF($K27="","",ROUND(($K27/$K$10)*$L$10,2))),"",IF($K27="","",ROUND(($K27/$K$10)*$L$10,2)))</f>
        <v>100</v>
      </c>
      <c r="M27">
        <f>IF($L27="","",ROUND($L27*$M$10,2))</f>
        <v>20</v>
      </c>
      <c r="N27">
        <v>50</v>
      </c>
      <c r="O27">
        <v>50</v>
      </c>
      <c r="P27">
        <v>50</v>
      </c>
      <c r="Q27">
        <f>IF(COUNT($N27:$P27)=0,"",SUM($N27:$P27))</f>
        <v>150</v>
      </c>
      <c r="R27">
        <f>IF(ISERROR(IF($Q27="","",ROUND(($Q27/$Q$10)*$R$10,2))),"",IF($Q27="","",ROUND(($Q27/$Q$10)*$R$10,2)))</f>
        <v>100</v>
      </c>
      <c r="S27">
        <f>IF($R27="","",ROUND($R27*$S$10,2))</f>
        <v>50</v>
      </c>
      <c r="T27">
        <v>38</v>
      </c>
      <c r="U27">
        <v>34</v>
      </c>
      <c r="V27">
        <v>37</v>
      </c>
      <c r="W27">
        <f>IF(COUNT($T27:$V27)=0,"",SUM($T27:$V27))</f>
        <v>109</v>
      </c>
      <c r="X27">
        <f>IF(ISERROR(IF($W27="","",ROUND(($W27/$W$10)*$X$10,2))),"",IF($W27="","",ROUND(($W27/$W$10)*$X$10,2)))</f>
        <v>90.83</v>
      </c>
      <c r="Y27">
        <f>IF($X27="","",ROUND($X27*$Y$10,2))</f>
        <v>27.25</v>
      </c>
      <c r="Z27">
        <f>IF(ISERROR(IF($V27="","",ROUND(SUM($M27,$S27,$Y27),2))),"",IF($V27="","",ROUND(SUM($M27,$S27,$Y27),2)))</f>
        <v>97.25</v>
      </c>
      <c r="AA27">
        <f>IF(ISERROR(IF($V27="","",VLOOKUP(Z27,NewTransmu,4,TRUE))),"",IF($V27="","",VLOOKUP(Z27,NewTransmu,4,TRUE)))</f>
        <v>98</v>
      </c>
      <c r="AB27" t="str">
        <f>IF(ISERROR(IF(AA27="","",VLOOKUP(AA27,DESCRIPTORS,4,TRUE))),"",IF(AA27="","",VLOOKUP(AA27,DESCRIPTORS,4,TRUE)))</f>
        <v>Advancing</v>
      </c>
      <c r="AD27" t="str">
        <v>MPS/PL</v>
      </c>
      <c r="AE27">
        <f>IFERROR(AE24/AE15,"")</f>
        <v>0.85125</v>
      </c>
      <c r="AF27">
        <f>IFERROR(AF24/AF15,"")</f>
        <v>0.84975</v>
      </c>
      <c r="AG27">
        <f>IFERROR(AG24/AG15,"")</f>
        <v>0.845</v>
      </c>
      <c r="AV27">
        <f>(T27/$T$10)*100</f>
        <v>95</v>
      </c>
      <c r="AW27">
        <f>(U27/$U$10)*100</f>
        <v>85</v>
      </c>
      <c r="AX27">
        <f>(V27/$V$10)*100</f>
        <v>92.5</v>
      </c>
    </row>
    <row r="28">
      <c r="A28">
        <v>17</v>
      </c>
      <c r="B28" t="str">
        <f>INPUT!B28</f>
        <v>Lacson, Jared</v>
      </c>
      <c r="F28">
        <v>20</v>
      </c>
      <c r="G28">
        <v>20</v>
      </c>
      <c r="H28">
        <v>20</v>
      </c>
      <c r="I28">
        <v>20</v>
      </c>
      <c r="J28">
        <v>20</v>
      </c>
      <c r="K28">
        <f>IF(COUNT($F28:$J28)=0,"",SUM($F28:$J28))</f>
        <v>100</v>
      </c>
      <c r="L28">
        <f>IF(ISERROR(IF($K28="","",ROUND(($K28/$K$10)*$L$10,2))),"",IF($K28="","",ROUND(($K28/$K$10)*$L$10,2)))</f>
        <v>100</v>
      </c>
      <c r="M28">
        <f>IF($L28="","",ROUND($L28*$M$10,2))</f>
        <v>20</v>
      </c>
      <c r="N28">
        <v>50</v>
      </c>
      <c r="O28">
        <v>50</v>
      </c>
      <c r="P28">
        <v>50</v>
      </c>
      <c r="Q28">
        <f>IF(COUNT($N28:$P28)=0,"",SUM($N28:$P28))</f>
        <v>150</v>
      </c>
      <c r="R28">
        <f>IF(ISERROR(IF($Q28="","",ROUND(($Q28/$Q$10)*$R$10,2))),"",IF($Q28="","",ROUND(($Q28/$Q$10)*$R$10,2)))</f>
        <v>100</v>
      </c>
      <c r="S28">
        <f>IF($R28="","",ROUND($R28*$S$10,2))</f>
        <v>50</v>
      </c>
      <c r="T28">
        <v>31</v>
      </c>
      <c r="U28">
        <v>32</v>
      </c>
      <c r="V28">
        <v>32</v>
      </c>
      <c r="W28">
        <f>IF(COUNT($T28:$V28)=0,"",SUM($T28:$V28))</f>
        <v>95</v>
      </c>
      <c r="X28">
        <f>IF(ISERROR(IF($W28="","",ROUND(($W28/$W$10)*$X$10,2))),"",IF($W28="","",ROUND(($W28/$W$10)*$X$10,2)))</f>
        <v>79.17</v>
      </c>
      <c r="Y28">
        <f>IF($X28="","",ROUND($X28*$Y$10,2))</f>
        <v>23.75</v>
      </c>
      <c r="Z28">
        <f>IF(ISERROR(IF($V28="","",ROUND(SUM($M28,$S28,$Y28),2))),"",IF($V28="","",ROUND(SUM($M28,$S28,$Y28),2)))</f>
        <v>93.75</v>
      </c>
      <c r="AA28">
        <f>IF(ISERROR(IF($V28="","",VLOOKUP(Z28,NewTransmu,4,TRUE))),"",IF($V28="","",VLOOKUP(Z28,NewTransmu,4,TRUE)))</f>
        <v>95</v>
      </c>
      <c r="AB28" t="str">
        <f>IF(ISERROR(IF(AA28="","",VLOOKUP(AA28,DESCRIPTORS,4,TRUE))),"",IF(AA28="","",VLOOKUP(AA28,DESCRIPTORS,4,TRUE)))</f>
        <v>Advancing</v>
      </c>
      <c r="AV28">
        <f>(T28/$T$10)*100</f>
        <v>77.5</v>
      </c>
      <c r="AW28">
        <f>(U28/$U$10)*100</f>
        <v>80</v>
      </c>
      <c r="AX28">
        <f>(V28/$V$10)*100</f>
        <v>80</v>
      </c>
    </row>
    <row r="29">
      <c r="A29">
        <v>18</v>
      </c>
      <c r="B29" t="str">
        <f>INPUT!B29</f>
        <v>Lim, Jericho</v>
      </c>
      <c r="F29">
        <v>20</v>
      </c>
      <c r="G29">
        <v>20</v>
      </c>
      <c r="H29">
        <v>20</v>
      </c>
      <c r="I29">
        <v>20</v>
      </c>
      <c r="J29">
        <v>20</v>
      </c>
      <c r="K29">
        <f>IF(COUNT($F29:$J29)=0,"",SUM($F29:$J29))</f>
        <v>100</v>
      </c>
      <c r="L29">
        <f>IF(ISERROR(IF($K29="","",ROUND(($K29/$K$10)*$L$10,2))),"",IF($K29="","",ROUND(($K29/$K$10)*$L$10,2)))</f>
        <v>100</v>
      </c>
      <c r="M29">
        <f>IF($L29="","",ROUND($L29*$M$10,2))</f>
        <v>20</v>
      </c>
      <c r="N29">
        <v>50</v>
      </c>
      <c r="O29">
        <v>50</v>
      </c>
      <c r="P29">
        <v>50</v>
      </c>
      <c r="Q29">
        <f>IF(COUNT($N29:$P29)=0,"",SUM($N29:$P29))</f>
        <v>150</v>
      </c>
      <c r="R29">
        <f>IF(ISERROR(IF($Q29="","",ROUND(($Q29/$Q$10)*$R$10,2))),"",IF($Q29="","",ROUND(($Q29/$Q$10)*$R$10,2)))</f>
        <v>100</v>
      </c>
      <c r="S29">
        <f>IF($R29="","",ROUND($R29*$S$10,2))</f>
        <v>50</v>
      </c>
      <c r="T29">
        <v>27</v>
      </c>
      <c r="U29">
        <v>27</v>
      </c>
      <c r="V29">
        <v>26</v>
      </c>
      <c r="W29">
        <f>IF(COUNT($T29:$V29)=0,"",SUM($T29:$V29))</f>
        <v>80</v>
      </c>
      <c r="X29">
        <f>IF(ISERROR(IF($W29="","",ROUND(($W29/$W$10)*$X$10,2))),"",IF($W29="","",ROUND(($W29/$W$10)*$X$10,2)))</f>
        <v>66.67</v>
      </c>
      <c r="Y29">
        <f>IF($X29="","",ROUND($X29*$Y$10,2))</f>
        <v>20</v>
      </c>
      <c r="Z29">
        <f>IF(ISERROR(IF($V29="","",ROUND(SUM($M29,$S29,$Y29),2))),"",IF($V29="","",ROUND(SUM($M29,$S29,$Y29),2)))</f>
        <v>90</v>
      </c>
      <c r="AA29">
        <f>IF(ISERROR(IF($V29="","",VLOOKUP(Z29,NewTransmu,4,TRUE))),"",IF($V29="","",VLOOKUP(Z29,NewTransmu,4,TRUE)))</f>
        <v>92</v>
      </c>
      <c r="AB29" t="str">
        <f>IF(ISERROR(IF(AA29="","",VLOOKUP(AA29,DESCRIPTORS,4,TRUE))),"",IF(AA29="","",VLOOKUP(AA29,DESCRIPTORS,4,TRUE)))</f>
        <v>Advancing</v>
      </c>
      <c r="AD29" t="str">
        <v>OTHER INFO</v>
      </c>
      <c r="AE29" t="str">
        <v>ST1</v>
      </c>
      <c r="AF29" t="str">
        <v>ST2</v>
      </c>
      <c r="AG29" t="str">
        <v>TE</v>
      </c>
      <c r="AV29">
        <f>(T29/$T$10)*100</f>
        <v>67.5</v>
      </c>
      <c r="AW29">
        <f>(U29/$U$10)*100</f>
        <v>67.5</v>
      </c>
      <c r="AX29">
        <f>(V29/$V$10)*100</f>
        <v>65</v>
      </c>
    </row>
    <row r="30">
      <c r="A30">
        <v>19</v>
      </c>
      <c r="B30" t="str">
        <f>INPUT!B30</f>
        <v>Manalo, Joaquin</v>
      </c>
      <c r="F30">
        <v>20</v>
      </c>
      <c r="G30">
        <v>20</v>
      </c>
      <c r="H30">
        <v>20</v>
      </c>
      <c r="I30">
        <v>20</v>
      </c>
      <c r="J30">
        <v>20</v>
      </c>
      <c r="K30">
        <f>IF(COUNT($F30:$J30)=0,"",SUM($F30:$J30))</f>
        <v>100</v>
      </c>
      <c r="L30">
        <f>IF(ISERROR(IF($K30="","",ROUND(($K30/$K$10)*$L$10,2))),"",IF($K30="","",ROUND(($K30/$K$10)*$L$10,2)))</f>
        <v>100</v>
      </c>
      <c r="M30">
        <f>IF($L30="","",ROUND($L30*$M$10,2))</f>
        <v>20</v>
      </c>
      <c r="N30">
        <v>50</v>
      </c>
      <c r="O30">
        <v>50</v>
      </c>
      <c r="P30">
        <v>50</v>
      </c>
      <c r="Q30">
        <f>IF(COUNT($N30:$P30)=0,"",SUM($N30:$P30))</f>
        <v>150</v>
      </c>
      <c r="R30">
        <f>IF(ISERROR(IF($Q30="","",ROUND(($Q30/$Q$10)*$R$10,2))),"",IF($Q30="","",ROUND(($Q30/$Q$10)*$R$10,2)))</f>
        <v>100</v>
      </c>
      <c r="S30">
        <f>IF($R30="","",ROUND($R30*$S$10,2))</f>
        <v>50</v>
      </c>
      <c r="T30">
        <v>28</v>
      </c>
      <c r="U30">
        <v>33</v>
      </c>
      <c r="V30">
        <v>35</v>
      </c>
      <c r="W30">
        <f>IF(COUNT($T30:$V30)=0,"",SUM($T30:$V30))</f>
        <v>96</v>
      </c>
      <c r="X30">
        <f>IF(ISERROR(IF($W30="","",ROUND(($W30/$W$10)*$X$10,2))),"",IF($W30="","",ROUND(($W30/$W$10)*$X$10,2)))</f>
        <v>80</v>
      </c>
      <c r="Y30">
        <f>IF($X30="","",ROUND($X30*$Y$10,2))</f>
        <v>24</v>
      </c>
      <c r="Z30">
        <f>IF(ISERROR(IF($V30="","",ROUND(SUM($M30,$S30,$Y30),2))),"",IF($V30="","",ROUND(SUM($M30,$S30,$Y30),2)))</f>
        <v>94</v>
      </c>
      <c r="AA30">
        <f>IF(ISERROR(IF($V30="","",VLOOKUP(Z30,NewTransmu,4,TRUE))),"",IF($V30="","",VLOOKUP(Z30,NewTransmu,4,TRUE)))</f>
        <v>96</v>
      </c>
      <c r="AB30" t="str">
        <f>IF(ISERROR(IF(AA30="","",VLOOKUP(AA30,DESCRIPTORS,4,TRUE))),"",IF(AA30="","",VLOOKUP(AA30,DESCRIPTORS,4,TRUE)))</f>
        <v>Advancing</v>
      </c>
      <c r="AD30" t="str">
        <v>Highest Score</v>
      </c>
      <c r="AE30">
        <f>IF(COUNTA(T12:T112)=0,"",MAX(T12:T112))</f>
        <v>40</v>
      </c>
      <c r="AF30">
        <f>IF(COUNTA(U12:U112)=0,"",MAX(U12:U112))</f>
        <v>40</v>
      </c>
      <c r="AG30">
        <f>IF(COUNTA(V12:V112)=0,"",MAX(V12:V112))</f>
        <v>40</v>
      </c>
      <c r="AV30">
        <f>(T30/$T$10)*100</f>
        <v>70</v>
      </c>
      <c r="AW30">
        <f>(U30/$U$10)*100</f>
        <v>82.5</v>
      </c>
      <c r="AX30">
        <f>(V30/$V$10)*100</f>
        <v>87.5</v>
      </c>
    </row>
    <row r="31">
      <c r="A31">
        <v>20</v>
      </c>
      <c r="B31" t="str">
        <f>INPUT!B31</f>
        <v>Mendoza, Joshua</v>
      </c>
      <c r="F31">
        <v>20</v>
      </c>
      <c r="G31">
        <v>20</v>
      </c>
      <c r="H31">
        <v>20</v>
      </c>
      <c r="I31">
        <v>20</v>
      </c>
      <c r="J31">
        <v>20</v>
      </c>
      <c r="K31">
        <f>IF(COUNT($F31:$J31)=0,"",SUM($F31:$J31))</f>
        <v>100</v>
      </c>
      <c r="L31">
        <f>IF(ISERROR(IF($K31="","",ROUND(($K31/$K$10)*$L$10,2))),"",IF($K31="","",ROUND(($K31/$K$10)*$L$10,2)))</f>
        <v>100</v>
      </c>
      <c r="M31">
        <f>IF($L31="","",ROUND($L31*$M$10,2))</f>
        <v>20</v>
      </c>
      <c r="N31">
        <v>50</v>
      </c>
      <c r="O31">
        <v>50</v>
      </c>
      <c r="P31">
        <v>50</v>
      </c>
      <c r="Q31">
        <f>IF(COUNT($N31:$P31)=0,"",SUM($N31:$P31))</f>
        <v>150</v>
      </c>
      <c r="R31">
        <f>IF(ISERROR(IF($Q31="","",ROUND(($Q31/$Q$10)*$R$10,2))),"",IF($Q31="","",ROUND(($Q31/$Q$10)*$R$10,2)))</f>
        <v>100</v>
      </c>
      <c r="S31">
        <f>IF($R31="","",ROUND($R31*$S$10,2))</f>
        <v>50</v>
      </c>
      <c r="T31">
        <v>38</v>
      </c>
      <c r="U31">
        <v>32</v>
      </c>
      <c r="V31">
        <v>35</v>
      </c>
      <c r="W31">
        <f>IF(COUNT($T31:$V31)=0,"",SUM($T31:$V31))</f>
        <v>105</v>
      </c>
      <c r="X31">
        <f>IF(ISERROR(IF($W31="","",ROUND(($W31/$W$10)*$X$10,2))),"",IF($W31="","",ROUND(($W31/$W$10)*$X$10,2)))</f>
        <v>87.5</v>
      </c>
      <c r="Y31">
        <f>IF($X31="","",ROUND($X31*$Y$10,2))</f>
        <v>26.25</v>
      </c>
      <c r="Z31">
        <f>IF(ISERROR(IF($V31="","",ROUND(SUM($M31,$S31,$Y31),2))),"",IF($V31="","",ROUND(SUM($M31,$S31,$Y31),2)))</f>
        <v>96.25</v>
      </c>
      <c r="AA31">
        <f>IF(ISERROR(IF($V31="","",VLOOKUP(Z31,NewTransmu,4,TRUE))),"",IF($V31="","",VLOOKUP(Z31,NewTransmu,4,TRUE)))</f>
        <v>98</v>
      </c>
      <c r="AB31" t="str">
        <f>IF(ISERROR(IF(AA31="","",VLOOKUP(AA31,DESCRIPTORS,4,TRUE))),"",IF(AA31="","",VLOOKUP(AA31,DESCRIPTORS,4,TRUE)))</f>
        <v>Advancing</v>
      </c>
      <c r="AD31" t="str">
        <v>Lowest Score</v>
      </c>
      <c r="AE31">
        <f>IF(COUNTA(T12:T112)=0,"",MIN(T12:T112))</f>
        <v>24</v>
      </c>
      <c r="AF31">
        <f>IF(COUNTA(U12:U112)=0,"",MIN(U12:U112))</f>
        <v>25</v>
      </c>
      <c r="AG31">
        <f>IF(COUNTA(V12:V112)=0,"",MIN(V12:V112))</f>
        <v>23</v>
      </c>
      <c r="AV31">
        <f>(T31/$T$10)*100</f>
        <v>95</v>
      </c>
      <c r="AW31">
        <f>(U31/$U$10)*100</f>
        <v>80</v>
      </c>
      <c r="AX31">
        <f>(V31/$V$10)*100</f>
        <v>87.5</v>
      </c>
    </row>
    <row r="32">
      <c r="A32">
        <v>21</v>
      </c>
      <c r="B32" t="str">
        <f>INPUT!B32</f>
        <v>Navarro, Lance</v>
      </c>
      <c r="F32">
        <v>20</v>
      </c>
      <c r="G32">
        <v>20</v>
      </c>
      <c r="H32">
        <v>20</v>
      </c>
      <c r="I32">
        <v>20</v>
      </c>
      <c r="J32">
        <v>20</v>
      </c>
      <c r="K32">
        <f>IF(COUNT($F32:$J32)=0,"",SUM($F32:$J32))</f>
        <v>100</v>
      </c>
      <c r="L32">
        <f>IF(ISERROR(IF($K32="","",ROUND(($K32/$K$10)*$L$10,2))),"",IF($K32="","",ROUND(($K32/$K$10)*$L$10,2)))</f>
        <v>100</v>
      </c>
      <c r="M32">
        <f>IF($L32="","",ROUND($L32*$M$10,2))</f>
        <v>20</v>
      </c>
      <c r="N32">
        <v>50</v>
      </c>
      <c r="O32">
        <v>50</v>
      </c>
      <c r="P32">
        <v>50</v>
      </c>
      <c r="Q32">
        <f>IF(COUNT($N32:$P32)=0,"",SUM($N32:$P32))</f>
        <v>150</v>
      </c>
      <c r="R32">
        <f>IF(ISERROR(IF($Q32="","",ROUND(($Q32/$Q$10)*$R$10,2))),"",IF($Q32="","",ROUND(($Q32/$Q$10)*$R$10,2)))</f>
        <v>100</v>
      </c>
      <c r="S32">
        <f>IF($R32="","",ROUND($R32*$S$10,2))</f>
        <v>50</v>
      </c>
      <c r="T32">
        <v>30</v>
      </c>
      <c r="U32">
        <v>31</v>
      </c>
      <c r="V32">
        <v>30</v>
      </c>
      <c r="W32">
        <f>IF(COUNT($T32:$V32)=0,"",SUM($T32:$V32))</f>
        <v>91</v>
      </c>
      <c r="X32">
        <f>IF(ISERROR(IF($W32="","",ROUND(($W32/$W$10)*$X$10,2))),"",IF($W32="","",ROUND(($W32/$W$10)*$X$10,2)))</f>
        <v>75.83</v>
      </c>
      <c r="Y32">
        <f>IF($X32="","",ROUND($X32*$Y$10,2))</f>
        <v>22.75</v>
      </c>
      <c r="Z32">
        <f>IF(ISERROR(IF($V32="","",ROUND(SUM($M32,$S32,$Y32),2))),"",IF($V32="","",ROUND(SUM($M32,$S32,$Y32),2)))</f>
        <v>92.75</v>
      </c>
      <c r="AA32">
        <f>IF(ISERROR(IF($V32="","",VLOOKUP(Z32,NewTransmu,4,TRUE))),"",IF($V32="","",VLOOKUP(Z32,NewTransmu,4,TRUE)))</f>
        <v>94</v>
      </c>
      <c r="AB32" t="str">
        <f>IF(ISERROR(IF(AA32="","",VLOOKUP(AA32,DESCRIPTORS,4,TRUE))),"",IF(AA32="","",VLOOKUP(AA32,DESCRIPTORS,4,TRUE)))</f>
        <v>Advancing</v>
      </c>
      <c r="AD32" t="str">
        <v>Total Score</v>
      </c>
      <c r="AE32">
        <f>IF(COUNTA(T12:T112)=0,"",SUM(T12:T112))</f>
        <v>3405</v>
      </c>
      <c r="AF32">
        <f>IF(COUNTA(U12:U112)=0,"",SUM(U12:U112))</f>
        <v>3399</v>
      </c>
      <c r="AG32">
        <f>IF(COUNTA(V12:V112)=0,"",SUM(V12:V112))</f>
        <v>3380</v>
      </c>
      <c r="AV32">
        <f>(T32/$T$10)*100</f>
        <v>75</v>
      </c>
      <c r="AW32">
        <f>(U32/$U$10)*100</f>
        <v>77.5</v>
      </c>
      <c r="AX32">
        <f>(V32/$V$10)*100</f>
        <v>75</v>
      </c>
    </row>
    <row r="33">
      <c r="A33">
        <v>22</v>
      </c>
      <c r="B33" t="str">
        <f>INPUT!B33</f>
        <v>Ocampo, Luis</v>
      </c>
      <c r="F33">
        <v>20</v>
      </c>
      <c r="G33">
        <v>20</v>
      </c>
      <c r="H33">
        <v>20</v>
      </c>
      <c r="I33">
        <v>20</v>
      </c>
      <c r="J33">
        <v>20</v>
      </c>
      <c r="K33">
        <f>IF(COUNT($F33:$J33)=0,"",SUM($F33:$J33))</f>
        <v>100</v>
      </c>
      <c r="L33">
        <f>IF(ISERROR(IF($K33="","",ROUND(($K33/$K$10)*$L$10,2))),"",IF($K33="","",ROUND(($K33/$K$10)*$L$10,2)))</f>
        <v>100</v>
      </c>
      <c r="M33">
        <f>IF($L33="","",ROUND($L33*$M$10,2))</f>
        <v>20</v>
      </c>
      <c r="N33">
        <v>50</v>
      </c>
      <c r="O33">
        <v>50</v>
      </c>
      <c r="P33">
        <v>50</v>
      </c>
      <c r="Q33">
        <f>IF(COUNT($N33:$P33)=0,"",SUM($N33:$P33))</f>
        <v>150</v>
      </c>
      <c r="R33">
        <f>IF(ISERROR(IF($Q33="","",ROUND(($Q33/$Q$10)*$R$10,2))),"",IF($Q33="","",ROUND(($Q33/$Q$10)*$R$10,2)))</f>
        <v>100</v>
      </c>
      <c r="S33">
        <f>IF($R33="","",ROUND($R33*$S$10,2))</f>
        <v>50</v>
      </c>
      <c r="T33">
        <v>38</v>
      </c>
      <c r="U33">
        <v>35</v>
      </c>
      <c r="V33">
        <v>36</v>
      </c>
      <c r="W33">
        <f>IF(COUNT($T33:$V33)=0,"",SUM($T33:$V33))</f>
        <v>109</v>
      </c>
      <c r="X33">
        <f>IF(ISERROR(IF($W33="","",ROUND(($W33/$W$10)*$X$10,2))),"",IF($W33="","",ROUND(($W33/$W$10)*$X$10,2)))</f>
        <v>90.83</v>
      </c>
      <c r="Y33">
        <f>IF($X33="","",ROUND($X33*$Y$10,2))</f>
        <v>27.25</v>
      </c>
      <c r="Z33">
        <f>IF(ISERROR(IF($V33="","",ROUND(SUM($M33,$S33,$Y33),2))),"",IF($V33="","",ROUND(SUM($M33,$S33,$Y33),2)))</f>
        <v>97.25</v>
      </c>
      <c r="AA33">
        <f>IF(ISERROR(IF($V33="","",VLOOKUP(Z33,NewTransmu,4,TRUE))),"",IF($V33="","",VLOOKUP(Z33,NewTransmu,4,TRUE)))</f>
        <v>98</v>
      </c>
      <c r="AB33" t="str">
        <f>IF(ISERROR(IF(AA33="","",VLOOKUP(AA33,DESCRIPTORS,4,TRUE))),"",IF(AA33="","",VLOOKUP(AA33,DESCRIPTORS,4,TRUE)))</f>
        <v>Advancing</v>
      </c>
      <c r="AV33">
        <f>(T33/$T$10)*100</f>
        <v>95</v>
      </c>
      <c r="AW33">
        <f>(U33/$U$10)*100</f>
        <v>87.5</v>
      </c>
      <c r="AX33">
        <f>(V33/$V$10)*100</f>
        <v>90</v>
      </c>
    </row>
    <row r="34">
      <c r="A34">
        <v>23</v>
      </c>
      <c r="B34" t="str">
        <f>INPUT!B34</f>
        <v>Ortega, Marco</v>
      </c>
      <c r="F34">
        <v>20</v>
      </c>
      <c r="G34">
        <v>20</v>
      </c>
      <c r="H34">
        <v>20</v>
      </c>
      <c r="I34">
        <v>20</v>
      </c>
      <c r="J34">
        <v>20</v>
      </c>
      <c r="K34">
        <f>IF(COUNT($F34:$J34)=0,"",SUM($F34:$J34))</f>
        <v>100</v>
      </c>
      <c r="L34">
        <f>IF(ISERROR(IF($K34="","",ROUND(($K34/$K$10)*$L$10,2))),"",IF($K34="","",ROUND(($K34/$K$10)*$L$10,2)))</f>
        <v>100</v>
      </c>
      <c r="M34">
        <f>IF($L34="","",ROUND($L34*$M$10,2))</f>
        <v>20</v>
      </c>
      <c r="N34">
        <v>50</v>
      </c>
      <c r="O34">
        <v>50</v>
      </c>
      <c r="P34">
        <v>50</v>
      </c>
      <c r="Q34">
        <f>IF(COUNT($N34:$P34)=0,"",SUM($N34:$P34))</f>
        <v>150</v>
      </c>
      <c r="R34">
        <f>IF(ISERROR(IF($Q34="","",ROUND(($Q34/$Q$10)*$R$10,2))),"",IF($Q34="","",ROUND(($Q34/$Q$10)*$R$10,2)))</f>
        <v>100</v>
      </c>
      <c r="S34">
        <f>IF($R34="","",ROUND($R34*$S$10,2))</f>
        <v>50</v>
      </c>
      <c r="T34">
        <v>31</v>
      </c>
      <c r="U34">
        <v>30</v>
      </c>
      <c r="V34">
        <v>33</v>
      </c>
      <c r="W34">
        <f>IF(COUNT($T34:$V34)=0,"",SUM($T34:$V34))</f>
        <v>94</v>
      </c>
      <c r="X34">
        <f>IF(ISERROR(IF($W34="","",ROUND(($W34/$W$10)*$X$10,2))),"",IF($W34="","",ROUND(($W34/$W$10)*$X$10,2)))</f>
        <v>78.33</v>
      </c>
      <c r="Y34">
        <f>IF($X34="","",ROUND($X34*$Y$10,2))</f>
        <v>23.5</v>
      </c>
      <c r="Z34">
        <f>IF(ISERROR(IF($V34="","",ROUND(SUM($M34,$S34,$Y34),2))),"",IF($V34="","",ROUND(SUM($M34,$S34,$Y34),2)))</f>
        <v>93.5</v>
      </c>
      <c r="AA34">
        <f>IF(ISERROR(IF($V34="","",VLOOKUP(Z34,NewTransmu,4,TRUE))),"",IF($V34="","",VLOOKUP(Z34,NewTransmu,4,TRUE)))</f>
        <v>95</v>
      </c>
      <c r="AB34" t="str">
        <f>IF(ISERROR(IF(AA34="","",VLOOKUP(AA34,DESCRIPTORS,4,TRUE))),"",IF(AA34="","",VLOOKUP(AA34,DESCRIPTORS,4,TRUE)))</f>
        <v>Advancing</v>
      </c>
      <c r="AV34">
        <f>(T34/$T$10)*100</f>
        <v>77.5</v>
      </c>
      <c r="AW34">
        <f>(U34/$U$10)*100</f>
        <v>75</v>
      </c>
      <c r="AX34">
        <f>(V34/$V$10)*100</f>
        <v>82.5</v>
      </c>
    </row>
    <row r="35">
      <c r="A35">
        <v>24</v>
      </c>
      <c r="B35" t="str">
        <f>INPUT!B35</f>
        <v>Pascual, Martin</v>
      </c>
      <c r="F35">
        <v>20</v>
      </c>
      <c r="G35">
        <v>20</v>
      </c>
      <c r="H35">
        <v>20</v>
      </c>
      <c r="I35">
        <v>20</v>
      </c>
      <c r="J35">
        <v>20</v>
      </c>
      <c r="K35">
        <f>IF(COUNT($F35:$J35)=0,"",SUM($F35:$J35))</f>
        <v>100</v>
      </c>
      <c r="L35">
        <f>IF(ISERROR(IF($K35="","",ROUND(($K35/$K$10)*$L$10,2))),"",IF($K35="","",ROUND(($K35/$K$10)*$L$10,2)))</f>
        <v>100</v>
      </c>
      <c r="M35">
        <f>IF($L35="","",ROUND($L35*$M$10,2))</f>
        <v>20</v>
      </c>
      <c r="N35">
        <v>50</v>
      </c>
      <c r="O35">
        <v>50</v>
      </c>
      <c r="P35">
        <v>50</v>
      </c>
      <c r="Q35">
        <f>IF(COUNT($N35:$P35)=0,"",SUM($N35:$P35))</f>
        <v>150</v>
      </c>
      <c r="R35">
        <f>IF(ISERROR(IF($Q35="","",ROUND(($Q35/$Q$10)*$R$10,2))),"",IF($Q35="","",ROUND(($Q35/$Q$10)*$R$10,2)))</f>
        <v>100</v>
      </c>
      <c r="S35">
        <f>IF($R35="","",ROUND($R35*$S$10,2))</f>
        <v>50</v>
      </c>
      <c r="T35">
        <v>32</v>
      </c>
      <c r="U35">
        <v>33</v>
      </c>
      <c r="V35">
        <v>31</v>
      </c>
      <c r="W35">
        <f>IF(COUNT($T35:$V35)=0,"",SUM($T35:$V35))</f>
        <v>96</v>
      </c>
      <c r="X35">
        <f>IF(ISERROR(IF($W35="","",ROUND(($W35/$W$10)*$X$10,2))),"",IF($W35="","",ROUND(($W35/$W$10)*$X$10,2)))</f>
        <v>80</v>
      </c>
      <c r="Y35">
        <f>IF($X35="","",ROUND($X35*$Y$10,2))</f>
        <v>24</v>
      </c>
      <c r="Z35">
        <f>IF(ISERROR(IF($V35="","",ROUND(SUM($M35,$S35,$Y35),2))),"",IF($V35="","",ROUND(SUM($M35,$S35,$Y35),2)))</f>
        <v>94</v>
      </c>
      <c r="AA35">
        <f>IF(ISERROR(IF($V35="","",VLOOKUP(Z35,NewTransmu,4,TRUE))),"",IF($V35="","",VLOOKUP(Z35,NewTransmu,4,TRUE)))</f>
        <v>96</v>
      </c>
      <c r="AB35" t="str">
        <f>IF(ISERROR(IF(AA35="","",VLOOKUP(AA35,DESCRIPTORS,4,TRUE))),"",IF(AA35="","",VLOOKUP(AA35,DESCRIPTORS,4,TRUE)))</f>
        <v>Advancing</v>
      </c>
      <c r="AV35">
        <f>(T35/$T$10)*100</f>
        <v>80</v>
      </c>
      <c r="AW35">
        <f>(U35/$U$10)*100</f>
        <v>82.5</v>
      </c>
      <c r="AX35">
        <f>(V35/$V$10)*100</f>
        <v>77.5</v>
      </c>
    </row>
    <row r="36">
      <c r="A36">
        <v>25</v>
      </c>
      <c r="B36" t="str">
        <f>INPUT!B36</f>
        <v>Quizon, Matthew</v>
      </c>
      <c r="F36">
        <v>20</v>
      </c>
      <c r="G36">
        <v>20</v>
      </c>
      <c r="H36">
        <v>20</v>
      </c>
      <c r="I36">
        <v>20</v>
      </c>
      <c r="J36">
        <v>20</v>
      </c>
      <c r="K36">
        <f>IF(COUNT($F36:$J36)=0,"",SUM($F36:$J36))</f>
        <v>100</v>
      </c>
      <c r="L36">
        <f>IF(ISERROR(IF($K36="","",ROUND(($K36/$K$10)*$L$10,2))),"",IF($K36="","",ROUND(($K36/$K$10)*$L$10,2)))</f>
        <v>100</v>
      </c>
      <c r="M36">
        <f>IF($L36="","",ROUND($L36*$M$10,2))</f>
        <v>20</v>
      </c>
      <c r="N36">
        <v>50</v>
      </c>
      <c r="O36">
        <v>50</v>
      </c>
      <c r="P36">
        <v>50</v>
      </c>
      <c r="Q36">
        <f>IF(COUNT($N36:$P36)=0,"",SUM($N36:$P36))</f>
        <v>150</v>
      </c>
      <c r="R36">
        <f>IF(ISERROR(IF($Q36="","",ROUND(($Q36/$Q$10)*$R$10,2))),"",IF($Q36="","",ROUND(($Q36/$Q$10)*$R$10,2)))</f>
        <v>100</v>
      </c>
      <c r="S36">
        <f>IF($R36="","",ROUND($R36*$S$10,2))</f>
        <v>50</v>
      </c>
      <c r="T36">
        <v>35</v>
      </c>
      <c r="U36">
        <v>35</v>
      </c>
      <c r="V36">
        <v>38</v>
      </c>
      <c r="W36">
        <f>IF(COUNT($T36:$V36)=0,"",SUM($T36:$V36))</f>
        <v>108</v>
      </c>
      <c r="X36">
        <f>IF(ISERROR(IF($W36="","",ROUND(($W36/$W$10)*$X$10,2))),"",IF($W36="","",ROUND(($W36/$W$10)*$X$10,2)))</f>
        <v>90</v>
      </c>
      <c r="Y36">
        <f>IF($X36="","",ROUND($X36*$Y$10,2))</f>
        <v>27</v>
      </c>
      <c r="Z36">
        <f>IF(ISERROR(IF($V36="","",ROUND(SUM($M36,$S36,$Y36),2))),"",IF($V36="","",ROUND(SUM($M36,$S36,$Y36),2)))</f>
        <v>97</v>
      </c>
      <c r="AA36">
        <f>IF(ISERROR(IF($V36="","",VLOOKUP(Z36,NewTransmu,4,TRUE))),"",IF($V36="","",VLOOKUP(Z36,NewTransmu,4,TRUE)))</f>
        <v>98</v>
      </c>
      <c r="AB36" t="str">
        <f>IF(ISERROR(IF(AA36="","",VLOOKUP(AA36,DESCRIPTORS,4,TRUE))),"",IF(AA36="","",VLOOKUP(AA36,DESCRIPTORS,4,TRUE)))</f>
        <v>Advancing</v>
      </c>
      <c r="AV36">
        <f>(T36/$T$10)*100</f>
        <v>87.5</v>
      </c>
      <c r="AW36">
        <f>(U36/$U$10)*100</f>
        <v>87.5</v>
      </c>
      <c r="AX36">
        <f>(V36/$V$10)*100</f>
        <v>95</v>
      </c>
    </row>
    <row r="37">
      <c r="A37">
        <v>26</v>
      </c>
      <c r="B37" t="str">
        <f>INPUT!B37</f>
        <v>Ramos, Miguel</v>
      </c>
      <c r="F37">
        <v>20</v>
      </c>
      <c r="G37">
        <v>20</v>
      </c>
      <c r="H37">
        <v>20</v>
      </c>
      <c r="I37">
        <v>20</v>
      </c>
      <c r="J37">
        <v>20</v>
      </c>
      <c r="K37">
        <f>IF(COUNT($F37:$J37)=0,"",SUM($F37:$J37))</f>
        <v>100</v>
      </c>
      <c r="L37">
        <f>IF(ISERROR(IF($K37="","",ROUND(($K37/$K$10)*$L$10,2))),"",IF($K37="","",ROUND(($K37/$K$10)*$L$10,2)))</f>
        <v>100</v>
      </c>
      <c r="M37">
        <f>IF($L37="","",ROUND($L37*$M$10,2))</f>
        <v>20</v>
      </c>
      <c r="N37">
        <v>50</v>
      </c>
      <c r="O37">
        <v>50</v>
      </c>
      <c r="P37">
        <v>50</v>
      </c>
      <c r="Q37">
        <f>IF(COUNT($N37:$P37)=0,"",SUM($N37:$P37))</f>
        <v>150</v>
      </c>
      <c r="R37">
        <f>IF(ISERROR(IF($Q37="","",ROUND(($Q37/$Q$10)*$R$10,2))),"",IF($Q37="","",ROUND(($Q37/$Q$10)*$R$10,2)))</f>
        <v>100</v>
      </c>
      <c r="S37">
        <f>IF($R37="","",ROUND($R37*$S$10,2))</f>
        <v>50</v>
      </c>
      <c r="T37">
        <v>30</v>
      </c>
      <c r="U37">
        <v>33</v>
      </c>
      <c r="V37">
        <v>32</v>
      </c>
      <c r="W37">
        <f>IF(COUNT($T37:$V37)=0,"",SUM($T37:$V37))</f>
        <v>95</v>
      </c>
      <c r="X37">
        <f>IF(ISERROR(IF($W37="","",ROUND(($W37/$W$10)*$X$10,2))),"",IF($W37="","",ROUND(($W37/$W$10)*$X$10,2)))</f>
        <v>79.17</v>
      </c>
      <c r="Y37">
        <f>IF($X37="","",ROUND($X37*$Y$10,2))</f>
        <v>23.75</v>
      </c>
      <c r="Z37">
        <f>IF(ISERROR(IF($V37="","",ROUND(SUM($M37,$S37,$Y37),2))),"",IF($V37="","",ROUND(SUM($M37,$S37,$Y37),2)))</f>
        <v>93.75</v>
      </c>
      <c r="AA37">
        <f>IF(ISERROR(IF($V37="","",VLOOKUP(Z37,NewTransmu,4,TRUE))),"",IF($V37="","",VLOOKUP(Z37,NewTransmu,4,TRUE)))</f>
        <v>95</v>
      </c>
      <c r="AB37" t="str">
        <f>IF(ISERROR(IF(AA37="","",VLOOKUP(AA37,DESCRIPTORS,4,TRUE))),"",IF(AA37="","",VLOOKUP(AA37,DESCRIPTORS,4,TRUE)))</f>
        <v>Advancing</v>
      </c>
      <c r="AV37">
        <f>(T37/$T$10)*100</f>
        <v>75</v>
      </c>
      <c r="AW37">
        <f>(U37/$U$10)*100</f>
        <v>82.5</v>
      </c>
      <c r="AX37">
        <f>(V37/$V$10)*100</f>
        <v>80</v>
      </c>
    </row>
    <row r="38">
      <c r="A38">
        <v>27</v>
      </c>
      <c r="B38" t="str">
        <f>INPUT!B38</f>
        <v>Reyes, Nathan</v>
      </c>
      <c r="F38">
        <v>20</v>
      </c>
      <c r="G38">
        <v>20</v>
      </c>
      <c r="H38">
        <v>20</v>
      </c>
      <c r="I38">
        <v>20</v>
      </c>
      <c r="J38">
        <v>20</v>
      </c>
      <c r="K38">
        <f>IF(COUNT($F38:$J38)=0,"",SUM($F38:$J38))</f>
        <v>100</v>
      </c>
      <c r="L38">
        <f>IF(ISERROR(IF($K38="","",ROUND(($K38/$K$10)*$L$10,2))),"",IF($K38="","",ROUND(($K38/$K$10)*$L$10,2)))</f>
        <v>100</v>
      </c>
      <c r="M38">
        <f>IF($L38="","",ROUND($L38*$M$10,2))</f>
        <v>20</v>
      </c>
      <c r="N38">
        <v>50</v>
      </c>
      <c r="O38">
        <v>50</v>
      </c>
      <c r="P38">
        <v>50</v>
      </c>
      <c r="Q38">
        <f>IF(COUNT($N38:$P38)=0,"",SUM($N38:$P38))</f>
        <v>150</v>
      </c>
      <c r="R38">
        <f>IF(ISERROR(IF($Q38="","",ROUND(($Q38/$Q$10)*$R$10,2))),"",IF($Q38="","",ROUND(($Q38/$Q$10)*$R$10,2)))</f>
        <v>100</v>
      </c>
      <c r="S38">
        <f>IF($R38="","",ROUND($R38*$S$10,2))</f>
        <v>50</v>
      </c>
      <c r="T38">
        <v>40</v>
      </c>
      <c r="U38">
        <v>40</v>
      </c>
      <c r="V38">
        <v>38</v>
      </c>
      <c r="W38">
        <f>IF(COUNT($T38:$V38)=0,"",SUM($T38:$V38))</f>
        <v>118</v>
      </c>
      <c r="X38">
        <f>IF(ISERROR(IF($W38="","",ROUND(($W38/$W$10)*$X$10,2))),"",IF($W38="","",ROUND(($W38/$W$10)*$X$10,2)))</f>
        <v>98.33</v>
      </c>
      <c r="Y38">
        <f>IF($X38="","",ROUND($X38*$Y$10,2))</f>
        <v>29.5</v>
      </c>
      <c r="Z38">
        <f>IF(ISERROR(IF($V38="","",ROUND(SUM($M38,$S38,$Y38),2))),"",IF($V38="","",ROUND(SUM($M38,$S38,$Y38),2)))</f>
        <v>99.5</v>
      </c>
      <c r="AA38">
        <f>IF(ISERROR(IF($V38="","",VLOOKUP(Z38,NewTransmu,4,TRUE))),"",IF($V38="","",VLOOKUP(Z38,NewTransmu,4,TRUE)))</f>
        <v>100</v>
      </c>
      <c r="AB38" t="str">
        <f>IF(ISERROR(IF(AA38="","",VLOOKUP(AA38,DESCRIPTORS,4,TRUE))),"",IF(AA38="","",VLOOKUP(AA38,DESCRIPTORS,4,TRUE)))</f>
        <v>Advancing</v>
      </c>
      <c r="AV38">
        <f>(T38/$T$10)*100</f>
        <v>100</v>
      </c>
      <c r="AW38">
        <f>(U38/$U$10)*100</f>
        <v>100</v>
      </c>
      <c r="AX38">
        <f>(V38/$V$10)*100</f>
        <v>95</v>
      </c>
    </row>
    <row r="39">
      <c r="A39">
        <v>28</v>
      </c>
      <c r="B39" t="str">
        <f>INPUT!B39</f>
        <v>Rivera, Noah</v>
      </c>
      <c r="F39">
        <v>20</v>
      </c>
      <c r="G39">
        <v>20</v>
      </c>
      <c r="H39">
        <v>20</v>
      </c>
      <c r="I39">
        <v>20</v>
      </c>
      <c r="J39">
        <v>20</v>
      </c>
      <c r="K39">
        <f>IF(COUNT($F39:$J39)=0,"",SUM($F39:$J39))</f>
        <v>100</v>
      </c>
      <c r="L39">
        <f>IF(ISERROR(IF($K39="","",ROUND(($K39/$K$10)*$L$10,2))),"",IF($K39="","",ROUND(($K39/$K$10)*$L$10,2)))</f>
        <v>100</v>
      </c>
      <c r="M39">
        <f>IF($L39="","",ROUND($L39*$M$10,2))</f>
        <v>20</v>
      </c>
      <c r="N39">
        <v>50</v>
      </c>
      <c r="O39">
        <v>50</v>
      </c>
      <c r="P39">
        <v>50</v>
      </c>
      <c r="Q39">
        <f>IF(COUNT($N39:$P39)=0,"",SUM($N39:$P39))</f>
        <v>150</v>
      </c>
      <c r="R39">
        <f>IF(ISERROR(IF($Q39="","",ROUND(($Q39/$Q$10)*$R$10,2))),"",IF($Q39="","",ROUND(($Q39/$Q$10)*$R$10,2)))</f>
        <v>100</v>
      </c>
      <c r="S39">
        <f>IF($R39="","",ROUND($R39*$S$10,2))</f>
        <v>50</v>
      </c>
      <c r="T39">
        <v>40</v>
      </c>
      <c r="U39">
        <v>37</v>
      </c>
      <c r="V39">
        <v>38</v>
      </c>
      <c r="W39">
        <f>IF(COUNT($T39:$V39)=0,"",SUM($T39:$V39))</f>
        <v>115</v>
      </c>
      <c r="X39">
        <f>IF(ISERROR(IF($W39="","",ROUND(($W39/$W$10)*$X$10,2))),"",IF($W39="","",ROUND(($W39/$W$10)*$X$10,2)))</f>
        <v>95.83</v>
      </c>
      <c r="Y39">
        <f>IF($X39="","",ROUND($X39*$Y$10,2))</f>
        <v>28.75</v>
      </c>
      <c r="Z39">
        <f>IF(ISERROR(IF($V39="","",ROUND(SUM($M39,$S39,$Y39),2))),"",IF($V39="","",ROUND(SUM($M39,$S39,$Y39),2)))</f>
        <v>98.75</v>
      </c>
      <c r="AA39">
        <f>IF(ISERROR(IF($V39="","",VLOOKUP(Z39,NewTransmu,4,TRUE))),"",IF($V39="","",VLOOKUP(Z39,NewTransmu,4,TRUE)))</f>
        <v>99</v>
      </c>
      <c r="AB39" t="str">
        <f>IF(ISERROR(IF(AA39="","",VLOOKUP(AA39,DESCRIPTORS,4,TRUE))),"",IF(AA39="","",VLOOKUP(AA39,DESCRIPTORS,4,TRUE)))</f>
        <v>Advancing</v>
      </c>
      <c r="AV39">
        <f>(T39/$T$10)*100</f>
        <v>100</v>
      </c>
      <c r="AW39">
        <f>(U39/$U$10)*100</f>
        <v>92.5</v>
      </c>
      <c r="AX39">
        <f>(V39/$V$10)*100</f>
        <v>95</v>
      </c>
    </row>
    <row r="40">
      <c r="A40">
        <v>29</v>
      </c>
      <c r="B40" t="str">
        <f>INPUT!B40</f>
        <v>Rosales, Oliver</v>
      </c>
      <c r="F40">
        <v>20</v>
      </c>
      <c r="G40">
        <v>20</v>
      </c>
      <c r="H40">
        <v>20</v>
      </c>
      <c r="I40">
        <v>20</v>
      </c>
      <c r="J40">
        <v>20</v>
      </c>
      <c r="K40">
        <f>IF(COUNT($F40:$J40)=0,"",SUM($F40:$J40))</f>
        <v>100</v>
      </c>
      <c r="L40">
        <f>IF(ISERROR(IF($K40="","",ROUND(($K40/$K$10)*$L$10,2))),"",IF($K40="","",ROUND(($K40/$K$10)*$L$10,2)))</f>
        <v>100</v>
      </c>
      <c r="M40">
        <f>IF($L40="","",ROUND($L40*$M$10,2))</f>
        <v>20</v>
      </c>
      <c r="N40">
        <v>50</v>
      </c>
      <c r="O40">
        <v>50</v>
      </c>
      <c r="P40">
        <v>50</v>
      </c>
      <c r="Q40">
        <f>IF(COUNT($N40:$P40)=0,"",SUM($N40:$P40))</f>
        <v>150</v>
      </c>
      <c r="R40">
        <f>IF(ISERROR(IF($Q40="","",ROUND(($Q40/$Q$10)*$R$10,2))),"",IF($Q40="","",ROUND(($Q40/$Q$10)*$R$10,2)))</f>
        <v>100</v>
      </c>
      <c r="S40">
        <f>IF($R40="","",ROUND($R40*$S$10,2))</f>
        <v>50</v>
      </c>
      <c r="T40">
        <v>39</v>
      </c>
      <c r="U40">
        <v>35</v>
      </c>
      <c r="V40">
        <v>34</v>
      </c>
      <c r="W40">
        <f>IF(COUNT($T40:$V40)=0,"",SUM($T40:$V40))</f>
        <v>108</v>
      </c>
      <c r="X40">
        <f>IF(ISERROR(IF($W40="","",ROUND(($W40/$W$10)*$X$10,2))),"",IF($W40="","",ROUND(($W40/$W$10)*$X$10,2)))</f>
        <v>90</v>
      </c>
      <c r="Y40">
        <f>IF($X40="","",ROUND($X40*$Y$10,2))</f>
        <v>27</v>
      </c>
      <c r="Z40">
        <f>IF(ISERROR(IF($V40="","",ROUND(SUM($M40,$S40,$Y40),2))),"",IF($V40="","",ROUND(SUM($M40,$S40,$Y40),2)))</f>
        <v>97</v>
      </c>
      <c r="AA40">
        <f>IF(ISERROR(IF($V40="","",VLOOKUP(Z40,NewTransmu,4,TRUE))),"",IF($V40="","",VLOOKUP(Z40,NewTransmu,4,TRUE)))</f>
        <v>98</v>
      </c>
      <c r="AB40" t="str">
        <f>IF(ISERROR(IF(AA40="","",VLOOKUP(AA40,DESCRIPTORS,4,TRUE))),"",IF(AA40="","",VLOOKUP(AA40,DESCRIPTORS,4,TRUE)))</f>
        <v>Advancing</v>
      </c>
      <c r="AV40">
        <f>(T40/$T$10)*100</f>
        <v>97.5</v>
      </c>
      <c r="AW40">
        <f>(U40/$U$10)*100</f>
        <v>87.5</v>
      </c>
      <c r="AX40">
        <f>(V40/$V$10)*100</f>
        <v>85</v>
      </c>
    </row>
    <row r="41">
      <c r="A41">
        <v>30</v>
      </c>
      <c r="B41" t="str">
        <f>INPUT!B41</f>
        <v>Salazar, Paolo</v>
      </c>
      <c r="F41">
        <v>20</v>
      </c>
      <c r="G41">
        <v>20</v>
      </c>
      <c r="H41">
        <v>20</v>
      </c>
      <c r="I41">
        <v>20</v>
      </c>
      <c r="J41">
        <v>20</v>
      </c>
      <c r="K41">
        <f>IF(COUNT($F41:$J41)=0,"",SUM($F41:$J41))</f>
        <v>100</v>
      </c>
      <c r="L41">
        <f>IF(ISERROR(IF($K41="","",ROUND(($K41/$K$10)*$L$10,2))),"",IF($K41="","",ROUND(($K41/$K$10)*$L$10,2)))</f>
        <v>100</v>
      </c>
      <c r="M41">
        <f>IF($L41="","",ROUND($L41*$M$10,2))</f>
        <v>20</v>
      </c>
      <c r="N41">
        <v>50</v>
      </c>
      <c r="O41">
        <v>50</v>
      </c>
      <c r="P41">
        <v>50</v>
      </c>
      <c r="Q41">
        <f>IF(COUNT($N41:$P41)=0,"",SUM($N41:$P41))</f>
        <v>150</v>
      </c>
      <c r="R41">
        <f>IF(ISERROR(IF($Q41="","",ROUND(($Q41/$Q$10)*$R$10,2))),"",IF($Q41="","",ROUND(($Q41/$Q$10)*$R$10,2)))</f>
        <v>100</v>
      </c>
      <c r="S41">
        <f>IF($R41="","",ROUND($R41*$S$10,2))</f>
        <v>50</v>
      </c>
      <c r="T41">
        <v>40</v>
      </c>
      <c r="U41">
        <v>39</v>
      </c>
      <c r="V41">
        <v>40</v>
      </c>
      <c r="W41">
        <f>IF(COUNT($T41:$V41)=0,"",SUM($T41:$V41))</f>
        <v>119</v>
      </c>
      <c r="X41">
        <f>IF(ISERROR(IF($W41="","",ROUND(($W41/$W$10)*$X$10,2))),"",IF($W41="","",ROUND(($W41/$W$10)*$X$10,2)))</f>
        <v>99.17</v>
      </c>
      <c r="Y41">
        <f>IF($X41="","",ROUND($X41*$Y$10,2))</f>
        <v>29.75</v>
      </c>
      <c r="Z41">
        <f>IF(ISERROR(IF($V41="","",ROUND(SUM($M41,$S41,$Y41),2))),"",IF($V41="","",ROUND(SUM($M41,$S41,$Y41),2)))</f>
        <v>99.75</v>
      </c>
      <c r="AA41">
        <f>IF(ISERROR(IF($V41="","",VLOOKUP(Z41,NewTransmu,4,TRUE))),"",IF($V41="","",VLOOKUP(Z41,NewTransmu,4,TRUE)))</f>
        <v>100</v>
      </c>
      <c r="AB41" t="str">
        <f>IF(ISERROR(IF(AA41="","",VLOOKUP(AA41,DESCRIPTORS,4,TRUE))),"",IF(AA41="","",VLOOKUP(AA41,DESCRIPTORS,4,TRUE)))</f>
        <v>Advancing</v>
      </c>
      <c r="AV41">
        <f>(T41/$T$10)*100</f>
        <v>100</v>
      </c>
      <c r="AW41">
        <f>(U41/$U$10)*100</f>
        <v>97.5</v>
      </c>
      <c r="AX41">
        <f>(V41/$V$10)*100</f>
        <v>100</v>
      </c>
    </row>
    <row r="42">
      <c r="A42">
        <v>31</v>
      </c>
      <c r="B42" t="str">
        <f>INPUT!B42</f>
        <v>Santiago, Patrick</v>
      </c>
      <c r="F42">
        <v>20</v>
      </c>
      <c r="G42">
        <v>20</v>
      </c>
      <c r="H42">
        <v>20</v>
      </c>
      <c r="I42">
        <v>20</v>
      </c>
      <c r="J42">
        <v>20</v>
      </c>
      <c r="K42">
        <f>IF(COUNT($F42:$J42)=0,"",SUM($F42:$J42))</f>
        <v>100</v>
      </c>
      <c r="L42">
        <f>IF(ISERROR(IF($K42="","",ROUND(($K42/$K$10)*$L$10,2))),"",IF($K42="","",ROUND(($K42/$K$10)*$L$10,2)))</f>
        <v>100</v>
      </c>
      <c r="M42">
        <f>IF($L42="","",ROUND($L42*$M$10,2))</f>
        <v>20</v>
      </c>
      <c r="N42">
        <v>50</v>
      </c>
      <c r="O42">
        <v>50</v>
      </c>
      <c r="P42">
        <v>50</v>
      </c>
      <c r="Q42">
        <f>IF(COUNT($N42:$P42)=0,"",SUM($N42:$P42))</f>
        <v>150</v>
      </c>
      <c r="R42">
        <f>IF(ISERROR(IF($Q42="","",ROUND(($Q42/$Q$10)*$R$10,2))),"",IF($Q42="","",ROUND(($Q42/$Q$10)*$R$10,2)))</f>
        <v>100</v>
      </c>
      <c r="S42">
        <f>IF($R42="","",ROUND($R42*$S$10,2))</f>
        <v>50</v>
      </c>
      <c r="T42">
        <v>39</v>
      </c>
      <c r="U42">
        <v>36</v>
      </c>
      <c r="V42">
        <v>35</v>
      </c>
      <c r="W42">
        <f>IF(COUNT($T42:$V42)=0,"",SUM($T42:$V42))</f>
        <v>110</v>
      </c>
      <c r="X42">
        <f>IF(ISERROR(IF($W42="","",ROUND(($W42/$W$10)*$X$10,2))),"",IF($W42="","",ROUND(($W42/$W$10)*$X$10,2)))</f>
        <v>91.67</v>
      </c>
      <c r="Y42">
        <f>IF($X42="","",ROUND($X42*$Y$10,2))</f>
        <v>27.5</v>
      </c>
      <c r="Z42">
        <f>IF(ISERROR(IF($V42="","",ROUND(SUM($M42,$S42,$Y42),2))),"",IF($V42="","",ROUND(SUM($M42,$S42,$Y42),2)))</f>
        <v>97.5</v>
      </c>
      <c r="AA42">
        <f>IF(ISERROR(IF($V42="","",VLOOKUP(Z42,NewTransmu,4,TRUE))),"",IF($V42="","",VLOOKUP(Z42,NewTransmu,4,TRUE)))</f>
        <v>99</v>
      </c>
      <c r="AB42" t="str">
        <f>IF(ISERROR(IF(AA42="","",VLOOKUP(AA42,DESCRIPTORS,4,TRUE))),"",IF(AA42="","",VLOOKUP(AA42,DESCRIPTORS,4,TRUE)))</f>
        <v>Advancing</v>
      </c>
      <c r="AV42">
        <f>(T42/$T$10)*100</f>
        <v>97.5</v>
      </c>
      <c r="AW42">
        <f>(U42/$U$10)*100</f>
        <v>90</v>
      </c>
      <c r="AX42">
        <f>(V42/$V$10)*100</f>
        <v>87.5</v>
      </c>
    </row>
    <row r="43">
      <c r="A43">
        <v>32</v>
      </c>
      <c r="B43" t="str">
        <f>INPUT!B43</f>
        <v>Santos, Rafael</v>
      </c>
      <c r="F43">
        <v>20</v>
      </c>
      <c r="G43">
        <v>20</v>
      </c>
      <c r="H43">
        <v>20</v>
      </c>
      <c r="I43">
        <v>20</v>
      </c>
      <c r="J43">
        <v>20</v>
      </c>
      <c r="K43">
        <f>IF(COUNT($F43:$J43)=0,"",SUM($F43:$J43))</f>
        <v>100</v>
      </c>
      <c r="L43">
        <f>IF(ISERROR(IF($K43="","",ROUND(($K43/$K$10)*$L$10,2))),"",IF($K43="","",ROUND(($K43/$K$10)*$L$10,2)))</f>
        <v>100</v>
      </c>
      <c r="M43">
        <f>IF($L43="","",ROUND($L43*$M$10,2))</f>
        <v>20</v>
      </c>
      <c r="N43">
        <v>50</v>
      </c>
      <c r="O43">
        <v>50</v>
      </c>
      <c r="P43">
        <v>50</v>
      </c>
      <c r="Q43">
        <f>IF(COUNT($N43:$P43)=0,"",SUM($N43:$P43))</f>
        <v>150</v>
      </c>
      <c r="R43">
        <f>IF(ISERROR(IF($Q43="","",ROUND(($Q43/$Q$10)*$R$10,2))),"",IF($Q43="","",ROUND(($Q43/$Q$10)*$R$10,2)))</f>
        <v>100</v>
      </c>
      <c r="S43">
        <f>IF($R43="","",ROUND($R43*$S$10,2))</f>
        <v>50</v>
      </c>
      <c r="T43">
        <v>40</v>
      </c>
      <c r="U43">
        <v>38</v>
      </c>
      <c r="V43">
        <v>40</v>
      </c>
      <c r="W43">
        <f>IF(COUNT($T43:$V43)=0,"",SUM($T43:$V43))</f>
        <v>118</v>
      </c>
      <c r="X43">
        <f>IF(ISERROR(IF($W43="","",ROUND(($W43/$W$10)*$X$10,2))),"",IF($W43="","",ROUND(($W43/$W$10)*$X$10,2)))</f>
        <v>98.33</v>
      </c>
      <c r="Y43">
        <f>IF($X43="","",ROUND($X43*$Y$10,2))</f>
        <v>29.5</v>
      </c>
      <c r="Z43">
        <f>IF(ISERROR(IF($V43="","",ROUND(SUM($M43,$S43,$Y43),2))),"",IF($V43="","",ROUND(SUM($M43,$S43,$Y43),2)))</f>
        <v>99.5</v>
      </c>
      <c r="AA43">
        <f>IF(ISERROR(IF($V43="","",VLOOKUP(Z43,NewTransmu,4,TRUE))),"",IF($V43="","",VLOOKUP(Z43,NewTransmu,4,TRUE)))</f>
        <v>100</v>
      </c>
      <c r="AB43" t="str">
        <f>IF(ISERROR(IF(AA43="","",VLOOKUP(AA43,DESCRIPTORS,4,TRUE))),"",IF(AA43="","",VLOOKUP(AA43,DESCRIPTORS,4,TRUE)))</f>
        <v>Advancing</v>
      </c>
      <c r="AV43">
        <f>(T43/$T$10)*100</f>
        <v>100</v>
      </c>
      <c r="AW43">
        <f>(U43/$U$10)*100</f>
        <v>95</v>
      </c>
      <c r="AX43">
        <f>(V43/$V$10)*100</f>
        <v>100</v>
      </c>
    </row>
    <row r="44">
      <c r="A44">
        <v>33</v>
      </c>
      <c r="B44" t="str">
        <f>INPUT!B44</f>
        <v>Soriano, Raymond</v>
      </c>
      <c r="F44">
        <v>20</v>
      </c>
      <c r="G44">
        <v>20</v>
      </c>
      <c r="H44">
        <v>20</v>
      </c>
      <c r="I44">
        <v>20</v>
      </c>
      <c r="J44">
        <v>20</v>
      </c>
      <c r="K44">
        <f>IF(COUNT($F44:$J44)=0,"",SUM($F44:$J44))</f>
        <v>100</v>
      </c>
      <c r="L44">
        <f>IF(ISERROR(IF($K44="","",ROUND(($K44/$K$10)*$L$10,2))),"",IF($K44="","",ROUND(($K44/$K$10)*$L$10,2)))</f>
        <v>100</v>
      </c>
      <c r="M44">
        <f>IF($L44="","",ROUND($L44*$M$10,2))</f>
        <v>20</v>
      </c>
      <c r="N44">
        <v>50</v>
      </c>
      <c r="O44">
        <v>50</v>
      </c>
      <c r="P44">
        <v>50</v>
      </c>
      <c r="Q44">
        <f>IF(COUNT($N44:$P44)=0,"",SUM($N44:$P44))</f>
        <v>150</v>
      </c>
      <c r="R44">
        <f>IF(ISERROR(IF($Q44="","",ROUND(($Q44/$Q$10)*$R$10,2))),"",IF($Q44="","",ROUND(($Q44/$Q$10)*$R$10,2)))</f>
        <v>100</v>
      </c>
      <c r="S44">
        <f>IF($R44="","",ROUND($R44*$S$10,2))</f>
        <v>50</v>
      </c>
      <c r="T44">
        <v>40</v>
      </c>
      <c r="U44">
        <v>37</v>
      </c>
      <c r="V44">
        <v>40</v>
      </c>
      <c r="W44">
        <f>IF(COUNT($T44:$V44)=0,"",SUM($T44:$V44))</f>
        <v>117</v>
      </c>
      <c r="X44">
        <f>IF(ISERROR(IF($W44="","",ROUND(($W44/$W$10)*$X$10,2))),"",IF($W44="","",ROUND(($W44/$W$10)*$X$10,2)))</f>
        <v>97.5</v>
      </c>
      <c r="Y44">
        <f>IF($X44="","",ROUND($X44*$Y$10,2))</f>
        <v>29.25</v>
      </c>
      <c r="Z44">
        <f>IF(ISERROR(IF($V44="","",ROUND(SUM($M44,$S44,$Y44),2))),"",IF($V44="","",ROUND(SUM($M44,$S44,$Y44),2)))</f>
        <v>99.25</v>
      </c>
      <c r="AA44">
        <f>IF(ISERROR(IF($V44="","",VLOOKUP(Z44,NewTransmu,4,TRUE))),"",IF($V44="","",VLOOKUP(Z44,NewTransmu,4,TRUE)))</f>
        <v>99</v>
      </c>
      <c r="AB44" t="str">
        <f>IF(ISERROR(IF(AA44="","",VLOOKUP(AA44,DESCRIPTORS,4,TRUE))),"",IF(AA44="","",VLOOKUP(AA44,DESCRIPTORS,4,TRUE)))</f>
        <v>Advancing</v>
      </c>
      <c r="AV44">
        <f>(T44/$T$10)*100</f>
        <v>100</v>
      </c>
      <c r="AW44">
        <f>(U44/$U$10)*100</f>
        <v>92.5</v>
      </c>
      <c r="AX44">
        <f>(V44/$V$10)*100</f>
        <v>100</v>
      </c>
    </row>
    <row r="45">
      <c r="A45">
        <v>34</v>
      </c>
      <c r="B45" t="str">
        <f>INPUT!B45</f>
        <v>Torres, Rico</v>
      </c>
      <c r="F45">
        <v>20</v>
      </c>
      <c r="G45">
        <v>20</v>
      </c>
      <c r="H45">
        <v>20</v>
      </c>
      <c r="I45">
        <v>20</v>
      </c>
      <c r="J45">
        <v>20</v>
      </c>
      <c r="K45">
        <f>IF(COUNT($F45:$J45)=0,"",SUM($F45:$J45))</f>
        <v>100</v>
      </c>
      <c r="L45">
        <f>IF(ISERROR(IF($K45="","",ROUND(($K45/$K$10)*$L$10,2))),"",IF($K45="","",ROUND(($K45/$K$10)*$L$10,2)))</f>
        <v>100</v>
      </c>
      <c r="M45">
        <f>IF($L45="","",ROUND($L45*$M$10,2))</f>
        <v>20</v>
      </c>
      <c r="N45">
        <v>50</v>
      </c>
      <c r="O45">
        <v>50</v>
      </c>
      <c r="P45">
        <v>50</v>
      </c>
      <c r="Q45">
        <f>IF(COUNT($N45:$P45)=0,"",SUM($N45:$P45))</f>
        <v>150</v>
      </c>
      <c r="R45">
        <f>IF(ISERROR(IF($Q45="","",ROUND(($Q45/$Q$10)*$R$10,2))),"",IF($Q45="","",ROUND(($Q45/$Q$10)*$R$10,2)))</f>
        <v>100</v>
      </c>
      <c r="S45">
        <f>IF($R45="","",ROUND($R45*$S$10,2))</f>
        <v>50</v>
      </c>
      <c r="T45">
        <v>31</v>
      </c>
      <c r="U45">
        <v>32</v>
      </c>
      <c r="V45">
        <v>34</v>
      </c>
      <c r="W45">
        <f>IF(COUNT($T45:$V45)=0,"",SUM($T45:$V45))</f>
        <v>97</v>
      </c>
      <c r="X45">
        <f>IF(ISERROR(IF($W45="","",ROUND(($W45/$W$10)*$X$10,2))),"",IF($W45="","",ROUND(($W45/$W$10)*$X$10,2)))</f>
        <v>80.83</v>
      </c>
      <c r="Y45">
        <f>IF($X45="","",ROUND($X45*$Y$10,2))</f>
        <v>24.25</v>
      </c>
      <c r="Z45">
        <f>IF(ISERROR(IF($V45="","",ROUND(SUM($M45,$S45,$Y45),2))),"",IF($V45="","",ROUND(SUM($M45,$S45,$Y45),2)))</f>
        <v>94.25</v>
      </c>
      <c r="AA45">
        <f>IF(ISERROR(IF($V45="","",VLOOKUP(Z45,NewTransmu,4,TRUE))),"",IF($V45="","",VLOOKUP(Z45,NewTransmu,4,TRUE)))</f>
        <v>96</v>
      </c>
      <c r="AB45" t="str">
        <f>IF(ISERROR(IF(AA45="","",VLOOKUP(AA45,DESCRIPTORS,4,TRUE))),"",IF(AA45="","",VLOOKUP(AA45,DESCRIPTORS,4,TRUE)))</f>
        <v>Advancing</v>
      </c>
      <c r="AV45">
        <f>(T45/$T$10)*100</f>
        <v>77.5</v>
      </c>
      <c r="AW45">
        <f>(U45/$U$10)*100</f>
        <v>80</v>
      </c>
      <c r="AX45">
        <f>(V45/$V$10)*100</f>
        <v>85</v>
      </c>
    </row>
    <row r="46">
      <c r="A46">
        <v>35</v>
      </c>
      <c r="B46" t="str">
        <f>INPUT!B46</f>
        <v>Valdez, Samuel</v>
      </c>
      <c r="F46">
        <v>20</v>
      </c>
      <c r="G46">
        <v>20</v>
      </c>
      <c r="H46">
        <v>20</v>
      </c>
      <c r="I46">
        <v>20</v>
      </c>
      <c r="J46">
        <v>20</v>
      </c>
      <c r="K46">
        <f>IF(COUNT($F46:$J46)=0,"",SUM($F46:$J46))</f>
        <v>100</v>
      </c>
      <c r="L46">
        <f>IF(ISERROR(IF($K46="","",ROUND(($K46/$K$10)*$L$10,2))),"",IF($K46="","",ROUND(($K46/$K$10)*$L$10,2)))</f>
        <v>100</v>
      </c>
      <c r="M46">
        <f>IF($L46="","",ROUND($L46*$M$10,2))</f>
        <v>20</v>
      </c>
      <c r="N46">
        <v>50</v>
      </c>
      <c r="O46">
        <v>50</v>
      </c>
      <c r="P46">
        <v>50</v>
      </c>
      <c r="Q46">
        <f>IF(COUNT($N46:$P46)=0,"",SUM($N46:$P46))</f>
        <v>150</v>
      </c>
      <c r="R46">
        <f>IF(ISERROR(IF($Q46="","",ROUND(($Q46/$Q$10)*$R$10,2))),"",IF($Q46="","",ROUND(($Q46/$Q$10)*$R$10,2)))</f>
        <v>100</v>
      </c>
      <c r="S46">
        <f>IF($R46="","",ROUND($R46*$S$10,2))</f>
        <v>50</v>
      </c>
      <c r="T46">
        <v>34</v>
      </c>
      <c r="U46">
        <v>37</v>
      </c>
      <c r="V46">
        <v>35</v>
      </c>
      <c r="W46">
        <f>IF(COUNT($T46:$V46)=0,"",SUM($T46:$V46))</f>
        <v>106</v>
      </c>
      <c r="X46">
        <f>IF(ISERROR(IF($W46="","",ROUND(($W46/$W$10)*$X$10,2))),"",IF($W46="","",ROUND(($W46/$W$10)*$X$10,2)))</f>
        <v>88.33</v>
      </c>
      <c r="Y46">
        <f>IF($X46="","",ROUND($X46*$Y$10,2))</f>
        <v>26.5</v>
      </c>
      <c r="Z46">
        <f>IF(ISERROR(IF($V46="","",ROUND(SUM($M46,$S46,$Y46),2))),"",IF($V46="","",ROUND(SUM($M46,$S46,$Y46),2)))</f>
        <v>96.5</v>
      </c>
      <c r="AA46">
        <f>IF(ISERROR(IF($V46="","",VLOOKUP(Z46,NewTransmu,4,TRUE))),"",IF($V46="","",VLOOKUP(Z46,NewTransmu,4,TRUE)))</f>
        <v>98</v>
      </c>
      <c r="AB46" t="str">
        <f>IF(ISERROR(IF(AA46="","",VLOOKUP(AA46,DESCRIPTORS,4,TRUE))),"",IF(AA46="","",VLOOKUP(AA46,DESCRIPTORS,4,TRUE)))</f>
        <v>Advancing</v>
      </c>
      <c r="AV46">
        <f>(T46/$T$10)*100</f>
        <v>85</v>
      </c>
      <c r="AW46">
        <f>(U46/$U$10)*100</f>
        <v>92.5</v>
      </c>
      <c r="AX46">
        <f>(V46/$V$10)*100</f>
        <v>87.5</v>
      </c>
    </row>
    <row r="47">
      <c r="A47">
        <v>36</v>
      </c>
      <c r="B47" t="str">
        <f>INPUT!B47</f>
        <v>Velasco, Sebastian</v>
      </c>
      <c r="F47">
        <v>20</v>
      </c>
      <c r="G47">
        <v>20</v>
      </c>
      <c r="H47">
        <v>20</v>
      </c>
      <c r="I47">
        <v>20</v>
      </c>
      <c r="J47">
        <v>20</v>
      </c>
      <c r="K47">
        <f>IF(COUNT($F47:$J47)=0,"",SUM($F47:$J47))</f>
        <v>100</v>
      </c>
      <c r="L47">
        <f>IF(ISERROR(IF($K47="","",ROUND(($K47/$K$10)*$L$10,2))),"",IF($K47="","",ROUND(($K47/$K$10)*$L$10,2)))</f>
        <v>100</v>
      </c>
      <c r="M47">
        <f>IF($L47="","",ROUND($L47*$M$10,2))</f>
        <v>20</v>
      </c>
      <c r="N47">
        <v>50</v>
      </c>
      <c r="O47">
        <v>50</v>
      </c>
      <c r="P47">
        <v>50</v>
      </c>
      <c r="Q47">
        <f>IF(COUNT($N47:$P47)=0,"",SUM($N47:$P47))</f>
        <v>150</v>
      </c>
      <c r="R47">
        <f>IF(ISERROR(IF($Q47="","",ROUND(($Q47/$Q$10)*$R$10,2))),"",IF($Q47="","",ROUND(($Q47/$Q$10)*$R$10,2)))</f>
        <v>100</v>
      </c>
      <c r="S47">
        <f>IF($R47="","",ROUND($R47*$S$10,2))</f>
        <v>50</v>
      </c>
      <c r="T47">
        <v>33</v>
      </c>
      <c r="U47">
        <v>33</v>
      </c>
      <c r="V47">
        <v>31</v>
      </c>
      <c r="W47">
        <f>IF(COUNT($T47:$V47)=0,"",SUM($T47:$V47))</f>
        <v>97</v>
      </c>
      <c r="X47">
        <f>IF(ISERROR(IF($W47="","",ROUND(($W47/$W$10)*$X$10,2))),"",IF($W47="","",ROUND(($W47/$W$10)*$X$10,2)))</f>
        <v>80.83</v>
      </c>
      <c r="Y47">
        <f>IF($X47="","",ROUND($X47*$Y$10,2))</f>
        <v>24.25</v>
      </c>
      <c r="Z47">
        <f>IF(ISERROR(IF($V47="","",ROUND(SUM($M47,$S47,$Y47),2))),"",IF($V47="","",ROUND(SUM($M47,$S47,$Y47),2)))</f>
        <v>94.25</v>
      </c>
      <c r="AA47">
        <f>IF(ISERROR(IF($V47="","",VLOOKUP(Z47,NewTransmu,4,TRUE))),"",IF($V47="","",VLOOKUP(Z47,NewTransmu,4,TRUE)))</f>
        <v>96</v>
      </c>
      <c r="AB47" t="str">
        <f>IF(ISERROR(IF(AA47="","",VLOOKUP(AA47,DESCRIPTORS,4,TRUE))),"",IF(AA47="","",VLOOKUP(AA47,DESCRIPTORS,4,TRUE)))</f>
        <v>Advancing</v>
      </c>
      <c r="AV47">
        <f>(T47/$T$10)*100</f>
        <v>82.5</v>
      </c>
      <c r="AW47">
        <f>(U47/$U$10)*100</f>
        <v>82.5</v>
      </c>
      <c r="AX47">
        <f>(V47/$V$10)*100</f>
        <v>77.5</v>
      </c>
    </row>
    <row r="48">
      <c r="A48">
        <v>37</v>
      </c>
      <c r="B48" t="str">
        <f>INPUT!B48</f>
        <v>Villanueva, Simon</v>
      </c>
      <c r="F48">
        <v>20</v>
      </c>
      <c r="G48">
        <v>20</v>
      </c>
      <c r="H48">
        <v>20</v>
      </c>
      <c r="I48">
        <v>20</v>
      </c>
      <c r="J48">
        <v>20</v>
      </c>
      <c r="K48">
        <f>IF(COUNT($F48:$J48)=0,"",SUM($F48:$J48))</f>
        <v>100</v>
      </c>
      <c r="L48">
        <f>IF(ISERROR(IF($K48="","",ROUND(($K48/$K$10)*$L$10,2))),"",IF($K48="","",ROUND(($K48/$K$10)*$L$10,2)))</f>
        <v>100</v>
      </c>
      <c r="M48">
        <f>IF($L48="","",ROUND($L48*$M$10,2))</f>
        <v>20</v>
      </c>
      <c r="N48">
        <v>50</v>
      </c>
      <c r="O48">
        <v>50</v>
      </c>
      <c r="P48">
        <v>50</v>
      </c>
      <c r="Q48">
        <f>IF(COUNT($N48:$P48)=0,"",SUM($N48:$P48))</f>
        <v>150</v>
      </c>
      <c r="R48">
        <f>IF(ISERROR(IF($Q48="","",ROUND(($Q48/$Q$10)*$R$10,2))),"",IF($Q48="","",ROUND(($Q48/$Q$10)*$R$10,2)))</f>
        <v>100</v>
      </c>
      <c r="S48">
        <f>IF($R48="","",ROUND($R48*$S$10,2))</f>
        <v>50</v>
      </c>
      <c r="T48">
        <v>36</v>
      </c>
      <c r="U48">
        <v>37</v>
      </c>
      <c r="V48">
        <v>38</v>
      </c>
      <c r="W48">
        <f>IF(COUNT($T48:$V48)=0,"",SUM($T48:$V48))</f>
        <v>111</v>
      </c>
      <c r="X48">
        <f>IF(ISERROR(IF($W48="","",ROUND(($W48/$W$10)*$X$10,2))),"",IF($W48="","",ROUND(($W48/$W$10)*$X$10,2)))</f>
        <v>92.5</v>
      </c>
      <c r="Y48">
        <f>IF($X48="","",ROUND($X48*$Y$10,2))</f>
        <v>27.75</v>
      </c>
      <c r="Z48">
        <f>IF(ISERROR(IF($V48="","",ROUND(SUM($M48,$S48,$Y48),2))),"",IF($V48="","",ROUND(SUM($M48,$S48,$Y48),2)))</f>
        <v>97.75</v>
      </c>
      <c r="AA48">
        <f>IF(ISERROR(IF($V48="","",VLOOKUP(Z48,NewTransmu,4,TRUE))),"",IF($V48="","",VLOOKUP(Z48,NewTransmu,4,TRUE)))</f>
        <v>99</v>
      </c>
      <c r="AB48" t="str">
        <f>IF(ISERROR(IF(AA48="","",VLOOKUP(AA48,DESCRIPTORS,4,TRUE))),"",IF(AA48="","",VLOOKUP(AA48,DESCRIPTORS,4,TRUE)))</f>
        <v>Advancing</v>
      </c>
      <c r="AV48">
        <f>(T48/$T$10)*100</f>
        <v>90</v>
      </c>
      <c r="AW48">
        <f>(U48/$U$10)*100</f>
        <v>92.5</v>
      </c>
      <c r="AX48">
        <f>(V48/$V$10)*100</f>
        <v>95</v>
      </c>
    </row>
    <row r="49">
      <c r="A49">
        <v>38</v>
      </c>
      <c r="B49" t="str">
        <f>INPUT!B49</f>
        <v>Yap, Stephen</v>
      </c>
      <c r="F49">
        <v>20</v>
      </c>
      <c r="G49">
        <v>20</v>
      </c>
      <c r="H49">
        <v>20</v>
      </c>
      <c r="I49">
        <v>20</v>
      </c>
      <c r="J49">
        <v>20</v>
      </c>
      <c r="K49">
        <f>IF(COUNT($F49:$J49)=0,"",SUM($F49:$J49))</f>
        <v>100</v>
      </c>
      <c r="L49">
        <f>IF(ISERROR(IF($K49="","",ROUND(($K49/$K$10)*$L$10,2))),"",IF($K49="","",ROUND(($K49/$K$10)*$L$10,2)))</f>
        <v>100</v>
      </c>
      <c r="M49">
        <f>IF($L49="","",ROUND($L49*$M$10,2))</f>
        <v>20</v>
      </c>
      <c r="N49">
        <v>50</v>
      </c>
      <c r="O49">
        <v>50</v>
      </c>
      <c r="P49">
        <v>50</v>
      </c>
      <c r="Q49">
        <f>IF(COUNT($N49:$P49)=0,"",SUM($N49:$P49))</f>
        <v>150</v>
      </c>
      <c r="R49">
        <f>IF(ISERROR(IF($Q49="","",ROUND(($Q49/$Q$10)*$R$10,2))),"",IF($Q49="","",ROUND(($Q49/$Q$10)*$R$10,2)))</f>
        <v>100</v>
      </c>
      <c r="S49">
        <f>IF($R49="","",ROUND($R49*$S$10,2))</f>
        <v>50</v>
      </c>
      <c r="T49">
        <v>29</v>
      </c>
      <c r="U49">
        <v>34</v>
      </c>
      <c r="V49">
        <v>32</v>
      </c>
      <c r="W49">
        <f>IF(COUNT($T49:$V49)=0,"",SUM($T49:$V49))</f>
        <v>95</v>
      </c>
      <c r="X49">
        <f>IF(ISERROR(IF($W49="","",ROUND(($W49/$W$10)*$X$10,2))),"",IF($W49="","",ROUND(($W49/$W$10)*$X$10,2)))</f>
        <v>79.17</v>
      </c>
      <c r="Y49">
        <f>IF($X49="","",ROUND($X49*$Y$10,2))</f>
        <v>23.75</v>
      </c>
      <c r="Z49">
        <f>IF(ISERROR(IF($V49="","",ROUND(SUM($M49,$S49,$Y49),2))),"",IF($V49="","",ROUND(SUM($M49,$S49,$Y49),2)))</f>
        <v>93.75</v>
      </c>
      <c r="AA49">
        <f>IF(ISERROR(IF($V49="","",VLOOKUP(Z49,NewTransmu,4,TRUE))),"",IF($V49="","",VLOOKUP(Z49,NewTransmu,4,TRUE)))</f>
        <v>95</v>
      </c>
      <c r="AB49" t="str">
        <f>IF(ISERROR(IF(AA49="","",VLOOKUP(AA49,DESCRIPTORS,4,TRUE))),"",IF(AA49="","",VLOOKUP(AA49,DESCRIPTORS,4,TRUE)))</f>
        <v>Advancing</v>
      </c>
      <c r="AV49">
        <f>(T49/$T$10)*100</f>
        <v>72.5</v>
      </c>
      <c r="AW49">
        <f>(U49/$U$10)*100</f>
        <v>85</v>
      </c>
      <c r="AX49">
        <f>(V49/$V$10)*100</f>
        <v>80</v>
      </c>
    </row>
    <row r="50">
      <c r="A50">
        <v>39</v>
      </c>
      <c r="B50" t="str">
        <f>INPUT!B50</f>
        <v>Zamora, Thomas</v>
      </c>
      <c r="F50">
        <v>20</v>
      </c>
      <c r="G50">
        <v>20</v>
      </c>
      <c r="H50">
        <v>20</v>
      </c>
      <c r="I50">
        <v>20</v>
      </c>
      <c r="J50">
        <v>20</v>
      </c>
      <c r="K50">
        <f>IF(COUNT($F50:$J50)=0,"",SUM($F50:$J50))</f>
        <v>100</v>
      </c>
      <c r="L50">
        <f>IF(ISERROR(IF($K50="","",ROUND(($K50/$K$10)*$L$10,2))),"",IF($K50="","",ROUND(($K50/$K$10)*$L$10,2)))</f>
        <v>100</v>
      </c>
      <c r="M50">
        <f>IF($L50="","",ROUND($L50*$M$10,2))</f>
        <v>20</v>
      </c>
      <c r="N50">
        <v>50</v>
      </c>
      <c r="O50">
        <v>50</v>
      </c>
      <c r="P50">
        <v>50</v>
      </c>
      <c r="Q50">
        <f>IF(COUNT($N50:$P50)=0,"",SUM($N50:$P50))</f>
        <v>150</v>
      </c>
      <c r="R50">
        <f>IF(ISERROR(IF($Q50="","",ROUND(($Q50/$Q$10)*$R$10,2))),"",IF($Q50="","",ROUND(($Q50/$Q$10)*$R$10,2)))</f>
        <v>100</v>
      </c>
      <c r="S50">
        <f>IF($R50="","",ROUND($R50*$S$10,2))</f>
        <v>50</v>
      </c>
      <c r="T50">
        <v>34</v>
      </c>
      <c r="U50">
        <v>35</v>
      </c>
      <c r="V50">
        <v>35</v>
      </c>
      <c r="W50">
        <f>IF(COUNT($T50:$V50)=0,"",SUM($T50:$V50))</f>
        <v>104</v>
      </c>
      <c r="X50">
        <f>IF(ISERROR(IF($W50="","",ROUND(($W50/$W$10)*$X$10,2))),"",IF($W50="","",ROUND(($W50/$W$10)*$X$10,2)))</f>
        <v>86.67</v>
      </c>
      <c r="Y50">
        <f>IF($X50="","",ROUND($X50*$Y$10,2))</f>
        <v>26</v>
      </c>
      <c r="Z50">
        <f>IF(ISERROR(IF($V50="","",ROUND(SUM($M50,$S50,$Y50),2))),"",IF($V50="","",ROUND(SUM($M50,$S50,$Y50),2)))</f>
        <v>96</v>
      </c>
      <c r="AA50">
        <f>IF(ISERROR(IF($V50="","",VLOOKUP(Z50,NewTransmu,4,TRUE))),"",IF($V50="","",VLOOKUP(Z50,NewTransmu,4,TRUE)))</f>
        <v>98</v>
      </c>
      <c r="AB50" t="str">
        <f>IF(ISERROR(IF(AA50="","",VLOOKUP(AA50,DESCRIPTORS,4,TRUE))),"",IF(AA50="","",VLOOKUP(AA50,DESCRIPTORS,4,TRUE)))</f>
        <v>Advancing</v>
      </c>
      <c r="AV50">
        <f>(T50/$T$10)*100</f>
        <v>85</v>
      </c>
      <c r="AW50">
        <f>(U50/$U$10)*100</f>
        <v>87.5</v>
      </c>
      <c r="AX50">
        <f>(V50/$V$10)*100</f>
        <v>87.5</v>
      </c>
    </row>
    <row r="51">
      <c r="A51">
        <v>40</v>
      </c>
      <c r="B51" t="str">
        <f>INPUT!B51</f>
        <v>Zuniga, Vincent</v>
      </c>
      <c r="F51">
        <v>20</v>
      </c>
      <c r="G51">
        <v>20</v>
      </c>
      <c r="H51">
        <v>20</v>
      </c>
      <c r="I51">
        <v>20</v>
      </c>
      <c r="J51">
        <v>20</v>
      </c>
      <c r="K51">
        <f>IF(COUNT($F51:$J51)=0,"",SUM($F51:$J51))</f>
        <v>100</v>
      </c>
      <c r="L51">
        <f>IF(ISERROR(IF($K51="","",ROUND(($K51/$K$10)*$L$10,2))),"",IF($K51="","",ROUND(($K51/$K$10)*$L$10,2)))</f>
        <v>100</v>
      </c>
      <c r="M51">
        <f>IF($L51="","",ROUND($L51*$M$10,2))</f>
        <v>20</v>
      </c>
      <c r="N51">
        <v>50</v>
      </c>
      <c r="O51">
        <v>50</v>
      </c>
      <c r="P51">
        <v>50</v>
      </c>
      <c r="Q51">
        <f>IF(COUNT($N51:$P51)=0,"",SUM($N51:$P51))</f>
        <v>150</v>
      </c>
      <c r="R51">
        <f>IF(ISERROR(IF($Q51="","",ROUND(($Q51/$Q$10)*$R$10,2))),"",IF($Q51="","",ROUND(($Q51/$Q$10)*$R$10,2)))</f>
        <v>100</v>
      </c>
      <c r="S51">
        <f>IF($R51="","",ROUND($R51*$S$10,2))</f>
        <v>50</v>
      </c>
      <c r="T51">
        <v>34</v>
      </c>
      <c r="U51">
        <v>33</v>
      </c>
      <c r="V51">
        <v>36</v>
      </c>
      <c r="W51">
        <f>IF(COUNT($T51:$V51)=0,"",SUM($T51:$V51))</f>
        <v>103</v>
      </c>
      <c r="X51">
        <f>IF(ISERROR(IF($W51="","",ROUND(($W51/$W$10)*$X$10,2))),"",IF($W51="","",ROUND(($W51/$W$10)*$X$10,2)))</f>
        <v>85.83</v>
      </c>
      <c r="Y51">
        <f>IF($X51="","",ROUND($X51*$Y$10,2))</f>
        <v>25.75</v>
      </c>
      <c r="Z51">
        <f>IF(ISERROR(IF($V51="","",ROUND(SUM($M51,$S51,$Y51),2))),"",IF($V51="","",ROUND(SUM($M51,$S51,$Y51),2)))</f>
        <v>95.75</v>
      </c>
      <c r="AA51">
        <f>IF(ISERROR(IF($V51="","",VLOOKUP(Z51,NewTransmu,4,TRUE))),"",IF($V51="","",VLOOKUP(Z51,NewTransmu,4,TRUE)))</f>
        <v>97</v>
      </c>
      <c r="AB51" t="str">
        <f>IF(ISERROR(IF(AA51="","",VLOOKUP(AA51,DESCRIPTORS,4,TRUE))),"",IF(AA51="","",VLOOKUP(AA51,DESCRIPTORS,4,TRUE)))</f>
        <v>Advancing</v>
      </c>
      <c r="AV51">
        <f>(T51/$T$10)*100</f>
        <v>85</v>
      </c>
      <c r="AW51">
        <f>(U51/$U$10)*100</f>
        <v>82.5</v>
      </c>
      <c r="AX51">
        <f>(V51/$V$10)*100</f>
        <v>90</v>
      </c>
    </row>
    <row r="52">
      <c r="A52">
        <v>41</v>
      </c>
      <c r="B52" t="str">
        <f>INPUT!B52</f>
        <v>Abad, Xavier</v>
      </c>
      <c r="F52">
        <v>20</v>
      </c>
      <c r="G52">
        <v>20</v>
      </c>
      <c r="H52">
        <v>20</v>
      </c>
      <c r="I52">
        <v>20</v>
      </c>
      <c r="J52">
        <v>20</v>
      </c>
      <c r="K52">
        <f>IF(COUNT($F52:$J52)=0,"",SUM($F52:$J52))</f>
        <v>100</v>
      </c>
      <c r="L52">
        <f>IF(ISERROR(IF($K52="","",ROUND(($K52/$K$10)*$L$10,2))),"",IF($K52="","",ROUND(($K52/$K$10)*$L$10,2)))</f>
        <v>100</v>
      </c>
      <c r="M52">
        <f>IF($L52="","",ROUND($L52*$M$10,2))</f>
        <v>20</v>
      </c>
      <c r="N52">
        <v>50</v>
      </c>
      <c r="O52">
        <v>50</v>
      </c>
      <c r="P52">
        <v>50</v>
      </c>
      <c r="Q52">
        <f>IF(COUNT($N52:$P52)=0,"",SUM($N52:$P52))</f>
        <v>150</v>
      </c>
      <c r="R52">
        <f>IF(ISERROR(IF($Q52="","",ROUND(($Q52/$Q$10)*$R$10,2))),"",IF($Q52="","",ROUND(($Q52/$Q$10)*$R$10,2)))</f>
        <v>100</v>
      </c>
      <c r="S52">
        <f>IF($R52="","",ROUND($R52*$S$10,2))</f>
        <v>50</v>
      </c>
      <c r="T52">
        <v>32</v>
      </c>
      <c r="U52">
        <v>33</v>
      </c>
      <c r="V52">
        <v>32</v>
      </c>
      <c r="W52">
        <f>IF(COUNT($T52:$V52)=0,"",SUM($T52:$V52))</f>
        <v>97</v>
      </c>
      <c r="X52">
        <f>IF(ISERROR(IF($W52="","",ROUND(($W52/$W$10)*$X$10,2))),"",IF($W52="","",ROUND(($W52/$W$10)*$X$10,2)))</f>
        <v>80.83</v>
      </c>
      <c r="Y52">
        <f>IF($X52="","",ROUND($X52*$Y$10,2))</f>
        <v>24.25</v>
      </c>
      <c r="Z52">
        <f>IF(ISERROR(IF($V52="","",ROUND(SUM($M52,$S52,$Y52),2))),"",IF($V52="","",ROUND(SUM($M52,$S52,$Y52),2)))</f>
        <v>94.25</v>
      </c>
      <c r="AA52">
        <f>IF(ISERROR(IF($V52="","",VLOOKUP(Z52,NewTransmu,4,TRUE))),"",IF($V52="","",VLOOKUP(Z52,NewTransmu,4,TRUE)))</f>
        <v>96</v>
      </c>
      <c r="AB52" t="str">
        <f>IF(ISERROR(IF(AA52="","",VLOOKUP(AA52,DESCRIPTORS,4,TRUE))),"",IF(AA52="","",VLOOKUP(AA52,DESCRIPTORS,4,TRUE)))</f>
        <v>Advancing</v>
      </c>
      <c r="AV52">
        <f>(T52/$T$10)*100</f>
        <v>80</v>
      </c>
      <c r="AW52">
        <f>(U52/$U$10)*100</f>
        <v>82.5</v>
      </c>
      <c r="AX52">
        <f>(V52/$V$10)*100</f>
        <v>80</v>
      </c>
    </row>
    <row r="53">
      <c r="A53">
        <v>42</v>
      </c>
      <c r="B53" t="str">
        <f>INPUT!B53</f>
        <v>Agustin, Zachary</v>
      </c>
      <c r="F53">
        <v>20</v>
      </c>
      <c r="G53">
        <v>20</v>
      </c>
      <c r="H53">
        <v>20</v>
      </c>
      <c r="I53">
        <v>20</v>
      </c>
      <c r="J53">
        <v>20</v>
      </c>
      <c r="K53">
        <f>IF(COUNT($F53:$J53)=0,"",SUM($F53:$J53))</f>
        <v>100</v>
      </c>
      <c r="L53">
        <f>IF(ISERROR(IF($K53="","",ROUND(($K53/$K$10)*$L$10,2))),"",IF($K53="","",ROUND(($K53/$K$10)*$L$10,2)))</f>
        <v>100</v>
      </c>
      <c r="M53">
        <f>IF($L53="","",ROUND($L53*$M$10,2))</f>
        <v>20</v>
      </c>
      <c r="N53">
        <v>50</v>
      </c>
      <c r="O53">
        <v>50</v>
      </c>
      <c r="P53">
        <v>50</v>
      </c>
      <c r="Q53">
        <f>IF(COUNT($N53:$P53)=0,"",SUM($N53:$P53))</f>
        <v>150</v>
      </c>
      <c r="R53">
        <f>IF(ISERROR(IF($Q53="","",ROUND(($Q53/$Q$10)*$R$10,2))),"",IF($Q53="","",ROUND(($Q53/$Q$10)*$R$10,2)))</f>
        <v>100</v>
      </c>
      <c r="S53">
        <f>IF($R53="","",ROUND($R53*$S$10,2))</f>
        <v>50</v>
      </c>
      <c r="T53">
        <v>35</v>
      </c>
      <c r="U53">
        <v>35</v>
      </c>
      <c r="V53">
        <v>31</v>
      </c>
      <c r="W53">
        <f>IF(COUNT($T53:$V53)=0,"",SUM($T53:$V53))</f>
        <v>101</v>
      </c>
      <c r="X53">
        <f>IF(ISERROR(IF($W53="","",ROUND(($W53/$W$10)*$X$10,2))),"",IF($W53="","",ROUND(($W53/$W$10)*$X$10,2)))</f>
        <v>84.17</v>
      </c>
      <c r="Y53">
        <f>IF($X53="","",ROUND($X53*$Y$10,2))</f>
        <v>25.25</v>
      </c>
      <c r="Z53">
        <f>IF(ISERROR(IF($V53="","",ROUND(SUM($M53,$S53,$Y53),2))),"",IF($V53="","",ROUND(SUM($M53,$S53,$Y53),2)))</f>
        <v>95.25</v>
      </c>
      <c r="AA53">
        <f>IF(ISERROR(IF($V53="","",VLOOKUP(Z53,NewTransmu,4,TRUE))),"",IF($V53="","",VLOOKUP(Z53,NewTransmu,4,TRUE)))</f>
        <v>97</v>
      </c>
      <c r="AB53" t="str">
        <f>IF(ISERROR(IF(AA53="","",VLOOKUP(AA53,DESCRIPTORS,4,TRUE))),"",IF(AA53="","",VLOOKUP(AA53,DESCRIPTORS,4,TRUE)))</f>
        <v>Advancing</v>
      </c>
      <c r="AV53">
        <f>(T53/$T$10)*100</f>
        <v>87.5</v>
      </c>
      <c r="AW53">
        <f>(U53/$U$10)*100</f>
        <v>87.5</v>
      </c>
      <c r="AX53">
        <f>(V53/$V$10)*100</f>
        <v>77.5</v>
      </c>
    </row>
    <row r="54">
      <c r="A54">
        <v>43</v>
      </c>
      <c r="B54" t="str">
        <f>INPUT!B54</f>
        <v>Alvarez, Alvin</v>
      </c>
      <c r="F54">
        <v>20</v>
      </c>
      <c r="G54">
        <v>20</v>
      </c>
      <c r="H54">
        <v>20</v>
      </c>
      <c r="I54">
        <v>20</v>
      </c>
      <c r="J54">
        <v>20</v>
      </c>
      <c r="K54">
        <f>IF(COUNT($F54:$J54)=0,"",SUM($F54:$J54))</f>
        <v>100</v>
      </c>
      <c r="L54">
        <f>IF(ISERROR(IF($K54="","",ROUND(($K54/$K$10)*$L$10,2))),"",IF($K54="","",ROUND(($K54/$K$10)*$L$10,2)))</f>
        <v>100</v>
      </c>
      <c r="M54">
        <f>IF($L54="","",ROUND($L54*$M$10,2))</f>
        <v>20</v>
      </c>
      <c r="N54">
        <v>50</v>
      </c>
      <c r="O54">
        <v>50</v>
      </c>
      <c r="P54">
        <v>50</v>
      </c>
      <c r="Q54">
        <f>IF(COUNT($N54:$P54)=0,"",SUM($N54:$P54))</f>
        <v>150</v>
      </c>
      <c r="R54">
        <f>IF(ISERROR(IF($Q54="","",ROUND(($Q54/$Q$10)*$R$10,2))),"",IF($Q54="","",ROUND(($Q54/$Q$10)*$R$10,2)))</f>
        <v>100</v>
      </c>
      <c r="S54">
        <f>IF($R54="","",ROUND($R54*$S$10,2))</f>
        <v>50</v>
      </c>
      <c r="T54">
        <v>31</v>
      </c>
      <c r="U54">
        <v>32</v>
      </c>
      <c r="V54">
        <v>32</v>
      </c>
      <c r="W54">
        <f>IF(COUNT($T54:$V54)=0,"",SUM($T54:$V54))</f>
        <v>95</v>
      </c>
      <c r="X54">
        <f>IF(ISERROR(IF($W54="","",ROUND(($W54/$W$10)*$X$10,2))),"",IF($W54="","",ROUND(($W54/$W$10)*$X$10,2)))</f>
        <v>79.17</v>
      </c>
      <c r="Y54">
        <f>IF($X54="","",ROUND($X54*$Y$10,2))</f>
        <v>23.75</v>
      </c>
      <c r="Z54">
        <f>IF(ISERROR(IF($V54="","",ROUND(SUM($M54,$S54,$Y54),2))),"",IF($V54="","",ROUND(SUM($M54,$S54,$Y54),2)))</f>
        <v>93.75</v>
      </c>
      <c r="AA54">
        <f>IF(ISERROR(IF($V54="","",VLOOKUP(Z54,NewTransmu,4,TRUE))),"",IF($V54="","",VLOOKUP(Z54,NewTransmu,4,TRUE)))</f>
        <v>95</v>
      </c>
      <c r="AB54" t="str">
        <f>IF(ISERROR(IF(AA54="","",VLOOKUP(AA54,DESCRIPTORS,4,TRUE))),"",IF(AA54="","",VLOOKUP(AA54,DESCRIPTORS,4,TRUE)))</f>
        <v>Advancing</v>
      </c>
      <c r="AV54">
        <f>(T54/$T$10)*100</f>
        <v>77.5</v>
      </c>
      <c r="AW54">
        <f>(U54/$U$10)*100</f>
        <v>80</v>
      </c>
      <c r="AX54">
        <f>(V54/$V$10)*100</f>
        <v>80</v>
      </c>
    </row>
    <row r="55">
      <c r="A55">
        <v>44</v>
      </c>
      <c r="B55" t="str">
        <f>INPUT!B55</f>
        <v>Aquino, Andre</v>
      </c>
      <c r="F55">
        <v>20</v>
      </c>
      <c r="G55">
        <v>20</v>
      </c>
      <c r="H55">
        <v>20</v>
      </c>
      <c r="I55">
        <v>20</v>
      </c>
      <c r="J55">
        <v>20</v>
      </c>
      <c r="K55">
        <f>IF(COUNT($F55:$J55)=0,"",SUM($F55:$J55))</f>
        <v>100</v>
      </c>
      <c r="L55">
        <f>IF(ISERROR(IF($K55="","",ROUND(($K55/$K$10)*$L$10,2))),"",IF($K55="","",ROUND(($K55/$K$10)*$L$10,2)))</f>
        <v>100</v>
      </c>
      <c r="M55">
        <f>IF($L55="","",ROUND($L55*$M$10,2))</f>
        <v>20</v>
      </c>
      <c r="N55">
        <v>50</v>
      </c>
      <c r="O55">
        <v>50</v>
      </c>
      <c r="P55">
        <v>50</v>
      </c>
      <c r="Q55">
        <f>IF(COUNT($N55:$P55)=0,"",SUM($N55:$P55))</f>
        <v>150</v>
      </c>
      <c r="R55">
        <f>IF(ISERROR(IF($Q55="","",ROUND(($Q55/$Q$10)*$R$10,2))),"",IF($Q55="","",ROUND(($Q55/$Q$10)*$R$10,2)))</f>
        <v>100</v>
      </c>
      <c r="S55">
        <f>IF($R55="","",ROUND($R55*$S$10,2))</f>
        <v>50</v>
      </c>
      <c r="T55">
        <v>37</v>
      </c>
      <c r="U55">
        <v>37</v>
      </c>
      <c r="V55">
        <v>37</v>
      </c>
      <c r="W55">
        <f>IF(COUNT($T55:$V55)=0,"",SUM($T55:$V55))</f>
        <v>111</v>
      </c>
      <c r="X55">
        <f>IF(ISERROR(IF($W55="","",ROUND(($W55/$W$10)*$X$10,2))),"",IF($W55="","",ROUND(($W55/$W$10)*$X$10,2)))</f>
        <v>92.5</v>
      </c>
      <c r="Y55">
        <f>IF($X55="","",ROUND($X55*$Y$10,2))</f>
        <v>27.75</v>
      </c>
      <c r="Z55">
        <f>IF(ISERROR(IF($V55="","",ROUND(SUM($M55,$S55,$Y55),2))),"",IF($V55="","",ROUND(SUM($M55,$S55,$Y55),2)))</f>
        <v>97.75</v>
      </c>
      <c r="AA55">
        <f>IF(ISERROR(IF($V55="","",VLOOKUP(Z55,NewTransmu,4,TRUE))),"",IF($V55="","",VLOOKUP(Z55,NewTransmu,4,TRUE)))</f>
        <v>99</v>
      </c>
      <c r="AB55" t="str">
        <f>IF(ISERROR(IF(AA55="","",VLOOKUP(AA55,DESCRIPTORS,4,TRUE))),"",IF(AA55="","",VLOOKUP(AA55,DESCRIPTORS,4,TRUE)))</f>
        <v>Advancing</v>
      </c>
      <c r="AV55">
        <f>(T55/$T$10)*100</f>
        <v>92.5</v>
      </c>
      <c r="AW55">
        <f>(U55/$U$10)*100</f>
        <v>92.5</v>
      </c>
      <c r="AX55">
        <f>(V55/$V$10)*100</f>
        <v>92.5</v>
      </c>
    </row>
    <row r="56">
      <c r="A56">
        <v>45</v>
      </c>
      <c r="B56" t="str">
        <f>INPUT!B56</f>
        <v>Arceo, Benedict</v>
      </c>
      <c r="F56">
        <v>20</v>
      </c>
      <c r="G56">
        <v>20</v>
      </c>
      <c r="H56">
        <v>20</v>
      </c>
      <c r="I56">
        <v>20</v>
      </c>
      <c r="J56">
        <v>20</v>
      </c>
      <c r="K56">
        <f>IF(COUNT($F56:$J56)=0,"",SUM($F56:$J56))</f>
        <v>100</v>
      </c>
      <c r="L56">
        <f>IF(ISERROR(IF($K56="","",ROUND(($K56/$K$10)*$L$10,2))),"",IF($K56="","",ROUND(($K56/$K$10)*$L$10,2)))</f>
        <v>100</v>
      </c>
      <c r="M56">
        <f>IF($L56="","",ROUND($L56*$M$10,2))</f>
        <v>20</v>
      </c>
      <c r="N56">
        <v>50</v>
      </c>
      <c r="O56">
        <v>50</v>
      </c>
      <c r="P56">
        <v>50</v>
      </c>
      <c r="Q56">
        <f>IF(COUNT($N56:$P56)=0,"",SUM($N56:$P56))</f>
        <v>150</v>
      </c>
      <c r="R56">
        <f>IF(ISERROR(IF($Q56="","",ROUND(($Q56/$Q$10)*$R$10,2))),"",IF($Q56="","",ROUND(($Q56/$Q$10)*$R$10,2)))</f>
        <v>100</v>
      </c>
      <c r="S56">
        <f>IF($R56="","",ROUND($R56*$S$10,2))</f>
        <v>50</v>
      </c>
      <c r="T56">
        <v>28</v>
      </c>
      <c r="U56">
        <v>30</v>
      </c>
      <c r="V56">
        <v>23</v>
      </c>
      <c r="W56">
        <f>IF(COUNT($T56:$V56)=0,"",SUM($T56:$V56))</f>
        <v>81</v>
      </c>
      <c r="X56">
        <f>IF(ISERROR(IF($W56="","",ROUND(($W56/$W$10)*$X$10,2))),"",IF($W56="","",ROUND(($W56/$W$10)*$X$10,2)))</f>
        <v>67.5</v>
      </c>
      <c r="Y56">
        <f>IF($X56="","",ROUND($X56*$Y$10,2))</f>
        <v>20.25</v>
      </c>
      <c r="Z56">
        <f>IF(ISERROR(IF($V56="","",ROUND(SUM($M56,$S56,$Y56),2))),"",IF($V56="","",ROUND(SUM($M56,$S56,$Y56),2)))</f>
        <v>90.25</v>
      </c>
      <c r="AA56">
        <f>IF(ISERROR(IF($V56="","",VLOOKUP(Z56,NewTransmu,4,TRUE))),"",IF($V56="","",VLOOKUP(Z56,NewTransmu,4,TRUE)))</f>
        <v>92</v>
      </c>
      <c r="AB56" t="str">
        <f>IF(ISERROR(IF(AA56="","",VLOOKUP(AA56,DESCRIPTORS,4,TRUE))),"",IF(AA56="","",VLOOKUP(AA56,DESCRIPTORS,4,TRUE)))</f>
        <v>Advancing</v>
      </c>
      <c r="AV56">
        <f>(T56/$T$10)*100</f>
        <v>70</v>
      </c>
      <c r="AW56">
        <f>(U56/$U$10)*100</f>
        <v>75</v>
      </c>
      <c r="AX56">
        <f>(V56/$V$10)*100</f>
        <v>57.49999999999999</v>
      </c>
    </row>
    <row r="57">
      <c r="A57">
        <v>46</v>
      </c>
      <c r="B57" t="str">
        <f>INPUT!B57</f>
        <v>Arellano, Cyrus</v>
      </c>
      <c r="F57">
        <v>20</v>
      </c>
      <c r="G57">
        <v>20</v>
      </c>
      <c r="H57">
        <v>20</v>
      </c>
      <c r="I57">
        <v>20</v>
      </c>
      <c r="J57">
        <v>20</v>
      </c>
      <c r="K57">
        <f>IF(COUNT($F57:$J57)=0,"",SUM($F57:$J57))</f>
        <v>100</v>
      </c>
      <c r="L57">
        <f>IF(ISERROR(IF($K57="","",ROUND(($K57/$K$10)*$L$10,2))),"",IF($K57="","",ROUND(($K57/$K$10)*$L$10,2)))</f>
        <v>100</v>
      </c>
      <c r="M57">
        <f>IF($L57="","",ROUND($L57*$M$10,2))</f>
        <v>20</v>
      </c>
      <c r="N57">
        <v>50</v>
      </c>
      <c r="O57">
        <v>50</v>
      </c>
      <c r="P57">
        <v>50</v>
      </c>
      <c r="Q57">
        <f>IF(COUNT($N57:$P57)=0,"",SUM($N57:$P57))</f>
        <v>150</v>
      </c>
      <c r="R57">
        <f>IF(ISERROR(IF($Q57="","",ROUND(($Q57/$Q$10)*$R$10,2))),"",IF($Q57="","",ROUND(($Q57/$Q$10)*$R$10,2)))</f>
        <v>100</v>
      </c>
      <c r="S57">
        <f>IF($R57="","",ROUND($R57*$S$10,2))</f>
        <v>50</v>
      </c>
      <c r="T57">
        <v>30</v>
      </c>
      <c r="U57">
        <v>34</v>
      </c>
      <c r="V57">
        <v>30</v>
      </c>
      <c r="W57">
        <f>IF(COUNT($T57:$V57)=0,"",SUM($T57:$V57))</f>
        <v>94</v>
      </c>
      <c r="X57">
        <f>IF(ISERROR(IF($W57="","",ROUND(($W57/$W$10)*$X$10,2))),"",IF($W57="","",ROUND(($W57/$W$10)*$X$10,2)))</f>
        <v>78.33</v>
      </c>
      <c r="Y57">
        <f>IF($X57="","",ROUND($X57*$Y$10,2))</f>
        <v>23.5</v>
      </c>
      <c r="Z57">
        <f>IF(ISERROR(IF($V57="","",ROUND(SUM($M57,$S57,$Y57),2))),"",IF($V57="","",ROUND(SUM($M57,$S57,$Y57),2)))</f>
        <v>93.5</v>
      </c>
      <c r="AA57">
        <f>IF(ISERROR(IF($V57="","",VLOOKUP(Z57,NewTransmu,4,TRUE))),"",IF($V57="","",VLOOKUP(Z57,NewTransmu,4,TRUE)))</f>
        <v>95</v>
      </c>
      <c r="AB57" t="str">
        <f>IF(ISERROR(IF(AA57="","",VLOOKUP(AA57,DESCRIPTORS,4,TRUE))),"",IF(AA57="","",VLOOKUP(AA57,DESCRIPTORS,4,TRUE)))</f>
        <v>Advancing</v>
      </c>
      <c r="AV57">
        <f>(T57/$T$10)*100</f>
        <v>75</v>
      </c>
      <c r="AW57">
        <f>(U57/$U$10)*100</f>
        <v>85</v>
      </c>
      <c r="AX57">
        <f>(V57/$V$10)*100</f>
        <v>75</v>
      </c>
    </row>
    <row r="58">
      <c r="A58">
        <v>47</v>
      </c>
      <c r="B58" t="str">
        <f>INPUT!B58</f>
        <v>Barrera, Dominic</v>
      </c>
      <c r="F58">
        <v>20</v>
      </c>
      <c r="G58">
        <v>20</v>
      </c>
      <c r="H58">
        <v>20</v>
      </c>
      <c r="I58">
        <v>20</v>
      </c>
      <c r="J58">
        <v>20</v>
      </c>
      <c r="K58">
        <f>IF(COUNT($F58:$J58)=0,"",SUM($F58:$J58))</f>
        <v>100</v>
      </c>
      <c r="L58">
        <f>IF(ISERROR(IF($K58="","",ROUND(($K58/$K$10)*$L$10,2))),"",IF($K58="","",ROUND(($K58/$K$10)*$L$10,2)))</f>
        <v>100</v>
      </c>
      <c r="M58">
        <f>IF($L58="","",ROUND($L58*$M$10,2))</f>
        <v>20</v>
      </c>
      <c r="N58">
        <v>50</v>
      </c>
      <c r="O58">
        <v>50</v>
      </c>
      <c r="P58">
        <v>50</v>
      </c>
      <c r="Q58">
        <f>IF(COUNT($N58:$P58)=0,"",SUM($N58:$P58))</f>
        <v>150</v>
      </c>
      <c r="R58">
        <f>IF(ISERROR(IF($Q58="","",ROUND(($Q58/$Q$10)*$R$10,2))),"",IF($Q58="","",ROUND(($Q58/$Q$10)*$R$10,2)))</f>
        <v>100</v>
      </c>
      <c r="S58">
        <f>IF($R58="","",ROUND($R58*$S$10,2))</f>
        <v>50</v>
      </c>
      <c r="T58">
        <v>34</v>
      </c>
      <c r="U58">
        <v>32</v>
      </c>
      <c r="V58">
        <v>29</v>
      </c>
      <c r="W58">
        <f>IF(COUNT($T58:$V58)=0,"",SUM($T58:$V58))</f>
        <v>95</v>
      </c>
      <c r="X58">
        <f>IF(ISERROR(IF($W58="","",ROUND(($W58/$W$10)*$X$10,2))),"",IF($W58="","",ROUND(($W58/$W$10)*$X$10,2)))</f>
        <v>79.17</v>
      </c>
      <c r="Y58">
        <f>IF($X58="","",ROUND($X58*$Y$10,2))</f>
        <v>23.75</v>
      </c>
      <c r="Z58">
        <f>IF(ISERROR(IF($V58="","",ROUND(SUM($M58,$S58,$Y58),2))),"",IF($V58="","",ROUND(SUM($M58,$S58,$Y58),2)))</f>
        <v>93.75</v>
      </c>
      <c r="AA58">
        <f>IF(ISERROR(IF($V58="","",VLOOKUP(Z58,NewTransmu,4,TRUE))),"",IF($V58="","",VLOOKUP(Z58,NewTransmu,4,TRUE)))</f>
        <v>95</v>
      </c>
      <c r="AB58" t="str">
        <f>IF(ISERROR(IF(AA58="","",VLOOKUP(AA58,DESCRIPTORS,4,TRUE))),"",IF(AA58="","",VLOOKUP(AA58,DESCRIPTORS,4,TRUE)))</f>
        <v>Advancing</v>
      </c>
      <c r="AV58">
        <f>(T58/$T$10)*100</f>
        <v>85</v>
      </c>
      <c r="AW58">
        <f>(U58/$U$10)*100</f>
        <v>80</v>
      </c>
      <c r="AX58">
        <f>(V58/$V$10)*100</f>
        <v>72.5</v>
      </c>
    </row>
    <row r="59">
      <c r="A59">
        <v>48</v>
      </c>
      <c r="B59" t="str">
        <f>INPUT!B59</f>
        <v>Cabral, Emmanuel</v>
      </c>
      <c r="F59">
        <v>20</v>
      </c>
      <c r="G59">
        <v>20</v>
      </c>
      <c r="H59">
        <v>20</v>
      </c>
      <c r="I59">
        <v>20</v>
      </c>
      <c r="J59">
        <v>20</v>
      </c>
      <c r="K59">
        <f>IF(COUNT($F59:$J59)=0,"",SUM($F59:$J59))</f>
        <v>100</v>
      </c>
      <c r="L59">
        <f>IF(ISERROR(IF($K59="","",ROUND(($K59/$K$10)*$L$10,2))),"",IF($K59="","",ROUND(($K59/$K$10)*$L$10,2)))</f>
        <v>100</v>
      </c>
      <c r="M59">
        <f>IF($L59="","",ROUND($L59*$M$10,2))</f>
        <v>20</v>
      </c>
      <c r="N59">
        <v>50</v>
      </c>
      <c r="O59">
        <v>50</v>
      </c>
      <c r="P59">
        <v>50</v>
      </c>
      <c r="Q59">
        <f>IF(COUNT($N59:$P59)=0,"",SUM($N59:$P59))</f>
        <v>150</v>
      </c>
      <c r="R59">
        <f>IF(ISERROR(IF($Q59="","",ROUND(($Q59/$Q$10)*$R$10,2))),"",IF($Q59="","",ROUND(($Q59/$Q$10)*$R$10,2)))</f>
        <v>100</v>
      </c>
      <c r="S59">
        <f>IF($R59="","",ROUND($R59*$S$10,2))</f>
        <v>50</v>
      </c>
      <c r="T59">
        <v>33</v>
      </c>
      <c r="U59">
        <v>40</v>
      </c>
      <c r="V59">
        <v>38</v>
      </c>
      <c r="W59">
        <f>IF(COUNT($T59:$V59)=0,"",SUM($T59:$V59))</f>
        <v>111</v>
      </c>
      <c r="X59">
        <f>IF(ISERROR(IF($W59="","",ROUND(($W59/$W$10)*$X$10,2))),"",IF($W59="","",ROUND(($W59/$W$10)*$X$10,2)))</f>
        <v>92.5</v>
      </c>
      <c r="Y59">
        <f>IF($X59="","",ROUND($X59*$Y$10,2))</f>
        <v>27.75</v>
      </c>
      <c r="Z59">
        <f>IF(ISERROR(IF($V59="","",ROUND(SUM($M59,$S59,$Y59),2))),"",IF($V59="","",ROUND(SUM($M59,$S59,$Y59),2)))</f>
        <v>97.75</v>
      </c>
      <c r="AA59">
        <f>IF(ISERROR(IF($V59="","",VLOOKUP(Z59,NewTransmu,4,TRUE))),"",IF($V59="","",VLOOKUP(Z59,NewTransmu,4,TRUE)))</f>
        <v>99</v>
      </c>
      <c r="AB59" t="str">
        <f>IF(ISERROR(IF(AA59="","",VLOOKUP(AA59,DESCRIPTORS,4,TRUE))),"",IF(AA59="","",VLOOKUP(AA59,DESCRIPTORS,4,TRUE)))</f>
        <v>Advancing</v>
      </c>
      <c r="AV59">
        <f>(T59/$T$10)*100</f>
        <v>82.5</v>
      </c>
      <c r="AW59">
        <f>(U59/$U$10)*100</f>
        <v>100</v>
      </c>
      <c r="AX59">
        <f>(V59/$V$10)*100</f>
        <v>95</v>
      </c>
    </row>
    <row r="60">
      <c r="A60">
        <v>49</v>
      </c>
      <c r="B60" t="str">
        <f>INPUT!B60</f>
        <v>David, Francis</v>
      </c>
      <c r="F60">
        <v>20</v>
      </c>
      <c r="G60">
        <v>20</v>
      </c>
      <c r="H60">
        <v>20</v>
      </c>
      <c r="I60">
        <v>20</v>
      </c>
      <c r="J60">
        <v>20</v>
      </c>
      <c r="K60">
        <f>IF(COUNT($F60:$J60)=0,"",SUM($F60:$J60))</f>
        <v>100</v>
      </c>
      <c r="L60">
        <f>IF(ISERROR(IF($K60="","",ROUND(($K60/$K$10)*$L$10,2))),"",IF($K60="","",ROUND(($K60/$K$10)*$L$10,2)))</f>
        <v>100</v>
      </c>
      <c r="M60">
        <f>IF($L60="","",ROUND($L60*$M$10,2))</f>
        <v>20</v>
      </c>
      <c r="N60">
        <v>50</v>
      </c>
      <c r="O60">
        <v>50</v>
      </c>
      <c r="P60">
        <v>50</v>
      </c>
      <c r="Q60">
        <f>IF(COUNT($N60:$P60)=0,"",SUM($N60:$P60))</f>
        <v>150</v>
      </c>
      <c r="R60">
        <f>IF(ISERROR(IF($Q60="","",ROUND(($Q60/$Q$10)*$R$10,2))),"",IF($Q60="","",ROUND(($Q60/$Q$10)*$R$10,2)))</f>
        <v>100</v>
      </c>
      <c r="S60">
        <f>IF($R60="","",ROUND($R60*$S$10,2))</f>
        <v>50</v>
      </c>
      <c r="T60">
        <v>34</v>
      </c>
      <c r="U60">
        <v>33</v>
      </c>
      <c r="V60">
        <v>29</v>
      </c>
      <c r="W60">
        <f>IF(COUNT($T60:$V60)=0,"",SUM($T60:$V60))</f>
        <v>96</v>
      </c>
      <c r="X60">
        <f>IF(ISERROR(IF($W60="","",ROUND(($W60/$W$10)*$X$10,2))),"",IF($W60="","",ROUND(($W60/$W$10)*$X$10,2)))</f>
        <v>80</v>
      </c>
      <c r="Y60">
        <f>IF($X60="","",ROUND($X60*$Y$10,2))</f>
        <v>24</v>
      </c>
      <c r="Z60">
        <f>IF(ISERROR(IF($V60="","",ROUND(SUM($M60,$S60,$Y60),2))),"",IF($V60="","",ROUND(SUM($M60,$S60,$Y60),2)))</f>
        <v>94</v>
      </c>
      <c r="AA60">
        <f>IF(ISERROR(IF($V60="","",VLOOKUP(Z60,NewTransmu,4,TRUE))),"",IF($V60="","",VLOOKUP(Z60,NewTransmu,4,TRUE)))</f>
        <v>96</v>
      </c>
      <c r="AB60" t="str">
        <f>IF(ISERROR(IF(AA60="","",VLOOKUP(AA60,DESCRIPTORS,4,TRUE))),"",IF(AA60="","",VLOOKUP(AA60,DESCRIPTORS,4,TRUE)))</f>
        <v>Advancing</v>
      </c>
      <c r="AV60">
        <f>(T60/$T$10)*100</f>
        <v>85</v>
      </c>
      <c r="AW60">
        <f>(U60/$U$10)*100</f>
        <v>82.5</v>
      </c>
      <c r="AX60">
        <f>(V60/$V$10)*100</f>
        <v>72.5</v>
      </c>
    </row>
    <row r="61">
      <c r="A61">
        <v>50</v>
      </c>
      <c r="B61" t="str">
        <f>INPUT!B61</f>
        <v>Escobar, Gian</v>
      </c>
      <c r="F61">
        <v>20</v>
      </c>
      <c r="G61">
        <v>20</v>
      </c>
      <c r="H61">
        <v>20</v>
      </c>
      <c r="I61">
        <v>20</v>
      </c>
      <c r="J61">
        <v>20</v>
      </c>
      <c r="K61">
        <f>IF(COUNT($F61:$J61)=0,"",SUM($F61:$J61))</f>
        <v>100</v>
      </c>
      <c r="L61">
        <f>IF(ISERROR(IF($K61="","",ROUND(($K61/$K$10)*$L$10,2))),"",IF($K61="","",ROUND(($K61/$K$10)*$L$10,2)))</f>
        <v>100</v>
      </c>
      <c r="M61">
        <f>IF($L61="","",ROUND($L61*$M$10,2))</f>
        <v>20</v>
      </c>
      <c r="N61">
        <v>50</v>
      </c>
      <c r="O61">
        <v>50</v>
      </c>
      <c r="P61">
        <v>50</v>
      </c>
      <c r="Q61">
        <f>IF(COUNT($N61:$P61)=0,"",SUM($N61:$P61))</f>
        <v>150</v>
      </c>
      <c r="R61">
        <f>IF(ISERROR(IF($Q61="","",ROUND(($Q61/$Q$10)*$R$10,2))),"",IF($Q61="","",ROUND(($Q61/$Q$10)*$R$10,2)))</f>
        <v>100</v>
      </c>
      <c r="S61">
        <f>IF($R61="","",ROUND($R61*$S$10,2))</f>
        <v>50</v>
      </c>
      <c r="T61">
        <v>38</v>
      </c>
      <c r="U61">
        <v>40</v>
      </c>
      <c r="V61">
        <v>40</v>
      </c>
      <c r="W61">
        <f>IF(COUNT($T61:$V61)=0,"",SUM($T61:$V61))</f>
        <v>118</v>
      </c>
      <c r="X61">
        <f>IF(ISERROR(IF($W61="","",ROUND(($W61/$W$10)*$X$10,2))),"",IF($W61="","",ROUND(($W61/$W$10)*$X$10,2)))</f>
        <v>98.33</v>
      </c>
      <c r="Y61">
        <f>IF($X61="","",ROUND($X61*$Y$10,2))</f>
        <v>29.5</v>
      </c>
      <c r="Z61">
        <f>IF(ISERROR(IF($V61="","",ROUND(SUM($M61,$S61,$Y61),2))),"",IF($V61="","",ROUND(SUM($M61,$S61,$Y61),2)))</f>
        <v>99.5</v>
      </c>
      <c r="AA61">
        <f>IF(ISERROR(IF($V61="","",VLOOKUP(Z61,NewTransmu,4,TRUE))),"",IF($V61="","",VLOOKUP(Z61,NewTransmu,4,TRUE)))</f>
        <v>100</v>
      </c>
      <c r="AB61" t="str">
        <f>IF(ISERROR(IF(AA61="","",VLOOKUP(AA61,DESCRIPTORS,4,TRUE))),"",IF(AA61="","",VLOOKUP(AA61,DESCRIPTORS,4,TRUE)))</f>
        <v>Advancing</v>
      </c>
      <c r="AV61">
        <f>(T61/$T$10)*100</f>
        <v>95</v>
      </c>
      <c r="AW61">
        <f>(U61/$U$10)*100</f>
        <v>100</v>
      </c>
      <c r="AX61">
        <f>(V61/$V$10)*100</f>
        <v>100</v>
      </c>
    </row>
    <row r="62">
      <c r="B62" t="str">
        <v xml:space="preserve">FEMALE </v>
      </c>
      <c r="AV62">
        <f>(T62/$T$10)*100</f>
        <v>0</v>
      </c>
      <c r="AW62">
        <f>(U62/$U$10)*100</f>
        <v>0</v>
      </c>
      <c r="AX62">
        <f>(V62/$V$10)*100</f>
        <v>0</v>
      </c>
    </row>
    <row r="63">
      <c r="A63">
        <v>1</v>
      </c>
      <c r="B63" t="str">
        <f>INPUT!B63</f>
        <v>Fernandez, Alyssa</v>
      </c>
      <c r="F63">
        <v>20</v>
      </c>
      <c r="G63">
        <v>20</v>
      </c>
      <c r="H63">
        <v>20</v>
      </c>
      <c r="I63">
        <v>20</v>
      </c>
      <c r="J63">
        <v>20</v>
      </c>
      <c r="K63">
        <f>IF(COUNT($F63:$J63)=0,"",SUM($F63:$J63))</f>
        <v>100</v>
      </c>
      <c r="L63">
        <f>IF(ISERROR(IF($K63="","",ROUND(($K63/$K$10)*$L$10,2))),"",IF($K63="","",ROUND(($K63/$K$10)*$L$10,2)))</f>
        <v>100</v>
      </c>
      <c r="M63">
        <f>IF($L63="","",ROUND($L63*$M$10,2))</f>
        <v>20</v>
      </c>
      <c r="N63">
        <v>50</v>
      </c>
      <c r="O63">
        <v>50</v>
      </c>
      <c r="P63">
        <v>50</v>
      </c>
      <c r="Q63">
        <f>IF(COUNT($N63:$P63)=0,"",SUM($N63:$P63))</f>
        <v>150</v>
      </c>
      <c r="R63">
        <f>IF(ISERROR(IF($Q63="","",ROUND(($Q63/$Q$10)*$R$10,2))),"",IF($Q63="","",ROUND(($Q63/$Q$10)*$R$10,2)))</f>
        <v>100</v>
      </c>
      <c r="S63">
        <f>IF($R63="","",ROUND($R63*$S$10,2))</f>
        <v>50</v>
      </c>
      <c r="T63">
        <v>39</v>
      </c>
      <c r="U63">
        <v>35</v>
      </c>
      <c r="V63">
        <v>35</v>
      </c>
      <c r="W63">
        <f>IF(COUNT($T63:$V63)=0,"",SUM($T63:$V63))</f>
        <v>109</v>
      </c>
      <c r="X63">
        <f>IF(ISERROR(IF($W63="","",ROUND(($W63/$W$10)*$X$10,2))),"",IF($W63="","",ROUND(($W63/$W$10)*$X$10,2)))</f>
        <v>90.83</v>
      </c>
      <c r="Y63">
        <f>IF($X63="","",ROUND($X63*$Y$10,2))</f>
        <v>27.25</v>
      </c>
      <c r="Z63">
        <f>IF(ISERROR(IF($V63="","",ROUND(SUM($M63,$S63,$Y63),2))),"",IF($V63="","",ROUND(SUM($M63,$S63,$Y63),2)))</f>
        <v>97.25</v>
      </c>
      <c r="AA63">
        <f>IF(ISERROR(IF($V63="","",VLOOKUP(Z63,NewTransmu,4,TRUE))),"",IF($V63="","",VLOOKUP(Z63,NewTransmu,4,TRUE)))</f>
        <v>98</v>
      </c>
      <c r="AB63" t="str">
        <f>IF(ISERROR(IF(AA63="","",VLOOKUP(AA63,DESCRIPTORS,4,TRUE))),"",IF(AA63="","",VLOOKUP(AA63,DESCRIPTORS,4,TRUE)))</f>
        <v>Advancing</v>
      </c>
      <c r="AV63">
        <f>(T63/$T$10)*100</f>
        <v>97.5</v>
      </c>
      <c r="AW63">
        <f>(U63/$U$10)*100</f>
        <v>87.5</v>
      </c>
      <c r="AX63">
        <f>(V63/$V$10)*100</f>
        <v>87.5</v>
      </c>
    </row>
    <row r="64">
      <c r="A64">
        <v>2</v>
      </c>
      <c r="B64" t="str">
        <f>INPUT!B64</f>
        <v>Garcia, Angela</v>
      </c>
      <c r="F64">
        <v>20</v>
      </c>
      <c r="G64">
        <v>20</v>
      </c>
      <c r="H64">
        <v>20</v>
      </c>
      <c r="I64">
        <v>20</v>
      </c>
      <c r="J64">
        <v>20</v>
      </c>
      <c r="K64">
        <f>IF(COUNT($F64:$J64)=0,"",SUM($F64:$J64))</f>
        <v>100</v>
      </c>
      <c r="L64">
        <f>IF(ISERROR(IF($K64="","",ROUND(($K64/$K$10)*$L$10,2))),"",IF($K64="","",ROUND(($K64/$K$10)*$L$10,2)))</f>
        <v>100</v>
      </c>
      <c r="M64">
        <f>IF($L64="","",ROUND($L64*$M$10,2))</f>
        <v>20</v>
      </c>
      <c r="N64">
        <v>50</v>
      </c>
      <c r="O64">
        <v>50</v>
      </c>
      <c r="P64">
        <v>50</v>
      </c>
      <c r="Q64">
        <f>IF(COUNT($N64:$P64)=0,"",SUM($N64:$P64))</f>
        <v>150</v>
      </c>
      <c r="R64">
        <f>IF(ISERROR(IF($Q64="","",ROUND(($Q64/$Q$10)*$R$10,2))),"",IF($Q64="","",ROUND(($Q64/$Q$10)*$R$10,2)))</f>
        <v>100</v>
      </c>
      <c r="S64">
        <f>IF($R64="","",ROUND($R64*$S$10,2))</f>
        <v>50</v>
      </c>
      <c r="T64">
        <v>31</v>
      </c>
      <c r="U64">
        <v>27</v>
      </c>
      <c r="V64">
        <v>31</v>
      </c>
      <c r="W64">
        <f>IF(COUNT($T64:$V64)=0,"",SUM($T64:$V64))</f>
        <v>89</v>
      </c>
      <c r="X64">
        <f>IF(ISERROR(IF($W64="","",ROUND(($W64/$W$10)*$X$10,2))),"",IF($W64="","",ROUND(($W64/$W$10)*$X$10,2)))</f>
        <v>74.17</v>
      </c>
      <c r="Y64">
        <f>IF($X64="","",ROUND($X64*$Y$10,2))</f>
        <v>22.25</v>
      </c>
      <c r="Z64">
        <f>IF(ISERROR(IF($V64="","",ROUND(SUM($M64,$S64,$Y64),2))),"",IF($V64="","",ROUND(SUM($M64,$S64,$Y64),2)))</f>
        <v>92.25</v>
      </c>
      <c r="AA64">
        <f>IF(ISERROR(IF($V64="","",VLOOKUP(Z64,NewTransmu,4,TRUE))),"",IF($V64="","",VLOOKUP(Z64,NewTransmu,4,TRUE)))</f>
        <v>94</v>
      </c>
      <c r="AB64" t="str">
        <f>IF(ISERROR(IF(AA64="","",VLOOKUP(AA64,DESCRIPTORS,4,TRUE))),"",IF(AA64="","",VLOOKUP(AA64,DESCRIPTORS,4,TRUE)))</f>
        <v>Advancing</v>
      </c>
      <c r="AV64">
        <f>(T64/$T$10)*100</f>
        <v>77.5</v>
      </c>
      <c r="AW64">
        <f>(U64/$U$10)*100</f>
        <v>67.5</v>
      </c>
      <c r="AX64">
        <f>(V64/$V$10)*100</f>
        <v>77.5</v>
      </c>
    </row>
    <row r="65">
      <c r="A65">
        <v>3</v>
      </c>
      <c r="B65" t="str">
        <f>INPUT!B65</f>
        <v>Gonzales, Bea</v>
      </c>
      <c r="F65">
        <v>20</v>
      </c>
      <c r="G65">
        <v>20</v>
      </c>
      <c r="H65">
        <v>20</v>
      </c>
      <c r="I65">
        <v>20</v>
      </c>
      <c r="J65">
        <v>20</v>
      </c>
      <c r="K65">
        <f>IF(COUNT($F65:$J65)=0,"",SUM($F65:$J65))</f>
        <v>100</v>
      </c>
      <c r="L65">
        <f>IF(ISERROR(IF($K65="","",ROUND(($K65/$K$10)*$L$10,2))),"",IF($K65="","",ROUND(($K65/$K$10)*$L$10,2)))</f>
        <v>100</v>
      </c>
      <c r="M65">
        <f>IF($L65="","",ROUND($L65*$M$10,2))</f>
        <v>20</v>
      </c>
      <c r="N65">
        <v>50</v>
      </c>
      <c r="O65">
        <v>50</v>
      </c>
      <c r="P65">
        <v>50</v>
      </c>
      <c r="Q65">
        <f>IF(COUNT($N65:$P65)=0,"",SUM($N65:$P65))</f>
        <v>150</v>
      </c>
      <c r="R65">
        <f>IF(ISERROR(IF($Q65="","",ROUND(($Q65/$Q$10)*$R$10,2))),"",IF($Q65="","",ROUND(($Q65/$Q$10)*$R$10,2)))</f>
        <v>100</v>
      </c>
      <c r="S65">
        <f>IF($R65="","",ROUND($R65*$S$10,2))</f>
        <v>50</v>
      </c>
      <c r="T65">
        <v>24</v>
      </c>
      <c r="U65">
        <v>28</v>
      </c>
      <c r="V65">
        <v>26</v>
      </c>
      <c r="W65">
        <f>IF(COUNT($T65:$V65)=0,"",SUM($T65:$V65))</f>
        <v>78</v>
      </c>
      <c r="X65">
        <f>IF(ISERROR(IF($W65="","",ROUND(($W65/$W$10)*$X$10,2))),"",IF($W65="","",ROUND(($W65/$W$10)*$X$10,2)))</f>
        <v>65</v>
      </c>
      <c r="Y65">
        <f>IF($X65="","",ROUND($X65*$Y$10,2))</f>
        <v>19.5</v>
      </c>
      <c r="Z65">
        <f>IF(ISERROR(IF($V65="","",ROUND(SUM($M65,$S65,$Y65),2))),"",IF($V65="","",ROUND(SUM($M65,$S65,$Y65),2)))</f>
        <v>89.5</v>
      </c>
      <c r="AA65">
        <f>IF(ISERROR(IF($V65="","",VLOOKUP(Z65,NewTransmu,4,TRUE))),"",IF($V65="","",VLOOKUP(Z65,NewTransmu,4,TRUE)))</f>
        <v>91</v>
      </c>
      <c r="AB65" t="str">
        <f>IF(ISERROR(IF(AA65="","",VLOOKUP(AA65,DESCRIPTORS,4,TRUE))),"",IF(AA65="","",VLOOKUP(AA65,DESCRIPTORS,4,TRUE)))</f>
        <v>Advancing</v>
      </c>
      <c r="AV65">
        <f>(T65/$T$10)*100</f>
        <v>60</v>
      </c>
      <c r="AW65">
        <f>(U65/$U$10)*100</f>
        <v>70</v>
      </c>
      <c r="AX65">
        <f>(V65/$V$10)*100</f>
        <v>65</v>
      </c>
    </row>
    <row r="66">
      <c r="A66">
        <v>4</v>
      </c>
      <c r="B66" t="str">
        <f>INPUT!B66</f>
        <v>Hernandez, Bianca</v>
      </c>
      <c r="F66">
        <v>20</v>
      </c>
      <c r="G66">
        <v>20</v>
      </c>
      <c r="H66">
        <v>20</v>
      </c>
      <c r="I66">
        <v>20</v>
      </c>
      <c r="J66">
        <v>20</v>
      </c>
      <c r="K66">
        <f>IF(COUNT($F66:$J66)=0,"",SUM($F66:$J66))</f>
        <v>100</v>
      </c>
      <c r="L66">
        <f>IF(ISERROR(IF($K66="","",ROUND(($K66/$K$10)*$L$10,2))),"",IF($K66="","",ROUND(($K66/$K$10)*$L$10,2)))</f>
        <v>100</v>
      </c>
      <c r="M66">
        <f>IF($L66="","",ROUND($L66*$M$10,2))</f>
        <v>20</v>
      </c>
      <c r="N66">
        <v>50</v>
      </c>
      <c r="O66">
        <v>50</v>
      </c>
      <c r="P66">
        <v>50</v>
      </c>
      <c r="Q66">
        <f>IF(COUNT($N66:$P66)=0,"",SUM($N66:$P66))</f>
        <v>150</v>
      </c>
      <c r="R66">
        <f>IF(ISERROR(IF($Q66="","",ROUND(($Q66/$Q$10)*$R$10,2))),"",IF($Q66="","",ROUND(($Q66/$Q$10)*$R$10,2)))</f>
        <v>100</v>
      </c>
      <c r="S66">
        <f>IF($R66="","",ROUND($R66*$S$10,2))</f>
        <v>50</v>
      </c>
      <c r="T66">
        <v>35</v>
      </c>
      <c r="U66">
        <v>33</v>
      </c>
      <c r="V66">
        <v>35</v>
      </c>
      <c r="W66">
        <f>IF(COUNT($T66:$V66)=0,"",SUM($T66:$V66))</f>
        <v>103</v>
      </c>
      <c r="X66">
        <f>IF(ISERROR(IF($W66="","",ROUND(($W66/$W$10)*$X$10,2))),"",IF($W66="","",ROUND(($W66/$W$10)*$X$10,2)))</f>
        <v>85.83</v>
      </c>
      <c r="Y66">
        <f>IF($X66="","",ROUND($X66*$Y$10,2))</f>
        <v>25.75</v>
      </c>
      <c r="Z66">
        <f>IF(ISERROR(IF($V66="","",ROUND(SUM($M66,$S66,$Y66),2))),"",IF($V66="","",ROUND(SUM($M66,$S66,$Y66),2)))</f>
        <v>95.75</v>
      </c>
      <c r="AA66">
        <f>IF(ISERROR(IF($V66="","",VLOOKUP(Z66,NewTransmu,4,TRUE))),"",IF($V66="","",VLOOKUP(Z66,NewTransmu,4,TRUE)))</f>
        <v>97</v>
      </c>
      <c r="AB66" t="str">
        <f>IF(ISERROR(IF(AA66="","",VLOOKUP(AA66,DESCRIPTORS,4,TRUE))),"",IF(AA66="","",VLOOKUP(AA66,DESCRIPTORS,4,TRUE)))</f>
        <v>Advancing</v>
      </c>
      <c r="AV66">
        <f>(T66/$T$10)*100</f>
        <v>87.5</v>
      </c>
      <c r="AW66">
        <f>(U66/$U$10)*100</f>
        <v>82.5</v>
      </c>
      <c r="AX66">
        <f>(V66/$V$10)*100</f>
        <v>87.5</v>
      </c>
    </row>
    <row r="67">
      <c r="A67">
        <v>5</v>
      </c>
      <c r="B67" t="str">
        <f>INPUT!B67</f>
        <v>Ilagan, Camille</v>
      </c>
      <c r="F67">
        <v>20</v>
      </c>
      <c r="G67">
        <v>20</v>
      </c>
      <c r="H67">
        <v>20</v>
      </c>
      <c r="I67">
        <v>20</v>
      </c>
      <c r="J67">
        <v>20</v>
      </c>
      <c r="K67">
        <f>IF(COUNT($F67:$J67)=0,"",SUM($F67:$J67))</f>
        <v>100</v>
      </c>
      <c r="L67">
        <f>IF(ISERROR(IF($K67="","",ROUND(($K67/$K$10)*$L$10,2))),"",IF($K67="","",ROUND(($K67/$K$10)*$L$10,2)))</f>
        <v>100</v>
      </c>
      <c r="M67">
        <f>IF($L67="","",ROUND($L67*$M$10,2))</f>
        <v>20</v>
      </c>
      <c r="N67">
        <v>50</v>
      </c>
      <c r="O67">
        <v>50</v>
      </c>
      <c r="P67">
        <v>50</v>
      </c>
      <c r="Q67">
        <f>IF(COUNT($N67:$P67)=0,"",SUM($N67:$P67))</f>
        <v>150</v>
      </c>
      <c r="R67">
        <f>IF(ISERROR(IF($Q67="","",ROUND(($Q67/$Q$10)*$R$10,2))),"",IF($Q67="","",ROUND(($Q67/$Q$10)*$R$10,2)))</f>
        <v>100</v>
      </c>
      <c r="S67">
        <f>IF($R67="","",ROUND($R67*$S$10,2))</f>
        <v>50</v>
      </c>
      <c r="T67">
        <v>31</v>
      </c>
      <c r="U67">
        <v>31</v>
      </c>
      <c r="V67">
        <v>34</v>
      </c>
      <c r="W67">
        <f>IF(COUNT($T67:$V67)=0,"",SUM($T67:$V67))</f>
        <v>96</v>
      </c>
      <c r="X67">
        <f>IF(ISERROR(IF($W67="","",ROUND(($W67/$W$10)*$X$10,2))),"",IF($W67="","",ROUND(($W67/$W$10)*$X$10,2)))</f>
        <v>80</v>
      </c>
      <c r="Y67">
        <f>IF($X67="","",ROUND($X67*$Y$10,2))</f>
        <v>24</v>
      </c>
      <c r="Z67">
        <f>IF(ISERROR(IF($V67="","",ROUND(SUM($M67,$S67,$Y67),2))),"",IF($V67="","",ROUND(SUM($M67,$S67,$Y67),2)))</f>
        <v>94</v>
      </c>
      <c r="AA67">
        <f>IF(ISERROR(IF($V67="","",VLOOKUP(Z67,NewTransmu,4,TRUE))),"",IF($V67="","",VLOOKUP(Z67,NewTransmu,4,TRUE)))</f>
        <v>96</v>
      </c>
      <c r="AB67" t="str">
        <f>IF(ISERROR(IF(AA67="","",VLOOKUP(AA67,DESCRIPTORS,4,TRUE))),"",IF(AA67="","",VLOOKUP(AA67,DESCRIPTORS,4,TRUE)))</f>
        <v>Advancing</v>
      </c>
      <c r="AV67">
        <f>(T67/$T$10)*100</f>
        <v>77.5</v>
      </c>
      <c r="AW67">
        <f>(U67/$U$10)*100</f>
        <v>77.5</v>
      </c>
      <c r="AX67">
        <f>(V67/$V$10)*100</f>
        <v>85</v>
      </c>
    </row>
    <row r="68">
      <c r="A68">
        <v>6</v>
      </c>
      <c r="B68" t="str">
        <f>INPUT!B68</f>
        <v>Jimenez, Carla</v>
      </c>
      <c r="F68">
        <v>20</v>
      </c>
      <c r="G68">
        <v>20</v>
      </c>
      <c r="H68">
        <v>20</v>
      </c>
      <c r="I68">
        <v>20</v>
      </c>
      <c r="J68">
        <v>20</v>
      </c>
      <c r="K68">
        <f>IF(COUNT($F68:$J68)=0,"",SUM($F68:$J68))</f>
        <v>100</v>
      </c>
      <c r="L68">
        <f>IF(ISERROR(IF($K68="","",ROUND(($K68/$K$10)*$L$10,2))),"",IF($K68="","",ROUND(($K68/$K$10)*$L$10,2)))</f>
        <v>100</v>
      </c>
      <c r="M68">
        <f>IF($L68="","",ROUND($L68*$M$10,2))</f>
        <v>20</v>
      </c>
      <c r="N68">
        <v>50</v>
      </c>
      <c r="O68">
        <v>50</v>
      </c>
      <c r="P68">
        <v>50</v>
      </c>
      <c r="Q68">
        <f>IF(COUNT($N68:$P68)=0,"",SUM($N68:$P68))</f>
        <v>150</v>
      </c>
      <c r="R68">
        <f>IF(ISERROR(IF($Q68="","",ROUND(($Q68/$Q$10)*$R$10,2))),"",IF($Q68="","",ROUND(($Q68/$Q$10)*$R$10,2)))</f>
        <v>100</v>
      </c>
      <c r="S68">
        <f>IF($R68="","",ROUND($R68*$S$10,2))</f>
        <v>50</v>
      </c>
      <c r="T68">
        <v>27</v>
      </c>
      <c r="U68">
        <v>31</v>
      </c>
      <c r="V68">
        <v>30</v>
      </c>
      <c r="W68">
        <f>IF(COUNT($T68:$V68)=0,"",SUM($T68:$V68))</f>
        <v>88</v>
      </c>
      <c r="X68">
        <f>IF(ISERROR(IF($W68="","",ROUND(($W68/$W$10)*$X$10,2))),"",IF($W68="","",ROUND(($W68/$W$10)*$X$10,2)))</f>
        <v>73.33</v>
      </c>
      <c r="Y68">
        <f>IF($X68="","",ROUND($X68*$Y$10,2))</f>
        <v>22</v>
      </c>
      <c r="Z68">
        <f>IF(ISERROR(IF($V68="","",ROUND(SUM($M68,$S68,$Y68),2))),"",IF($V68="","",ROUND(SUM($M68,$S68,$Y68),2)))</f>
        <v>92</v>
      </c>
      <c r="AA68">
        <f>IF(ISERROR(IF($V68="","",VLOOKUP(Z68,NewTransmu,4,TRUE))),"",IF($V68="","",VLOOKUP(Z68,NewTransmu,4,TRUE)))</f>
        <v>94</v>
      </c>
      <c r="AB68" t="str">
        <f>IF(ISERROR(IF(AA68="","",VLOOKUP(AA68,DESCRIPTORS,4,TRUE))),"",IF(AA68="","",VLOOKUP(AA68,DESCRIPTORS,4,TRUE)))</f>
        <v>Advancing</v>
      </c>
      <c r="AV68">
        <f>(T68/$T$10)*100</f>
        <v>67.5</v>
      </c>
      <c r="AW68">
        <f>(U68/$U$10)*100</f>
        <v>77.5</v>
      </c>
      <c r="AX68">
        <f>(V68/$V$10)*100</f>
        <v>75</v>
      </c>
    </row>
    <row r="69">
      <c r="A69">
        <v>7</v>
      </c>
      <c r="B69" t="str">
        <f>INPUT!B69</f>
        <v>Lacson, Chloe</v>
      </c>
      <c r="F69">
        <v>20</v>
      </c>
      <c r="G69">
        <v>20</v>
      </c>
      <c r="H69">
        <v>20</v>
      </c>
      <c r="I69">
        <v>20</v>
      </c>
      <c r="J69">
        <v>20</v>
      </c>
      <c r="K69">
        <f>IF(COUNT($F69:$J69)=0,"",SUM($F69:$J69))</f>
        <v>100</v>
      </c>
      <c r="L69">
        <f>IF(ISERROR(IF($K69="","",ROUND(($K69/$K$10)*$L$10,2))),"",IF($K69="","",ROUND(($K69/$K$10)*$L$10,2)))</f>
        <v>100</v>
      </c>
      <c r="M69">
        <f>IF($L69="","",ROUND($L69*$M$10,2))</f>
        <v>20</v>
      </c>
      <c r="N69">
        <v>50</v>
      </c>
      <c r="O69">
        <v>50</v>
      </c>
      <c r="P69">
        <v>50</v>
      </c>
      <c r="Q69">
        <f>IF(COUNT($N69:$P69)=0,"",SUM($N69:$P69))</f>
        <v>150</v>
      </c>
      <c r="R69">
        <f>IF(ISERROR(IF($Q69="","",ROUND(($Q69/$Q$10)*$R$10,2))),"",IF($Q69="","",ROUND(($Q69/$Q$10)*$R$10,2)))</f>
        <v>100</v>
      </c>
      <c r="S69">
        <f>IF($R69="","",ROUND($R69*$S$10,2))</f>
        <v>50</v>
      </c>
      <c r="T69">
        <v>32</v>
      </c>
      <c r="U69">
        <v>35</v>
      </c>
      <c r="V69">
        <v>35</v>
      </c>
      <c r="W69">
        <f>IF(COUNT($T69:$V69)=0,"",SUM($T69:$V69))</f>
        <v>102</v>
      </c>
      <c r="X69">
        <f>IF(ISERROR(IF($W69="","",ROUND(($W69/$W$10)*$X$10,2))),"",IF($W69="","",ROUND(($W69/$W$10)*$X$10,2)))</f>
        <v>85</v>
      </c>
      <c r="Y69">
        <f>IF($X69="","",ROUND($X69*$Y$10,2))</f>
        <v>25.5</v>
      </c>
      <c r="Z69">
        <f>IF(ISERROR(IF($V69="","",ROUND(SUM($M69,$S69,$Y69),2))),"",IF($V69="","",ROUND(SUM($M69,$S69,$Y69),2)))</f>
        <v>95.5</v>
      </c>
      <c r="AA69">
        <f>IF(ISERROR(IF($V69="","",VLOOKUP(Z69,NewTransmu,4,TRUE))),"",IF($V69="","",VLOOKUP(Z69,NewTransmu,4,TRUE)))</f>
        <v>97</v>
      </c>
      <c r="AB69" t="str">
        <f>IF(ISERROR(IF(AA69="","",VLOOKUP(AA69,DESCRIPTORS,4,TRUE))),"",IF(AA69="","",VLOOKUP(AA69,DESCRIPTORS,4,TRUE)))</f>
        <v>Advancing</v>
      </c>
      <c r="AV69">
        <f>(T69/$T$10)*100</f>
        <v>80</v>
      </c>
      <c r="AW69">
        <f>(U69/$U$10)*100</f>
        <v>87.5</v>
      </c>
      <c r="AX69">
        <f>(V69/$V$10)*100</f>
        <v>87.5</v>
      </c>
    </row>
    <row r="70">
      <c r="A70">
        <v>8</v>
      </c>
      <c r="B70" t="str">
        <f>INPUT!B70</f>
        <v>Lim, Clarisse</v>
      </c>
      <c r="F70">
        <v>20</v>
      </c>
      <c r="G70">
        <v>20</v>
      </c>
      <c r="H70">
        <v>20</v>
      </c>
      <c r="I70">
        <v>20</v>
      </c>
      <c r="J70">
        <v>20</v>
      </c>
      <c r="K70">
        <f>IF(COUNT($F70:$J70)=0,"",SUM($F70:$J70))</f>
        <v>100</v>
      </c>
      <c r="L70">
        <f>IF(ISERROR(IF($K70="","",ROUND(($K70/$K$10)*$L$10,2))),"",IF($K70="","",ROUND(($K70/$K$10)*$L$10,2)))</f>
        <v>100</v>
      </c>
      <c r="M70">
        <f>IF($L70="","",ROUND($L70*$M$10,2))</f>
        <v>20</v>
      </c>
      <c r="N70">
        <v>50</v>
      </c>
      <c r="O70">
        <v>50</v>
      </c>
      <c r="P70">
        <v>50</v>
      </c>
      <c r="Q70">
        <f>IF(COUNT($N70:$P70)=0,"",SUM($N70:$P70))</f>
        <v>150</v>
      </c>
      <c r="R70">
        <f>IF(ISERROR(IF($Q70="","",ROUND(($Q70/$Q$10)*$R$10,2))),"",IF($Q70="","",ROUND(($Q70/$Q$10)*$R$10,2)))</f>
        <v>100</v>
      </c>
      <c r="S70">
        <f>IF($R70="","",ROUND($R70*$S$10,2))</f>
        <v>50</v>
      </c>
      <c r="T70">
        <v>37</v>
      </c>
      <c r="U70">
        <v>39</v>
      </c>
      <c r="V70">
        <v>37</v>
      </c>
      <c r="W70">
        <f>IF(COUNT($T70:$V70)=0,"",SUM($T70:$V70))</f>
        <v>113</v>
      </c>
      <c r="X70">
        <f>IF(ISERROR(IF($W70="","",ROUND(($W70/$W$10)*$X$10,2))),"",IF($W70="","",ROUND(($W70/$W$10)*$X$10,2)))</f>
        <v>94.17</v>
      </c>
      <c r="Y70">
        <f>IF($X70="","",ROUND($X70*$Y$10,2))</f>
        <v>28.25</v>
      </c>
      <c r="Z70">
        <f>IF(ISERROR(IF($V70="","",ROUND(SUM($M70,$S70,$Y70),2))),"",IF($V70="","",ROUND(SUM($M70,$S70,$Y70),2)))</f>
        <v>98.25</v>
      </c>
      <c r="AA70">
        <f>IF(ISERROR(IF($V70="","",VLOOKUP(Z70,NewTransmu,4,TRUE))),"",IF($V70="","",VLOOKUP(Z70,NewTransmu,4,TRUE)))</f>
        <v>99</v>
      </c>
      <c r="AB70" t="str">
        <f>IF(ISERROR(IF(AA70="","",VLOOKUP(AA70,DESCRIPTORS,4,TRUE))),"",IF(AA70="","",VLOOKUP(AA70,DESCRIPTORS,4,TRUE)))</f>
        <v>Advancing</v>
      </c>
      <c r="AV70">
        <f>(T70/$T$10)*100</f>
        <v>92.5</v>
      </c>
      <c r="AW70">
        <f>(U70/$U$10)*100</f>
        <v>97.5</v>
      </c>
      <c r="AX70">
        <f>(V70/$V$10)*100</f>
        <v>92.5</v>
      </c>
    </row>
    <row r="71">
      <c r="A71">
        <v>9</v>
      </c>
      <c r="B71" t="str">
        <f>INPUT!B71</f>
        <v>Manalo, Danica</v>
      </c>
      <c r="F71">
        <v>20</v>
      </c>
      <c r="G71">
        <v>20</v>
      </c>
      <c r="H71">
        <v>20</v>
      </c>
      <c r="I71">
        <v>20</v>
      </c>
      <c r="J71">
        <v>20</v>
      </c>
      <c r="K71">
        <f>IF(COUNT($F71:$J71)=0,"",SUM($F71:$J71))</f>
        <v>100</v>
      </c>
      <c r="L71">
        <f>IF(ISERROR(IF($K71="","",ROUND(($K71/$K$10)*$L$10,2))),"",IF($K71="","",ROUND(($K71/$K$10)*$L$10,2)))</f>
        <v>100</v>
      </c>
      <c r="M71">
        <f>IF($L71="","",ROUND($L71*$M$10,2))</f>
        <v>20</v>
      </c>
      <c r="N71">
        <v>50</v>
      </c>
      <c r="O71">
        <v>50</v>
      </c>
      <c r="P71">
        <v>50</v>
      </c>
      <c r="Q71">
        <f>IF(COUNT($N71:$P71)=0,"",SUM($N71:$P71))</f>
        <v>150</v>
      </c>
      <c r="R71">
        <f>IF(ISERROR(IF($Q71="","",ROUND(($Q71/$Q$10)*$R$10,2))),"",IF($Q71="","",ROUND(($Q71/$Q$10)*$R$10,2)))</f>
        <v>100</v>
      </c>
      <c r="S71">
        <f>IF($R71="","",ROUND($R71*$S$10,2))</f>
        <v>50</v>
      </c>
      <c r="T71">
        <v>40</v>
      </c>
      <c r="U71">
        <v>36</v>
      </c>
      <c r="V71">
        <v>33</v>
      </c>
      <c r="W71">
        <f>IF(COUNT($T71:$V71)=0,"",SUM($T71:$V71))</f>
        <v>109</v>
      </c>
      <c r="X71">
        <f>IF(ISERROR(IF($W71="","",ROUND(($W71/$W$10)*$X$10,2))),"",IF($W71="","",ROUND(($W71/$W$10)*$X$10,2)))</f>
        <v>90.83</v>
      </c>
      <c r="Y71">
        <f>IF($X71="","",ROUND($X71*$Y$10,2))</f>
        <v>27.25</v>
      </c>
      <c r="Z71">
        <f>IF(ISERROR(IF($V71="","",ROUND(SUM($M71,$S71,$Y71),2))),"",IF($V71="","",ROUND(SUM($M71,$S71,$Y71),2)))</f>
        <v>97.25</v>
      </c>
      <c r="AA71">
        <f>IF(ISERROR(IF($V71="","",VLOOKUP(Z71,NewTransmu,4,TRUE))),"",IF($V71="","",VLOOKUP(Z71,NewTransmu,4,TRUE)))</f>
        <v>98</v>
      </c>
      <c r="AB71" t="str">
        <f>IF(ISERROR(IF(AA71="","",VLOOKUP(AA71,DESCRIPTORS,4,TRUE))),"",IF(AA71="","",VLOOKUP(AA71,DESCRIPTORS,4,TRUE)))</f>
        <v>Advancing</v>
      </c>
      <c r="AV71">
        <f>(T71/$T$10)*100</f>
        <v>100</v>
      </c>
      <c r="AW71">
        <f>(U71/$U$10)*100</f>
        <v>90</v>
      </c>
      <c r="AX71">
        <f>(V71/$V$10)*100</f>
        <v>82.5</v>
      </c>
    </row>
    <row r="72">
      <c r="A72">
        <v>10</v>
      </c>
      <c r="B72" t="str">
        <f>INPUT!B72</f>
        <v>Mendoza, Diana</v>
      </c>
      <c r="F72">
        <v>20</v>
      </c>
      <c r="G72">
        <v>20</v>
      </c>
      <c r="H72">
        <v>20</v>
      </c>
      <c r="I72">
        <v>20</v>
      </c>
      <c r="J72">
        <v>20</v>
      </c>
      <c r="K72">
        <f>IF(COUNT($F72:$J72)=0,"",SUM($F72:$J72))</f>
        <v>100</v>
      </c>
      <c r="L72">
        <f>IF(ISERROR(IF($K72="","",ROUND(($K72/$K$10)*$L$10,2))),"",IF($K72="","",ROUND(($K72/$K$10)*$L$10,2)))</f>
        <v>100</v>
      </c>
      <c r="M72">
        <f>IF($L72="","",ROUND($L72*$M$10,2))</f>
        <v>20</v>
      </c>
      <c r="N72">
        <v>50</v>
      </c>
      <c r="O72">
        <v>50</v>
      </c>
      <c r="P72">
        <v>50</v>
      </c>
      <c r="Q72">
        <f>IF(COUNT($N72:$P72)=0,"",SUM($N72:$P72))</f>
        <v>150</v>
      </c>
      <c r="R72">
        <f>IF(ISERROR(IF($Q72="","",ROUND(($Q72/$Q$10)*$R$10,2))),"",IF($Q72="","",ROUND(($Q72/$Q$10)*$R$10,2)))</f>
        <v>100</v>
      </c>
      <c r="S72">
        <f>IF($R72="","",ROUND($R72*$S$10,2))</f>
        <v>50</v>
      </c>
      <c r="T72">
        <v>35</v>
      </c>
      <c r="U72">
        <v>31</v>
      </c>
      <c r="V72">
        <v>34</v>
      </c>
      <c r="W72">
        <f>IF(COUNT($T72:$V72)=0,"",SUM($T72:$V72))</f>
        <v>100</v>
      </c>
      <c r="X72">
        <f>IF(ISERROR(IF($W72="","",ROUND(($W72/$W$10)*$X$10,2))),"",IF($W72="","",ROUND(($W72/$W$10)*$X$10,2)))</f>
        <v>83.33</v>
      </c>
      <c r="Y72">
        <f>IF($X72="","",ROUND($X72*$Y$10,2))</f>
        <v>25</v>
      </c>
      <c r="Z72">
        <f>IF(ISERROR(IF($V72="","",ROUND(SUM($M72,$S72,$Y72),2))),"",IF($V72="","",ROUND(SUM($M72,$S72,$Y72),2)))</f>
        <v>95</v>
      </c>
      <c r="AA72">
        <f>IF(ISERROR(IF($V72="","",VLOOKUP(Z72,NewTransmu,4,TRUE))),"",IF($V72="","",VLOOKUP(Z72,NewTransmu,4,TRUE)))</f>
        <v>97</v>
      </c>
      <c r="AB72" t="str">
        <f>IF(ISERROR(IF(AA72="","",VLOOKUP(AA72,DESCRIPTORS,4,TRUE))),"",IF(AA72="","",VLOOKUP(AA72,DESCRIPTORS,4,TRUE)))</f>
        <v>Advancing</v>
      </c>
      <c r="AV72">
        <f>(T72/$T$10)*100</f>
        <v>87.5</v>
      </c>
      <c r="AW72">
        <f>(U72/$U$10)*100</f>
        <v>77.5</v>
      </c>
      <c r="AX72">
        <f>(V72/$V$10)*100</f>
        <v>85</v>
      </c>
    </row>
    <row r="73">
      <c r="A73">
        <v>11</v>
      </c>
      <c r="B73" t="str">
        <f>INPUT!B73</f>
        <v>Navarro, Elena</v>
      </c>
      <c r="F73">
        <v>20</v>
      </c>
      <c r="G73">
        <v>20</v>
      </c>
      <c r="H73">
        <v>20</v>
      </c>
      <c r="I73">
        <v>20</v>
      </c>
      <c r="J73">
        <v>20</v>
      </c>
      <c r="K73">
        <f>IF(COUNT($F73:$J73)=0,"",SUM($F73:$J73))</f>
        <v>100</v>
      </c>
      <c r="L73">
        <f>IF(ISERROR(IF($K73="","",ROUND(($K73/$K$10)*$L$10,2))),"",IF($K73="","",ROUND(($K73/$K$10)*$L$10,2)))</f>
        <v>100</v>
      </c>
      <c r="M73">
        <f>IF($L73="","",ROUND($L73*$M$10,2))</f>
        <v>20</v>
      </c>
      <c r="N73">
        <v>50</v>
      </c>
      <c r="O73">
        <v>50</v>
      </c>
      <c r="P73">
        <v>50</v>
      </c>
      <c r="Q73">
        <f>IF(COUNT($N73:$P73)=0,"",SUM($N73:$P73))</f>
        <v>150</v>
      </c>
      <c r="R73">
        <f>IF(ISERROR(IF($Q73="","",ROUND(($Q73/$Q$10)*$R$10,2))),"",IF($Q73="","",ROUND(($Q73/$Q$10)*$R$10,2)))</f>
        <v>100</v>
      </c>
      <c r="S73">
        <f>IF($R73="","",ROUND($R73*$S$10,2))</f>
        <v>50</v>
      </c>
      <c r="T73">
        <v>33</v>
      </c>
      <c r="U73">
        <v>37</v>
      </c>
      <c r="V73">
        <v>35</v>
      </c>
      <c r="W73">
        <f>IF(COUNT($T73:$V73)=0,"",SUM($T73:$V73))</f>
        <v>105</v>
      </c>
      <c r="X73">
        <f>IF(ISERROR(IF($W73="","",ROUND(($W73/$W$10)*$X$10,2))),"",IF($W73="","",ROUND(($W73/$W$10)*$X$10,2)))</f>
        <v>87.5</v>
      </c>
      <c r="Y73">
        <f>IF($X73="","",ROUND($X73*$Y$10,2))</f>
        <v>26.25</v>
      </c>
      <c r="Z73">
        <f>IF(ISERROR(IF($V73="","",ROUND(SUM($M73,$S73,$Y73),2))),"",IF($V73="","",ROUND(SUM($M73,$S73,$Y73),2)))</f>
        <v>96.25</v>
      </c>
      <c r="AA73">
        <f>IF(ISERROR(IF($V73="","",VLOOKUP(Z73,NewTransmu,4,TRUE))),"",IF($V73="","",VLOOKUP(Z73,NewTransmu,4,TRUE)))</f>
        <v>98</v>
      </c>
      <c r="AB73" t="str">
        <f>IF(ISERROR(IF(AA73="","",VLOOKUP(AA73,DESCRIPTORS,4,TRUE))),"",IF(AA73="","",VLOOKUP(AA73,DESCRIPTORS,4,TRUE)))</f>
        <v>Advancing</v>
      </c>
      <c r="AV73">
        <f>(T73/$T$10)*100</f>
        <v>82.5</v>
      </c>
      <c r="AW73">
        <f>(U73/$U$10)*100</f>
        <v>92.5</v>
      </c>
      <c r="AX73">
        <f>(V73/$V$10)*100</f>
        <v>87.5</v>
      </c>
    </row>
    <row r="74">
      <c r="A74">
        <v>12</v>
      </c>
      <c r="B74" t="str">
        <f>INPUT!B74</f>
        <v>Ocampo, Ella</v>
      </c>
      <c r="F74">
        <v>20</v>
      </c>
      <c r="G74">
        <v>20</v>
      </c>
      <c r="H74">
        <v>20</v>
      </c>
      <c r="I74">
        <v>20</v>
      </c>
      <c r="J74">
        <v>20</v>
      </c>
      <c r="K74">
        <f>IF(COUNT($F74:$J74)=0,"",SUM($F74:$J74))</f>
        <v>100</v>
      </c>
      <c r="L74">
        <f>IF(ISERROR(IF($K74="","",ROUND(($K74/$K$10)*$L$10,2))),"",IF($K74="","",ROUND(($K74/$K$10)*$L$10,2)))</f>
        <v>100</v>
      </c>
      <c r="M74">
        <f>IF($L74="","",ROUND($L74*$M$10,2))</f>
        <v>20</v>
      </c>
      <c r="N74">
        <v>50</v>
      </c>
      <c r="O74">
        <v>50</v>
      </c>
      <c r="P74">
        <v>50</v>
      </c>
      <c r="Q74">
        <f>IF(COUNT($N74:$P74)=0,"",SUM($N74:$P74))</f>
        <v>150</v>
      </c>
      <c r="R74">
        <f>IF(ISERROR(IF($Q74="","",ROUND(($Q74/$Q$10)*$R$10,2))),"",IF($Q74="","",ROUND(($Q74/$Q$10)*$R$10,2)))</f>
        <v>100</v>
      </c>
      <c r="S74">
        <f>IF($R74="","",ROUND($R74*$S$10,2))</f>
        <v>50</v>
      </c>
      <c r="T74">
        <v>28</v>
      </c>
      <c r="U74">
        <v>27</v>
      </c>
      <c r="V74">
        <v>30</v>
      </c>
      <c r="W74">
        <f>IF(COUNT($T74:$V74)=0,"",SUM($T74:$V74))</f>
        <v>85</v>
      </c>
      <c r="X74">
        <f>IF(ISERROR(IF($W74="","",ROUND(($W74/$W$10)*$X$10,2))),"",IF($W74="","",ROUND(($W74/$W$10)*$X$10,2)))</f>
        <v>70.83</v>
      </c>
      <c r="Y74">
        <f>IF($X74="","",ROUND($X74*$Y$10,2))</f>
        <v>21.25</v>
      </c>
      <c r="Z74">
        <f>IF(ISERROR(IF($V74="","",ROUND(SUM($M74,$S74,$Y74),2))),"",IF($V74="","",ROUND(SUM($M74,$S74,$Y74),2)))</f>
        <v>91.25</v>
      </c>
      <c r="AA74">
        <f>IF(ISERROR(IF($V74="","",VLOOKUP(Z74,NewTransmu,4,TRUE))),"",IF($V74="","",VLOOKUP(Z74,NewTransmu,4,TRUE)))</f>
        <v>93</v>
      </c>
      <c r="AB74" t="str">
        <f>IF(ISERROR(IF(AA74="","",VLOOKUP(AA74,DESCRIPTORS,4,TRUE))),"",IF(AA74="","",VLOOKUP(AA74,DESCRIPTORS,4,TRUE)))</f>
        <v>Advancing</v>
      </c>
      <c r="AV74">
        <f>(T74/$T$10)*100</f>
        <v>70</v>
      </c>
      <c r="AW74">
        <f>(U74/$U$10)*100</f>
        <v>67.5</v>
      </c>
      <c r="AX74">
        <f>(V74/$V$10)*100</f>
        <v>75</v>
      </c>
    </row>
    <row r="75">
      <c r="A75">
        <v>13</v>
      </c>
      <c r="B75" t="str">
        <f>INPUT!B75</f>
        <v>Ortega, Erika</v>
      </c>
      <c r="F75">
        <v>20</v>
      </c>
      <c r="G75">
        <v>20</v>
      </c>
      <c r="H75">
        <v>20</v>
      </c>
      <c r="I75">
        <v>20</v>
      </c>
      <c r="J75">
        <v>20</v>
      </c>
      <c r="K75">
        <f>IF(COUNT($F75:$J75)=0,"",SUM($F75:$J75))</f>
        <v>100</v>
      </c>
      <c r="L75">
        <f>IF(ISERROR(IF($K75="","",ROUND(($K75/$K$10)*$L$10,2))),"",IF($K75="","",ROUND(($K75/$K$10)*$L$10,2)))</f>
        <v>100</v>
      </c>
      <c r="M75">
        <f>IF($L75="","",ROUND($L75*$M$10,2))</f>
        <v>20</v>
      </c>
      <c r="N75">
        <v>50</v>
      </c>
      <c r="O75">
        <v>50</v>
      </c>
      <c r="P75">
        <v>50</v>
      </c>
      <c r="Q75">
        <f>IF(COUNT($N75:$P75)=0,"",SUM($N75:$P75))</f>
        <v>150</v>
      </c>
      <c r="R75">
        <f>IF(ISERROR(IF($Q75="","",ROUND(($Q75/$Q$10)*$R$10,2))),"",IF($Q75="","",ROUND(($Q75/$Q$10)*$R$10,2)))</f>
        <v>100</v>
      </c>
      <c r="S75">
        <f>IF($R75="","",ROUND($R75*$S$10,2))</f>
        <v>50</v>
      </c>
      <c r="T75">
        <v>37</v>
      </c>
      <c r="U75">
        <v>38</v>
      </c>
      <c r="V75">
        <v>37</v>
      </c>
      <c r="W75">
        <f>IF(COUNT($T75:$V75)=0,"",SUM($T75:$V75))</f>
        <v>112</v>
      </c>
      <c r="X75">
        <f>IF(ISERROR(IF($W75="","",ROUND(($W75/$W$10)*$X$10,2))),"",IF($W75="","",ROUND(($W75/$W$10)*$X$10,2)))</f>
        <v>93.33</v>
      </c>
      <c r="Y75">
        <f>IF($X75="","",ROUND($X75*$Y$10,2))</f>
        <v>28</v>
      </c>
      <c r="Z75">
        <f>IF(ISERROR(IF($V75="","",ROUND(SUM($M75,$S75,$Y75),2))),"",IF($V75="","",ROUND(SUM($M75,$S75,$Y75),2)))</f>
        <v>98</v>
      </c>
      <c r="AA75">
        <f>IF(ISERROR(IF($V75="","",VLOOKUP(Z75,NewTransmu,4,TRUE))),"",IF($V75="","",VLOOKUP(Z75,NewTransmu,4,TRUE)))</f>
        <v>99</v>
      </c>
      <c r="AB75" t="str">
        <f>IF(ISERROR(IF(AA75="","",VLOOKUP(AA75,DESCRIPTORS,4,TRUE))),"",IF(AA75="","",VLOOKUP(AA75,DESCRIPTORS,4,TRUE)))</f>
        <v>Advancing</v>
      </c>
      <c r="AV75">
        <f>(T75/$T$10)*100</f>
        <v>92.5</v>
      </c>
      <c r="AW75">
        <f>(U75/$U$10)*100</f>
        <v>95</v>
      </c>
      <c r="AX75">
        <f>(V75/$V$10)*100</f>
        <v>92.5</v>
      </c>
    </row>
    <row r="76">
      <c r="A76">
        <v>14</v>
      </c>
      <c r="B76" t="str">
        <f>INPUT!B76</f>
        <v>Pascual, Faith</v>
      </c>
      <c r="F76">
        <v>20</v>
      </c>
      <c r="G76">
        <v>20</v>
      </c>
      <c r="H76">
        <v>20</v>
      </c>
      <c r="I76">
        <v>20</v>
      </c>
      <c r="J76">
        <v>20</v>
      </c>
      <c r="K76">
        <f>IF(COUNT($F76:$J76)=0,"",SUM($F76:$J76))</f>
        <v>100</v>
      </c>
      <c r="L76">
        <f>IF(ISERROR(IF($K76="","",ROUND(($K76/$K$10)*$L$10,2))),"",IF($K76="","",ROUND(($K76/$K$10)*$L$10,2)))</f>
        <v>100</v>
      </c>
      <c r="M76">
        <f>IF($L76="","",ROUND($L76*$M$10,2))</f>
        <v>20</v>
      </c>
      <c r="N76">
        <v>50</v>
      </c>
      <c r="O76">
        <v>50</v>
      </c>
      <c r="P76">
        <v>50</v>
      </c>
      <c r="Q76">
        <f>IF(COUNT($N76:$P76)=0,"",SUM($N76:$P76))</f>
        <v>150</v>
      </c>
      <c r="R76">
        <f>IF(ISERROR(IF($Q76="","",ROUND(($Q76/$Q$10)*$R$10,2))),"",IF($Q76="","",ROUND(($Q76/$Q$10)*$R$10,2)))</f>
        <v>100</v>
      </c>
      <c r="S76">
        <f>IF($R76="","",ROUND($R76*$S$10,2))</f>
        <v>50</v>
      </c>
      <c r="T76">
        <v>35</v>
      </c>
      <c r="U76">
        <v>35</v>
      </c>
      <c r="V76">
        <v>31</v>
      </c>
      <c r="W76">
        <f>IF(COUNT($T76:$V76)=0,"",SUM($T76:$V76))</f>
        <v>101</v>
      </c>
      <c r="X76">
        <f>IF(ISERROR(IF($W76="","",ROUND(($W76/$W$10)*$X$10,2))),"",IF($W76="","",ROUND(($W76/$W$10)*$X$10,2)))</f>
        <v>84.17</v>
      </c>
      <c r="Y76">
        <f>IF($X76="","",ROUND($X76*$Y$10,2))</f>
        <v>25.25</v>
      </c>
      <c r="Z76">
        <f>IF(ISERROR(IF($V76="","",ROUND(SUM($M76,$S76,$Y76),2))),"",IF($V76="","",ROUND(SUM($M76,$S76,$Y76),2)))</f>
        <v>95.25</v>
      </c>
      <c r="AA76">
        <f>IF(ISERROR(IF($V76="","",VLOOKUP(Z76,NewTransmu,4,TRUE))),"",IF($V76="","",VLOOKUP(Z76,NewTransmu,4,TRUE)))</f>
        <v>97</v>
      </c>
      <c r="AB76" t="str">
        <f>IF(ISERROR(IF(AA76="","",VLOOKUP(AA76,DESCRIPTORS,4,TRUE))),"",IF(AA76="","",VLOOKUP(AA76,DESCRIPTORS,4,TRUE)))</f>
        <v>Advancing</v>
      </c>
      <c r="AV76">
        <f>(T76/$T$10)*100</f>
        <v>87.5</v>
      </c>
      <c r="AW76">
        <f>(U76/$U$10)*100</f>
        <v>87.5</v>
      </c>
      <c r="AX76">
        <f>(V76/$V$10)*100</f>
        <v>77.5</v>
      </c>
    </row>
    <row r="77">
      <c r="A77">
        <v>15</v>
      </c>
      <c r="B77" t="str">
        <f>INPUT!B77</f>
        <v>Quizon, Gabrielle</v>
      </c>
      <c r="F77">
        <v>20</v>
      </c>
      <c r="G77">
        <v>20</v>
      </c>
      <c r="H77">
        <v>20</v>
      </c>
      <c r="I77">
        <v>20</v>
      </c>
      <c r="J77">
        <v>20</v>
      </c>
      <c r="K77">
        <f>IF(COUNT($F77:$J77)=0,"",SUM($F77:$J77))</f>
        <v>100</v>
      </c>
      <c r="L77">
        <f>IF(ISERROR(IF($K77="","",ROUND(($K77/$K$10)*$L$10,2))),"",IF($K77="","",ROUND(($K77/$K$10)*$L$10,2)))</f>
        <v>100</v>
      </c>
      <c r="M77">
        <f>IF($L77="","",ROUND($L77*$M$10,2))</f>
        <v>20</v>
      </c>
      <c r="N77">
        <v>50</v>
      </c>
      <c r="O77">
        <v>50</v>
      </c>
      <c r="P77">
        <v>50</v>
      </c>
      <c r="Q77">
        <f>IF(COUNT($N77:$P77)=0,"",SUM($N77:$P77))</f>
        <v>150</v>
      </c>
      <c r="R77">
        <f>IF(ISERROR(IF($Q77="","",ROUND(($Q77/$Q$10)*$R$10,2))),"",IF($Q77="","",ROUND(($Q77/$Q$10)*$R$10,2)))</f>
        <v>100</v>
      </c>
      <c r="S77">
        <f>IF($R77="","",ROUND($R77*$S$10,2))</f>
        <v>50</v>
      </c>
      <c r="T77">
        <v>38</v>
      </c>
      <c r="U77">
        <v>38</v>
      </c>
      <c r="V77">
        <v>39</v>
      </c>
      <c r="W77">
        <f>IF(COUNT($T77:$V77)=0,"",SUM($T77:$V77))</f>
        <v>115</v>
      </c>
      <c r="X77">
        <f>IF(ISERROR(IF($W77="","",ROUND(($W77/$W$10)*$X$10,2))),"",IF($W77="","",ROUND(($W77/$W$10)*$X$10,2)))</f>
        <v>95.83</v>
      </c>
      <c r="Y77">
        <f>IF($X77="","",ROUND($X77*$Y$10,2))</f>
        <v>28.75</v>
      </c>
      <c r="Z77">
        <f>IF(ISERROR(IF($V77="","",ROUND(SUM($M77,$S77,$Y77),2))),"",IF($V77="","",ROUND(SUM($M77,$S77,$Y77),2)))</f>
        <v>98.75</v>
      </c>
      <c r="AA77">
        <f>IF(ISERROR(IF($V77="","",VLOOKUP(Z77,NewTransmu,4,TRUE))),"",IF($V77="","",VLOOKUP(Z77,NewTransmu,4,TRUE)))</f>
        <v>99</v>
      </c>
      <c r="AB77" t="str">
        <f>IF(ISERROR(IF(AA77="","",VLOOKUP(AA77,DESCRIPTORS,4,TRUE))),"",IF(AA77="","",VLOOKUP(AA77,DESCRIPTORS,4,TRUE)))</f>
        <v>Advancing</v>
      </c>
      <c r="AV77">
        <f>(T77/$T$10)*100</f>
        <v>95</v>
      </c>
      <c r="AW77">
        <f>(U77/$U$10)*100</f>
        <v>95</v>
      </c>
      <c r="AX77">
        <f>(V77/$V$10)*100</f>
        <v>97.5</v>
      </c>
    </row>
    <row r="78">
      <c r="A78">
        <v>16</v>
      </c>
      <c r="B78" t="str">
        <f>INPUT!B78</f>
        <v>Ramos, Hannah</v>
      </c>
      <c r="F78">
        <v>20</v>
      </c>
      <c r="G78">
        <v>20</v>
      </c>
      <c r="H78">
        <v>20</v>
      </c>
      <c r="I78">
        <v>20</v>
      </c>
      <c r="J78">
        <v>20</v>
      </c>
      <c r="K78">
        <f>IF(COUNT($F78:$J78)=0,"",SUM($F78:$J78))</f>
        <v>100</v>
      </c>
      <c r="L78">
        <f>IF(ISERROR(IF($K78="","",ROUND(($K78/$K$10)*$L$10,2))),"",IF($K78="","",ROUND(($K78/$K$10)*$L$10,2)))</f>
        <v>100</v>
      </c>
      <c r="M78">
        <f>IF($L78="","",ROUND($L78*$M$10,2))</f>
        <v>20</v>
      </c>
      <c r="N78">
        <v>50</v>
      </c>
      <c r="O78">
        <v>50</v>
      </c>
      <c r="P78">
        <v>50</v>
      </c>
      <c r="Q78">
        <f>IF(COUNT($N78:$P78)=0,"",SUM($N78:$P78))</f>
        <v>150</v>
      </c>
      <c r="R78">
        <f>IF(ISERROR(IF($Q78="","",ROUND(($Q78/$Q$10)*$R$10,2))),"",IF($Q78="","",ROUND(($Q78/$Q$10)*$R$10,2)))</f>
        <v>100</v>
      </c>
      <c r="S78">
        <f>IF($R78="","",ROUND($R78*$S$10,2))</f>
        <v>50</v>
      </c>
      <c r="T78">
        <v>33</v>
      </c>
      <c r="U78">
        <v>34</v>
      </c>
      <c r="V78">
        <v>33</v>
      </c>
      <c r="W78">
        <f>IF(COUNT($T78:$V78)=0,"",SUM($T78:$V78))</f>
        <v>100</v>
      </c>
      <c r="X78">
        <f>IF(ISERROR(IF($W78="","",ROUND(($W78/$W$10)*$X$10,2))),"",IF($W78="","",ROUND(($W78/$W$10)*$X$10,2)))</f>
        <v>83.33</v>
      </c>
      <c r="Y78">
        <f>IF($X78="","",ROUND($X78*$Y$10,2))</f>
        <v>25</v>
      </c>
      <c r="Z78">
        <f>IF(ISERROR(IF($V78="","",ROUND(SUM($M78,$S78,$Y78),2))),"",IF($V78="","",ROUND(SUM($M78,$S78,$Y78),2)))</f>
        <v>95</v>
      </c>
      <c r="AA78">
        <f>IF(ISERROR(IF($V78="","",VLOOKUP(Z78,NewTransmu,4,TRUE))),"",IF($V78="","",VLOOKUP(Z78,NewTransmu,4,TRUE)))</f>
        <v>97</v>
      </c>
      <c r="AB78" t="str">
        <f>IF(ISERROR(IF(AA78="","",VLOOKUP(AA78,DESCRIPTORS,4,TRUE))),"",IF(AA78="","",VLOOKUP(AA78,DESCRIPTORS,4,TRUE)))</f>
        <v>Advancing</v>
      </c>
      <c r="AV78">
        <f>(T78/$T$10)*100</f>
        <v>82.5</v>
      </c>
      <c r="AW78">
        <f>(U78/$U$10)*100</f>
        <v>85</v>
      </c>
      <c r="AX78">
        <f>(V78/$V$10)*100</f>
        <v>82.5</v>
      </c>
    </row>
    <row r="79">
      <c r="A79">
        <v>17</v>
      </c>
      <c r="B79" t="str">
        <f>INPUT!B79</f>
        <v>Reyes, Isabelle</v>
      </c>
      <c r="F79">
        <v>20</v>
      </c>
      <c r="G79">
        <v>20</v>
      </c>
      <c r="H79">
        <v>20</v>
      </c>
      <c r="I79">
        <v>20</v>
      </c>
      <c r="J79">
        <v>20</v>
      </c>
      <c r="K79">
        <f>IF(COUNT($F79:$J79)=0,"",SUM($F79:$J79))</f>
        <v>100</v>
      </c>
      <c r="L79">
        <f>IF(ISERROR(IF($K79="","",ROUND(($K79/$K$10)*$L$10,2))),"",IF($K79="","",ROUND(($K79/$K$10)*$L$10,2)))</f>
        <v>100</v>
      </c>
      <c r="M79">
        <f>IF($L79="","",ROUND($L79*$M$10,2))</f>
        <v>20</v>
      </c>
      <c r="N79">
        <v>50</v>
      </c>
      <c r="O79">
        <v>50</v>
      </c>
      <c r="P79">
        <v>50</v>
      </c>
      <c r="Q79">
        <f>IF(COUNT($N79:$P79)=0,"",SUM($N79:$P79))</f>
        <v>150</v>
      </c>
      <c r="R79">
        <f>IF(ISERROR(IF($Q79="","",ROUND(($Q79/$Q$10)*$R$10,2))),"",IF($Q79="","",ROUND(($Q79/$Q$10)*$R$10,2)))</f>
        <v>100</v>
      </c>
      <c r="S79">
        <f>IF($R79="","",ROUND($R79*$S$10,2))</f>
        <v>50</v>
      </c>
      <c r="T79">
        <v>32</v>
      </c>
      <c r="U79">
        <v>35</v>
      </c>
      <c r="V79">
        <v>33</v>
      </c>
      <c r="W79">
        <f>IF(COUNT($T79:$V79)=0,"",SUM($T79:$V79))</f>
        <v>100</v>
      </c>
      <c r="X79">
        <f>IF(ISERROR(IF($W79="","",ROUND(($W79/$W$10)*$X$10,2))),"",IF($W79="","",ROUND(($W79/$W$10)*$X$10,2)))</f>
        <v>83.33</v>
      </c>
      <c r="Y79">
        <f>IF($X79="","",ROUND($X79*$Y$10,2))</f>
        <v>25</v>
      </c>
      <c r="Z79">
        <f>IF(ISERROR(IF($V79="","",ROUND(SUM($M79,$S79,$Y79),2))),"",IF($V79="","",ROUND(SUM($M79,$S79,$Y79),2)))</f>
        <v>95</v>
      </c>
      <c r="AA79">
        <f>IF(ISERROR(IF($V79="","",VLOOKUP(Z79,NewTransmu,4,TRUE))),"",IF($V79="","",VLOOKUP(Z79,NewTransmu,4,TRUE)))</f>
        <v>97</v>
      </c>
      <c r="AB79" t="str">
        <f>IF(ISERROR(IF(AA79="","",VLOOKUP(AA79,DESCRIPTORS,4,TRUE))),"",IF(AA79="","",VLOOKUP(AA79,DESCRIPTORS,4,TRUE)))</f>
        <v>Advancing</v>
      </c>
      <c r="AV79">
        <f>(T79/$T$10)*100</f>
        <v>80</v>
      </c>
      <c r="AW79">
        <f>(U79/$U$10)*100</f>
        <v>87.5</v>
      </c>
      <c r="AX79">
        <f>(V79/$V$10)*100</f>
        <v>82.5</v>
      </c>
    </row>
    <row r="80">
      <c r="A80">
        <v>18</v>
      </c>
      <c r="B80" t="str">
        <f>INPUT!B80</f>
        <v>Rivera, Jasmine</v>
      </c>
      <c r="F80">
        <v>20</v>
      </c>
      <c r="G80">
        <v>20</v>
      </c>
      <c r="H80">
        <v>20</v>
      </c>
      <c r="I80">
        <v>20</v>
      </c>
      <c r="J80">
        <v>20</v>
      </c>
      <c r="K80">
        <f>IF(COUNT($F80:$J80)=0,"",SUM($F80:$J80))</f>
        <v>100</v>
      </c>
      <c r="L80">
        <f>IF(ISERROR(IF($K80="","",ROUND(($K80/$K$10)*$L$10,2))),"",IF($K80="","",ROUND(($K80/$K$10)*$L$10,2)))</f>
        <v>100</v>
      </c>
      <c r="M80">
        <f>IF($L80="","",ROUND($L80*$M$10,2))</f>
        <v>20</v>
      </c>
      <c r="N80">
        <v>50</v>
      </c>
      <c r="O80">
        <v>50</v>
      </c>
      <c r="P80">
        <v>50</v>
      </c>
      <c r="Q80">
        <f>IF(COUNT($N80:$P80)=0,"",SUM($N80:$P80))</f>
        <v>150</v>
      </c>
      <c r="R80">
        <f>IF(ISERROR(IF($Q80="","",ROUND(($Q80/$Q$10)*$R$10,2))),"",IF($Q80="","",ROUND(($Q80/$Q$10)*$R$10,2)))</f>
        <v>100</v>
      </c>
      <c r="S80">
        <f>IF($R80="","",ROUND($R80*$S$10,2))</f>
        <v>50</v>
      </c>
      <c r="T80">
        <v>36</v>
      </c>
      <c r="U80">
        <v>36</v>
      </c>
      <c r="V80">
        <v>36</v>
      </c>
      <c r="W80">
        <f>IF(COUNT($T80:$V80)=0,"",SUM($T80:$V80))</f>
        <v>108</v>
      </c>
      <c r="X80">
        <f>IF(ISERROR(IF($W80="","",ROUND(($W80/$W$10)*$X$10,2))),"",IF($W80="","",ROUND(($W80/$W$10)*$X$10,2)))</f>
        <v>90</v>
      </c>
      <c r="Y80">
        <f>IF($X80="","",ROUND($X80*$Y$10,2))</f>
        <v>27</v>
      </c>
      <c r="Z80">
        <f>IF(ISERROR(IF($V80="","",ROUND(SUM($M80,$S80,$Y80),2))),"",IF($V80="","",ROUND(SUM($M80,$S80,$Y80),2)))</f>
        <v>97</v>
      </c>
      <c r="AA80">
        <f>IF(ISERROR(IF($V80="","",VLOOKUP(Z80,NewTransmu,4,TRUE))),"",IF($V80="","",VLOOKUP(Z80,NewTransmu,4,TRUE)))</f>
        <v>98</v>
      </c>
      <c r="AB80" t="str">
        <f>IF(ISERROR(IF(AA80="","",VLOOKUP(AA80,DESCRIPTORS,4,TRUE))),"",IF(AA80="","",VLOOKUP(AA80,DESCRIPTORS,4,TRUE)))</f>
        <v>Advancing</v>
      </c>
      <c r="AV80">
        <f>(T80/$T$10)*100</f>
        <v>90</v>
      </c>
      <c r="AW80">
        <f>(U80/$U$10)*100</f>
        <v>90</v>
      </c>
      <c r="AX80">
        <f>(V80/$V$10)*100</f>
        <v>90</v>
      </c>
    </row>
    <row r="81">
      <c r="A81">
        <v>19</v>
      </c>
      <c r="B81" t="str">
        <f>INPUT!B81</f>
        <v>Rosales, Jillian</v>
      </c>
      <c r="F81">
        <v>20</v>
      </c>
      <c r="G81">
        <v>20</v>
      </c>
      <c r="H81">
        <v>20</v>
      </c>
      <c r="I81">
        <v>20</v>
      </c>
      <c r="J81">
        <v>20</v>
      </c>
      <c r="K81">
        <f>IF(COUNT($F81:$J81)=0,"",SUM($F81:$J81))</f>
        <v>100</v>
      </c>
      <c r="L81">
        <f>IF(ISERROR(IF($K81="","",ROUND(($K81/$K$10)*$L$10,2))),"",IF($K81="","",ROUND(($K81/$K$10)*$L$10,2)))</f>
        <v>100</v>
      </c>
      <c r="M81">
        <f>IF($L81="","",ROUND($L81*$M$10,2))</f>
        <v>20</v>
      </c>
      <c r="N81">
        <v>50</v>
      </c>
      <c r="O81">
        <v>50</v>
      </c>
      <c r="P81">
        <v>50</v>
      </c>
      <c r="Q81">
        <f>IF(COUNT($N81:$P81)=0,"",SUM($N81:$P81))</f>
        <v>150</v>
      </c>
      <c r="R81">
        <f>IF(ISERROR(IF($Q81="","",ROUND(($Q81/$Q$10)*$R$10,2))),"",IF($Q81="","",ROUND(($Q81/$Q$10)*$R$10,2)))</f>
        <v>100</v>
      </c>
      <c r="S81">
        <f>IF($R81="","",ROUND($R81*$S$10,2))</f>
        <v>50</v>
      </c>
      <c r="T81">
        <v>35</v>
      </c>
      <c r="U81">
        <v>34</v>
      </c>
      <c r="V81">
        <v>33</v>
      </c>
      <c r="W81">
        <f>IF(COUNT($T81:$V81)=0,"",SUM($T81:$V81))</f>
        <v>102</v>
      </c>
      <c r="X81">
        <f>IF(ISERROR(IF($W81="","",ROUND(($W81/$W$10)*$X$10,2))),"",IF($W81="","",ROUND(($W81/$W$10)*$X$10,2)))</f>
        <v>85</v>
      </c>
      <c r="Y81">
        <f>IF($X81="","",ROUND($X81*$Y$10,2))</f>
        <v>25.5</v>
      </c>
      <c r="Z81">
        <f>IF(ISERROR(IF($V81="","",ROUND(SUM($M81,$S81,$Y81),2))),"",IF($V81="","",ROUND(SUM($M81,$S81,$Y81),2)))</f>
        <v>95.5</v>
      </c>
      <c r="AA81">
        <f>IF(ISERROR(IF($V81="","",VLOOKUP(Z81,NewTransmu,4,TRUE))),"",IF($V81="","",VLOOKUP(Z81,NewTransmu,4,TRUE)))</f>
        <v>97</v>
      </c>
      <c r="AB81" t="str">
        <f>IF(ISERROR(IF(AA81="","",VLOOKUP(AA81,DESCRIPTORS,4,TRUE))),"",IF(AA81="","",VLOOKUP(AA81,DESCRIPTORS,4,TRUE)))</f>
        <v>Advancing</v>
      </c>
      <c r="AV81">
        <f>(T81/$T$10)*100</f>
        <v>87.5</v>
      </c>
      <c r="AW81">
        <f>(U81/$U$10)*100</f>
        <v>85</v>
      </c>
      <c r="AX81">
        <f>(V81/$V$10)*100</f>
        <v>82.5</v>
      </c>
    </row>
    <row r="82">
      <c r="A82">
        <v>20</v>
      </c>
      <c r="B82" t="str">
        <f>INPUT!B82</f>
        <v>Salazar, Julia</v>
      </c>
      <c r="F82">
        <v>20</v>
      </c>
      <c r="G82">
        <v>20</v>
      </c>
      <c r="H82">
        <v>20</v>
      </c>
      <c r="I82">
        <v>20</v>
      </c>
      <c r="J82">
        <v>20</v>
      </c>
      <c r="K82">
        <f>IF(COUNT($F82:$J82)=0,"",SUM($F82:$J82))</f>
        <v>100</v>
      </c>
      <c r="L82">
        <f>IF(ISERROR(IF($K82="","",ROUND(($K82/$K$10)*$L$10,2))),"",IF($K82="","",ROUND(($K82/$K$10)*$L$10,2)))</f>
        <v>100</v>
      </c>
      <c r="M82">
        <f>IF($L82="","",ROUND($L82*$M$10,2))</f>
        <v>20</v>
      </c>
      <c r="N82">
        <v>50</v>
      </c>
      <c r="O82">
        <v>50</v>
      </c>
      <c r="P82">
        <v>50</v>
      </c>
      <c r="Q82">
        <f>IF(COUNT($N82:$P82)=0,"",SUM($N82:$P82))</f>
        <v>150</v>
      </c>
      <c r="R82">
        <f>IF(ISERROR(IF($Q82="","",ROUND(($Q82/$Q$10)*$R$10,2))),"",IF($Q82="","",ROUND(($Q82/$Q$10)*$R$10,2)))</f>
        <v>100</v>
      </c>
      <c r="S82">
        <f>IF($R82="","",ROUND($R82*$S$10,2))</f>
        <v>50</v>
      </c>
      <c r="T82">
        <v>33</v>
      </c>
      <c r="U82">
        <v>34</v>
      </c>
      <c r="V82">
        <v>35</v>
      </c>
      <c r="W82">
        <f>IF(COUNT($T82:$V82)=0,"",SUM($T82:$V82))</f>
        <v>102</v>
      </c>
      <c r="X82">
        <f>IF(ISERROR(IF($W82="","",ROUND(($W82/$W$10)*$X$10,2))),"",IF($W82="","",ROUND(($W82/$W$10)*$X$10,2)))</f>
        <v>85</v>
      </c>
      <c r="Y82">
        <f>IF($X82="","",ROUND($X82*$Y$10,2))</f>
        <v>25.5</v>
      </c>
      <c r="Z82">
        <f>IF(ISERROR(IF($V82="","",ROUND(SUM($M82,$S82,$Y82),2))),"",IF($V82="","",ROUND(SUM($M82,$S82,$Y82),2)))</f>
        <v>95.5</v>
      </c>
      <c r="AA82">
        <f>IF(ISERROR(IF($V82="","",VLOOKUP(Z82,NewTransmu,4,TRUE))),"",IF($V82="","",VLOOKUP(Z82,NewTransmu,4,TRUE)))</f>
        <v>97</v>
      </c>
      <c r="AB82" t="str">
        <f>IF(ISERROR(IF(AA82="","",VLOOKUP(AA82,DESCRIPTORS,4,TRUE))),"",IF(AA82="","",VLOOKUP(AA82,DESCRIPTORS,4,TRUE)))</f>
        <v>Advancing</v>
      </c>
      <c r="AV82">
        <f>(T82/$T$10)*100</f>
        <v>82.5</v>
      </c>
      <c r="AW82">
        <f>(U82/$U$10)*100</f>
        <v>85</v>
      </c>
      <c r="AX82">
        <f>(V82/$V$10)*100</f>
        <v>87.5</v>
      </c>
    </row>
    <row r="83">
      <c r="A83">
        <v>21</v>
      </c>
      <c r="B83" t="str">
        <f>INPUT!B83</f>
        <v>Santiago, Katrina</v>
      </c>
      <c r="F83">
        <v>20</v>
      </c>
      <c r="G83">
        <v>20</v>
      </c>
      <c r="H83">
        <v>20</v>
      </c>
      <c r="I83">
        <v>20</v>
      </c>
      <c r="J83">
        <v>20</v>
      </c>
      <c r="K83">
        <f>IF(COUNT($F83:$J83)=0,"",SUM($F83:$J83))</f>
        <v>100</v>
      </c>
      <c r="L83">
        <f>IF(ISERROR(IF($K83="","",ROUND(($K83/$K$10)*$L$10,2))),"",IF($K83="","",ROUND(($K83/$K$10)*$L$10,2)))</f>
        <v>100</v>
      </c>
      <c r="M83">
        <f>IF($L83="","",ROUND($L83*$M$10,2))</f>
        <v>20</v>
      </c>
      <c r="N83">
        <v>50</v>
      </c>
      <c r="O83">
        <v>50</v>
      </c>
      <c r="P83">
        <v>50</v>
      </c>
      <c r="Q83">
        <f>IF(COUNT($N83:$P83)=0,"",SUM($N83:$P83))</f>
        <v>150</v>
      </c>
      <c r="R83">
        <f>IF(ISERROR(IF($Q83="","",ROUND(($Q83/$Q$10)*$R$10,2))),"",IF($Q83="","",ROUND(($Q83/$Q$10)*$R$10,2)))</f>
        <v>100</v>
      </c>
      <c r="S83">
        <f>IF($R83="","",ROUND($R83*$S$10,2))</f>
        <v>50</v>
      </c>
      <c r="T83">
        <v>33</v>
      </c>
      <c r="U83">
        <v>35</v>
      </c>
      <c r="V83">
        <v>31</v>
      </c>
      <c r="W83">
        <f>IF(COUNT($T83:$V83)=0,"",SUM($T83:$V83))</f>
        <v>99</v>
      </c>
      <c r="X83">
        <f>IF(ISERROR(IF($W83="","",ROUND(($W83/$W$10)*$X$10,2))),"",IF($W83="","",ROUND(($W83/$W$10)*$X$10,2)))</f>
        <v>82.5</v>
      </c>
      <c r="Y83">
        <f>IF($X83="","",ROUND($X83*$Y$10,2))</f>
        <v>24.75</v>
      </c>
      <c r="Z83">
        <f>IF(ISERROR(IF($V83="","",ROUND(SUM($M83,$S83,$Y83),2))),"",IF($V83="","",ROUND(SUM($M83,$S83,$Y83),2)))</f>
        <v>94.75</v>
      </c>
      <c r="AA83">
        <f>IF(ISERROR(IF($V83="","",VLOOKUP(Z83,NewTransmu,4,TRUE))),"",IF($V83="","",VLOOKUP(Z83,NewTransmu,4,TRUE)))</f>
        <v>96</v>
      </c>
      <c r="AB83" t="str">
        <f>IF(ISERROR(IF(AA83="","",VLOOKUP(AA83,DESCRIPTORS,4,TRUE))),"",IF(AA83="","",VLOOKUP(AA83,DESCRIPTORS,4,TRUE)))</f>
        <v>Advancing</v>
      </c>
      <c r="AV83">
        <f>(T83/$T$10)*100</f>
        <v>82.5</v>
      </c>
      <c r="AW83">
        <f>(U83/$U$10)*100</f>
        <v>87.5</v>
      </c>
      <c r="AX83">
        <f>(V83/$V$10)*100</f>
        <v>77.5</v>
      </c>
    </row>
    <row r="84">
      <c r="A84">
        <v>22</v>
      </c>
      <c r="B84" t="str">
        <f>INPUT!B84</f>
        <v>Santos, Kayla</v>
      </c>
      <c r="F84">
        <v>20</v>
      </c>
      <c r="G84">
        <v>20</v>
      </c>
      <c r="H84">
        <v>20</v>
      </c>
      <c r="I84">
        <v>20</v>
      </c>
      <c r="J84">
        <v>20</v>
      </c>
      <c r="K84">
        <f>IF(COUNT($F84:$J84)=0,"",SUM($F84:$J84))</f>
        <v>100</v>
      </c>
      <c r="L84">
        <f>IF(ISERROR(IF($K84="","",ROUND(($K84/$K$10)*$L$10,2))),"",IF($K84="","",ROUND(($K84/$K$10)*$L$10,2)))</f>
        <v>100</v>
      </c>
      <c r="M84">
        <f>IF($L84="","",ROUND($L84*$M$10,2))</f>
        <v>20</v>
      </c>
      <c r="N84">
        <v>50</v>
      </c>
      <c r="O84">
        <v>50</v>
      </c>
      <c r="P84">
        <v>50</v>
      </c>
      <c r="Q84">
        <f>IF(COUNT($N84:$P84)=0,"",SUM($N84:$P84))</f>
        <v>150</v>
      </c>
      <c r="R84">
        <f>IF(ISERROR(IF($Q84="","",ROUND(($Q84/$Q$10)*$R$10,2))),"",IF($Q84="","",ROUND(($Q84/$Q$10)*$R$10,2)))</f>
        <v>100</v>
      </c>
      <c r="S84">
        <f>IF($R84="","",ROUND($R84*$S$10,2))</f>
        <v>50</v>
      </c>
      <c r="T84">
        <v>30</v>
      </c>
      <c r="U84">
        <v>25</v>
      </c>
      <c r="V84">
        <v>23</v>
      </c>
      <c r="W84">
        <f>IF(COUNT($T84:$V84)=0,"",SUM($T84:$V84))</f>
        <v>78</v>
      </c>
      <c r="X84">
        <f>IF(ISERROR(IF($W84="","",ROUND(($W84/$W$10)*$X$10,2))),"",IF($W84="","",ROUND(($W84/$W$10)*$X$10,2)))</f>
        <v>65</v>
      </c>
      <c r="Y84">
        <f>IF($X84="","",ROUND($X84*$Y$10,2))</f>
        <v>19.5</v>
      </c>
      <c r="Z84">
        <f>IF(ISERROR(IF($V84="","",ROUND(SUM($M84,$S84,$Y84),2))),"",IF($V84="","",ROUND(SUM($M84,$S84,$Y84),2)))</f>
        <v>89.5</v>
      </c>
      <c r="AA84">
        <f>IF(ISERROR(IF($V84="","",VLOOKUP(Z84,NewTransmu,4,TRUE))),"",IF($V84="","",VLOOKUP(Z84,NewTransmu,4,TRUE)))</f>
        <v>91</v>
      </c>
      <c r="AB84" t="str">
        <f>IF(ISERROR(IF(AA84="","",VLOOKUP(AA84,DESCRIPTORS,4,TRUE))),"",IF(AA84="","",VLOOKUP(AA84,DESCRIPTORS,4,TRUE)))</f>
        <v>Advancing</v>
      </c>
      <c r="AV84">
        <f>(T84/$T$10)*100</f>
        <v>75</v>
      </c>
      <c r="AW84">
        <f>(U84/$U$10)*100</f>
        <v>62.5</v>
      </c>
      <c r="AX84">
        <f>(V84/$V$10)*100</f>
        <v>57.49999999999999</v>
      </c>
    </row>
    <row r="85">
      <c r="A85">
        <v>23</v>
      </c>
      <c r="B85" t="str">
        <f>INPUT!B85</f>
        <v>Soriano, Kiana</v>
      </c>
      <c r="F85">
        <v>20</v>
      </c>
      <c r="G85">
        <v>20</v>
      </c>
      <c r="H85">
        <v>20</v>
      </c>
      <c r="I85">
        <v>20</v>
      </c>
      <c r="J85">
        <v>20</v>
      </c>
      <c r="K85">
        <f>IF(COUNT($F85:$J85)=0,"",SUM($F85:$J85))</f>
        <v>100</v>
      </c>
      <c r="L85">
        <f>IF(ISERROR(IF($K85="","",ROUND(($K85/$K$10)*$L$10,2))),"",IF($K85="","",ROUND(($K85/$K$10)*$L$10,2)))</f>
        <v>100</v>
      </c>
      <c r="M85">
        <f>IF($L85="","",ROUND($L85*$M$10,2))</f>
        <v>20</v>
      </c>
      <c r="N85">
        <v>50</v>
      </c>
      <c r="O85">
        <v>50</v>
      </c>
      <c r="P85">
        <v>50</v>
      </c>
      <c r="Q85">
        <f>IF(COUNT($N85:$P85)=0,"",SUM($N85:$P85))</f>
        <v>150</v>
      </c>
      <c r="R85">
        <f>IF(ISERROR(IF($Q85="","",ROUND(($Q85/$Q$10)*$R$10,2))),"",IF($Q85="","",ROUND(($Q85/$Q$10)*$R$10,2)))</f>
        <v>100</v>
      </c>
      <c r="S85">
        <f>IF($R85="","",ROUND($R85*$S$10,2))</f>
        <v>50</v>
      </c>
      <c r="T85">
        <v>37</v>
      </c>
      <c r="U85">
        <v>35</v>
      </c>
      <c r="V85">
        <v>37</v>
      </c>
      <c r="W85">
        <f>IF(COUNT($T85:$V85)=0,"",SUM($T85:$V85))</f>
        <v>109</v>
      </c>
      <c r="X85">
        <f>IF(ISERROR(IF($W85="","",ROUND(($W85/$W$10)*$X$10,2))),"",IF($W85="","",ROUND(($W85/$W$10)*$X$10,2)))</f>
        <v>90.83</v>
      </c>
      <c r="Y85">
        <f>IF($X85="","",ROUND($X85*$Y$10,2))</f>
        <v>27.25</v>
      </c>
      <c r="Z85">
        <f>IF(ISERROR(IF($V85="","",ROUND(SUM($M85,$S85,$Y85),2))),"",IF($V85="","",ROUND(SUM($M85,$S85,$Y85),2)))</f>
        <v>97.25</v>
      </c>
      <c r="AA85">
        <f>IF(ISERROR(IF($V85="","",VLOOKUP(Z85,NewTransmu,4,TRUE))),"",IF($V85="","",VLOOKUP(Z85,NewTransmu,4,TRUE)))</f>
        <v>98</v>
      </c>
      <c r="AB85" t="str">
        <f>IF(ISERROR(IF(AA85="","",VLOOKUP(AA85,DESCRIPTORS,4,TRUE))),"",IF(AA85="","",VLOOKUP(AA85,DESCRIPTORS,4,TRUE)))</f>
        <v>Advancing</v>
      </c>
      <c r="AV85">
        <f>(T85/$T$10)*100</f>
        <v>92.5</v>
      </c>
      <c r="AW85">
        <f>(U85/$U$10)*100</f>
        <v>87.5</v>
      </c>
      <c r="AX85">
        <f>(V85/$V$10)*100</f>
        <v>92.5</v>
      </c>
    </row>
    <row r="86">
      <c r="A86">
        <v>24</v>
      </c>
      <c r="B86" t="str">
        <f>INPUT!B86</f>
        <v>Torres, Leah</v>
      </c>
      <c r="F86">
        <v>20</v>
      </c>
      <c r="G86">
        <v>20</v>
      </c>
      <c r="H86">
        <v>20</v>
      </c>
      <c r="I86">
        <v>20</v>
      </c>
      <c r="J86">
        <v>20</v>
      </c>
      <c r="K86">
        <f>IF(COUNT($F86:$J86)=0,"",SUM($F86:$J86))</f>
        <v>100</v>
      </c>
      <c r="L86">
        <f>IF(ISERROR(IF($K86="","",ROUND(($K86/$K$10)*$L$10,2))),"",IF($K86="","",ROUND(($K86/$K$10)*$L$10,2)))</f>
        <v>100</v>
      </c>
      <c r="M86">
        <f>IF($L86="","",ROUND($L86*$M$10,2))</f>
        <v>20</v>
      </c>
      <c r="N86">
        <v>50</v>
      </c>
      <c r="O86">
        <v>50</v>
      </c>
      <c r="P86">
        <v>50</v>
      </c>
      <c r="Q86">
        <f>IF(COUNT($N86:$P86)=0,"",SUM($N86:$P86))</f>
        <v>150</v>
      </c>
      <c r="R86">
        <f>IF(ISERROR(IF($Q86="","",ROUND(($Q86/$Q$10)*$R$10,2))),"",IF($Q86="","",ROUND(($Q86/$Q$10)*$R$10,2)))</f>
        <v>100</v>
      </c>
      <c r="S86">
        <f>IF($R86="","",ROUND($R86*$S$10,2))</f>
        <v>50</v>
      </c>
      <c r="T86">
        <v>36</v>
      </c>
      <c r="U86">
        <v>36</v>
      </c>
      <c r="V86">
        <v>35</v>
      </c>
      <c r="W86">
        <f>IF(COUNT($T86:$V86)=0,"",SUM($T86:$V86))</f>
        <v>107</v>
      </c>
      <c r="X86">
        <f>IF(ISERROR(IF($W86="","",ROUND(($W86/$W$10)*$X$10,2))),"",IF($W86="","",ROUND(($W86/$W$10)*$X$10,2)))</f>
        <v>89.17</v>
      </c>
      <c r="Y86">
        <f>IF($X86="","",ROUND($X86*$Y$10,2))</f>
        <v>26.75</v>
      </c>
      <c r="Z86">
        <f>IF(ISERROR(IF($V86="","",ROUND(SUM($M86,$S86,$Y86),2))),"",IF($V86="","",ROUND(SUM($M86,$S86,$Y86),2)))</f>
        <v>96.75</v>
      </c>
      <c r="AA86">
        <f>IF(ISERROR(IF($V86="","",VLOOKUP(Z86,NewTransmu,4,TRUE))),"",IF($V86="","",VLOOKUP(Z86,NewTransmu,4,TRUE)))</f>
        <v>98</v>
      </c>
      <c r="AB86" t="str">
        <f>IF(ISERROR(IF(AA86="","",VLOOKUP(AA86,DESCRIPTORS,4,TRUE))),"",IF(AA86="","",VLOOKUP(AA86,DESCRIPTORS,4,TRUE)))</f>
        <v>Advancing</v>
      </c>
      <c r="AV86">
        <f>(T86/$T$10)*100</f>
        <v>90</v>
      </c>
      <c r="AW86">
        <f>(U86/$U$10)*100</f>
        <v>90</v>
      </c>
      <c r="AX86">
        <f>(V86/$V$10)*100</f>
        <v>87.5</v>
      </c>
    </row>
    <row r="87">
      <c r="A87">
        <v>25</v>
      </c>
      <c r="B87" t="str">
        <f>INPUT!B87</f>
        <v>Valdez, Liana</v>
      </c>
      <c r="F87">
        <v>20</v>
      </c>
      <c r="G87">
        <v>20</v>
      </c>
      <c r="H87">
        <v>20</v>
      </c>
      <c r="I87">
        <v>20</v>
      </c>
      <c r="J87">
        <v>20</v>
      </c>
      <c r="K87">
        <f>IF(COUNT($F87:$J87)=0,"",SUM($F87:$J87))</f>
        <v>100</v>
      </c>
      <c r="L87">
        <f>IF(ISERROR(IF($K87="","",ROUND(($K87/$K$10)*$L$10,2))),"",IF($K87="","",ROUND(($K87/$K$10)*$L$10,2)))</f>
        <v>100</v>
      </c>
      <c r="M87">
        <f>IF($L87="","",ROUND($L87*$M$10,2))</f>
        <v>20</v>
      </c>
      <c r="N87">
        <v>50</v>
      </c>
      <c r="O87">
        <v>50</v>
      </c>
      <c r="P87">
        <v>50</v>
      </c>
      <c r="Q87">
        <f>IF(COUNT($N87:$P87)=0,"",SUM($N87:$P87))</f>
        <v>150</v>
      </c>
      <c r="R87">
        <f>IF(ISERROR(IF($Q87="","",ROUND(($Q87/$Q$10)*$R$10,2))),"",IF($Q87="","",ROUND(($Q87/$Q$10)*$R$10,2)))</f>
        <v>100</v>
      </c>
      <c r="S87">
        <f>IF($R87="","",ROUND($R87*$S$10,2))</f>
        <v>50</v>
      </c>
      <c r="T87">
        <v>35</v>
      </c>
      <c r="U87">
        <v>34</v>
      </c>
      <c r="V87">
        <v>34</v>
      </c>
      <c r="W87">
        <f>IF(COUNT($T87:$V87)=0,"",SUM($T87:$V87))</f>
        <v>103</v>
      </c>
      <c r="X87">
        <f>IF(ISERROR(IF($W87="","",ROUND(($W87/$W$10)*$X$10,2))),"",IF($W87="","",ROUND(($W87/$W$10)*$X$10,2)))</f>
        <v>85.83</v>
      </c>
      <c r="Y87">
        <f>IF($X87="","",ROUND($X87*$Y$10,2))</f>
        <v>25.75</v>
      </c>
      <c r="Z87">
        <f>IF(ISERROR(IF($V87="","",ROUND(SUM($M87,$S87,$Y87),2))),"",IF($V87="","",ROUND(SUM($M87,$S87,$Y87),2)))</f>
        <v>95.75</v>
      </c>
      <c r="AA87">
        <f>IF(ISERROR(IF($V87="","",VLOOKUP(Z87,NewTransmu,4,TRUE))),"",IF($V87="","",VLOOKUP(Z87,NewTransmu,4,TRUE)))</f>
        <v>97</v>
      </c>
      <c r="AB87" t="str">
        <f>IF(ISERROR(IF(AA87="","",VLOOKUP(AA87,DESCRIPTORS,4,TRUE))),"",IF(AA87="","",VLOOKUP(AA87,DESCRIPTORS,4,TRUE)))</f>
        <v>Advancing</v>
      </c>
      <c r="AV87">
        <f>(T87/$T$10)*100</f>
        <v>87.5</v>
      </c>
      <c r="AW87">
        <f>(U87/$U$10)*100</f>
        <v>85</v>
      </c>
      <c r="AX87">
        <f>(V87/$V$10)*100</f>
        <v>85</v>
      </c>
    </row>
    <row r="88">
      <c r="A88">
        <v>26</v>
      </c>
      <c r="B88" t="str">
        <f>INPUT!B88</f>
        <v>Velasco, Lia</v>
      </c>
      <c r="F88">
        <v>20</v>
      </c>
      <c r="G88">
        <v>20</v>
      </c>
      <c r="H88">
        <v>20</v>
      </c>
      <c r="I88">
        <v>20</v>
      </c>
      <c r="J88">
        <v>20</v>
      </c>
      <c r="K88">
        <f>IF(COUNT($F88:$J88)=0,"",SUM($F88:$J88))</f>
        <v>100</v>
      </c>
      <c r="L88">
        <f>IF(ISERROR(IF($K88="","",ROUND(($K88/$K$10)*$L$10,2))),"",IF($K88="","",ROUND(($K88/$K$10)*$L$10,2)))</f>
        <v>100</v>
      </c>
      <c r="M88">
        <f>IF($L88="","",ROUND($L88*$M$10,2))</f>
        <v>20</v>
      </c>
      <c r="N88">
        <v>50</v>
      </c>
      <c r="O88">
        <v>50</v>
      </c>
      <c r="P88">
        <v>50</v>
      </c>
      <c r="Q88">
        <f>IF(COUNT($N88:$P88)=0,"",SUM($N88:$P88))</f>
        <v>150</v>
      </c>
      <c r="R88">
        <f>IF(ISERROR(IF($Q88="","",ROUND(($Q88/$Q$10)*$R$10,2))),"",IF($Q88="","",ROUND(($Q88/$Q$10)*$R$10,2)))</f>
        <v>100</v>
      </c>
      <c r="S88">
        <f>IF($R88="","",ROUND($R88*$S$10,2))</f>
        <v>50</v>
      </c>
      <c r="T88">
        <v>32</v>
      </c>
      <c r="U88">
        <v>34</v>
      </c>
      <c r="V88">
        <v>34</v>
      </c>
      <c r="W88">
        <f>IF(COUNT($T88:$V88)=0,"",SUM($T88:$V88))</f>
        <v>100</v>
      </c>
      <c r="X88">
        <f>IF(ISERROR(IF($W88="","",ROUND(($W88/$W$10)*$X$10,2))),"",IF($W88="","",ROUND(($W88/$W$10)*$X$10,2)))</f>
        <v>83.33</v>
      </c>
      <c r="Y88">
        <f>IF($X88="","",ROUND($X88*$Y$10,2))</f>
        <v>25</v>
      </c>
      <c r="Z88">
        <f>IF(ISERROR(IF($V88="","",ROUND(SUM($M88,$S88,$Y88),2))),"",IF($V88="","",ROUND(SUM($M88,$S88,$Y88),2)))</f>
        <v>95</v>
      </c>
      <c r="AA88">
        <f>IF(ISERROR(IF($V88="","",VLOOKUP(Z88,NewTransmu,4,TRUE))),"",IF($V88="","",VLOOKUP(Z88,NewTransmu,4,TRUE)))</f>
        <v>97</v>
      </c>
      <c r="AB88" t="str">
        <f>IF(ISERROR(IF(AA88="","",VLOOKUP(AA88,DESCRIPTORS,4,TRUE))),"",IF(AA88="","",VLOOKUP(AA88,DESCRIPTORS,4,TRUE)))</f>
        <v>Advancing</v>
      </c>
      <c r="AV88">
        <f>(T88/$T$10)*100</f>
        <v>80</v>
      </c>
      <c r="AW88">
        <f>(U88/$U$10)*100</f>
        <v>85</v>
      </c>
      <c r="AX88">
        <f>(V88/$V$10)*100</f>
        <v>85</v>
      </c>
    </row>
    <row r="89">
      <c r="A89">
        <v>27</v>
      </c>
      <c r="B89" t="str">
        <f>INPUT!B89</f>
        <v>Villanueva, Mara</v>
      </c>
      <c r="F89">
        <v>20</v>
      </c>
      <c r="G89">
        <v>20</v>
      </c>
      <c r="H89">
        <v>20</v>
      </c>
      <c r="I89">
        <v>20</v>
      </c>
      <c r="J89">
        <v>20</v>
      </c>
      <c r="K89">
        <f>IF(COUNT($F89:$J89)=0,"",SUM($F89:$J89))</f>
        <v>100</v>
      </c>
      <c r="L89">
        <f>IF(ISERROR(IF($K89="","",ROUND(($K89/$K$10)*$L$10,2))),"",IF($K89="","",ROUND(($K89/$K$10)*$L$10,2)))</f>
        <v>100</v>
      </c>
      <c r="M89">
        <f>IF($L89="","",ROUND($L89*$M$10,2))</f>
        <v>20</v>
      </c>
      <c r="N89">
        <v>50</v>
      </c>
      <c r="O89">
        <v>50</v>
      </c>
      <c r="P89">
        <v>50</v>
      </c>
      <c r="Q89">
        <f>IF(COUNT($N89:$P89)=0,"",SUM($N89:$P89))</f>
        <v>150</v>
      </c>
      <c r="R89">
        <f>IF(ISERROR(IF($Q89="","",ROUND(($Q89/$Q$10)*$R$10,2))),"",IF($Q89="","",ROUND(($Q89/$Q$10)*$R$10,2)))</f>
        <v>100</v>
      </c>
      <c r="S89">
        <f>IF($R89="","",ROUND($R89*$S$10,2))</f>
        <v>50</v>
      </c>
      <c r="T89">
        <v>38</v>
      </c>
      <c r="U89">
        <v>37</v>
      </c>
      <c r="V89">
        <v>39</v>
      </c>
      <c r="W89">
        <f>IF(COUNT($T89:$V89)=0,"",SUM($T89:$V89))</f>
        <v>114</v>
      </c>
      <c r="X89">
        <f>IF(ISERROR(IF($W89="","",ROUND(($W89/$W$10)*$X$10,2))),"",IF($W89="","",ROUND(($W89/$W$10)*$X$10,2)))</f>
        <v>95</v>
      </c>
      <c r="Y89">
        <f>IF($X89="","",ROUND($X89*$Y$10,2))</f>
        <v>28.5</v>
      </c>
      <c r="Z89">
        <f>IF(ISERROR(IF($V89="","",ROUND(SUM($M89,$S89,$Y89),2))),"",IF($V89="","",ROUND(SUM($M89,$S89,$Y89),2)))</f>
        <v>98.5</v>
      </c>
      <c r="AA89">
        <f>IF(ISERROR(IF($V89="","",VLOOKUP(Z89,NewTransmu,4,TRUE))),"",IF($V89="","",VLOOKUP(Z89,NewTransmu,4,TRUE)))</f>
        <v>99</v>
      </c>
      <c r="AB89" t="str">
        <f>IF(ISERROR(IF(AA89="","",VLOOKUP(AA89,DESCRIPTORS,4,TRUE))),"",IF(AA89="","",VLOOKUP(AA89,DESCRIPTORS,4,TRUE)))</f>
        <v>Advancing</v>
      </c>
      <c r="AV89">
        <f>(T89/$T$10)*100</f>
        <v>95</v>
      </c>
      <c r="AW89">
        <f>(U89/$U$10)*100</f>
        <v>92.5</v>
      </c>
      <c r="AX89">
        <f>(V89/$V$10)*100</f>
        <v>97.5</v>
      </c>
    </row>
    <row r="90">
      <c r="A90">
        <v>28</v>
      </c>
      <c r="B90" t="str">
        <f>INPUT!B90</f>
        <v>Yap, Maria</v>
      </c>
      <c r="F90">
        <v>20</v>
      </c>
      <c r="G90">
        <v>20</v>
      </c>
      <c r="H90">
        <v>20</v>
      </c>
      <c r="I90">
        <v>20</v>
      </c>
      <c r="J90">
        <v>20</v>
      </c>
      <c r="K90">
        <f>IF(COUNT($F90:$J90)=0,"",SUM($F90:$J90))</f>
        <v>100</v>
      </c>
      <c r="L90">
        <f>IF(ISERROR(IF($K90="","",ROUND(($K90/$K$10)*$L$10,2))),"",IF($K90="","",ROUND(($K90/$K$10)*$L$10,2)))</f>
        <v>100</v>
      </c>
      <c r="M90">
        <f>IF($L90="","",ROUND($L90*$M$10,2))</f>
        <v>20</v>
      </c>
      <c r="N90">
        <v>50</v>
      </c>
      <c r="O90">
        <v>50</v>
      </c>
      <c r="P90">
        <v>50</v>
      </c>
      <c r="Q90">
        <f>IF(COUNT($N90:$P90)=0,"",SUM($N90:$P90))</f>
        <v>150</v>
      </c>
      <c r="R90">
        <f>IF(ISERROR(IF($Q90="","",ROUND(($Q90/$Q$10)*$R$10,2))),"",IF($Q90="","",ROUND(($Q90/$Q$10)*$R$10,2)))</f>
        <v>100</v>
      </c>
      <c r="S90">
        <f>IF($R90="","",ROUND($R90*$S$10,2))</f>
        <v>50</v>
      </c>
      <c r="T90">
        <v>33</v>
      </c>
      <c r="U90">
        <v>31</v>
      </c>
      <c r="V90">
        <v>34</v>
      </c>
      <c r="W90">
        <f>IF(COUNT($T90:$V90)=0,"",SUM($T90:$V90))</f>
        <v>98</v>
      </c>
      <c r="X90">
        <f>IF(ISERROR(IF($W90="","",ROUND(($W90/$W$10)*$X$10,2))),"",IF($W90="","",ROUND(($W90/$W$10)*$X$10,2)))</f>
        <v>81.67</v>
      </c>
      <c r="Y90">
        <f>IF($X90="","",ROUND($X90*$Y$10,2))</f>
        <v>24.5</v>
      </c>
      <c r="Z90">
        <f>IF(ISERROR(IF($V90="","",ROUND(SUM($M90,$S90,$Y90),2))),"",IF($V90="","",ROUND(SUM($M90,$S90,$Y90),2)))</f>
        <v>94.5</v>
      </c>
      <c r="AA90">
        <f>IF(ISERROR(IF($V90="","",VLOOKUP(Z90,NewTransmu,4,TRUE))),"",IF($V90="","",VLOOKUP(Z90,NewTransmu,4,TRUE)))</f>
        <v>96</v>
      </c>
      <c r="AB90" t="str">
        <f>IF(ISERROR(IF(AA90="","",VLOOKUP(AA90,DESCRIPTORS,4,TRUE))),"",IF(AA90="","",VLOOKUP(AA90,DESCRIPTORS,4,TRUE)))</f>
        <v>Advancing</v>
      </c>
      <c r="AV90">
        <f>(T90/$T$10)*100</f>
        <v>82.5</v>
      </c>
      <c r="AW90">
        <f>(U90/$U$10)*100</f>
        <v>77.5</v>
      </c>
      <c r="AX90">
        <f>(V90/$V$10)*100</f>
        <v>85</v>
      </c>
    </row>
    <row r="91">
      <c r="A91">
        <v>29</v>
      </c>
      <c r="B91" t="str">
        <f>INPUT!B91</f>
        <v>Zamora, Mika</v>
      </c>
      <c r="F91">
        <v>20</v>
      </c>
      <c r="G91">
        <v>20</v>
      </c>
      <c r="H91">
        <v>20</v>
      </c>
      <c r="I91">
        <v>20</v>
      </c>
      <c r="J91">
        <v>20</v>
      </c>
      <c r="K91">
        <f>IF(COUNT($F91:$J91)=0,"",SUM($F91:$J91))</f>
        <v>100</v>
      </c>
      <c r="L91">
        <f>IF(ISERROR(IF($K91="","",ROUND(($K91/$K$10)*$L$10,2))),"",IF($K91="","",ROUND(($K91/$K$10)*$L$10,2)))</f>
        <v>100</v>
      </c>
      <c r="M91">
        <f>IF($L91="","",ROUND($L91*$M$10,2))</f>
        <v>20</v>
      </c>
      <c r="N91">
        <v>50</v>
      </c>
      <c r="O91">
        <v>50</v>
      </c>
      <c r="P91">
        <v>50</v>
      </c>
      <c r="Q91">
        <f>IF(COUNT($N91:$P91)=0,"",SUM($N91:$P91))</f>
        <v>150</v>
      </c>
      <c r="R91">
        <f>IF(ISERROR(IF($Q91="","",ROUND(($Q91/$Q$10)*$R$10,2))),"",IF($Q91="","",ROUND(($Q91/$Q$10)*$R$10,2)))</f>
        <v>100</v>
      </c>
      <c r="S91">
        <f>IF($R91="","",ROUND($R91*$S$10,2))</f>
        <v>50</v>
      </c>
      <c r="T91">
        <v>31</v>
      </c>
      <c r="U91">
        <v>30</v>
      </c>
      <c r="V91">
        <v>34</v>
      </c>
      <c r="W91">
        <f>IF(COUNT($T91:$V91)=0,"",SUM($T91:$V91))</f>
        <v>95</v>
      </c>
      <c r="X91">
        <f>IF(ISERROR(IF($W91="","",ROUND(($W91/$W$10)*$X$10,2))),"",IF($W91="","",ROUND(($W91/$W$10)*$X$10,2)))</f>
        <v>79.17</v>
      </c>
      <c r="Y91">
        <f>IF($X91="","",ROUND($X91*$Y$10,2))</f>
        <v>23.75</v>
      </c>
      <c r="Z91">
        <f>IF(ISERROR(IF($V91="","",ROUND(SUM($M91,$S91,$Y91),2))),"",IF($V91="","",ROUND(SUM($M91,$S91,$Y91),2)))</f>
        <v>93.75</v>
      </c>
      <c r="AA91">
        <f>IF(ISERROR(IF($V91="","",VLOOKUP(Z91,NewTransmu,4,TRUE))),"",IF($V91="","",VLOOKUP(Z91,NewTransmu,4,TRUE)))</f>
        <v>95</v>
      </c>
      <c r="AB91" t="str">
        <f>IF(ISERROR(IF(AA91="","",VLOOKUP(AA91,DESCRIPTORS,4,TRUE))),"",IF(AA91="","",VLOOKUP(AA91,DESCRIPTORS,4,TRUE)))</f>
        <v>Advancing</v>
      </c>
      <c r="AV91">
        <f>(T91/$T$10)*100</f>
        <v>77.5</v>
      </c>
      <c r="AW91">
        <f>(U91/$U$10)*100</f>
        <v>75</v>
      </c>
      <c r="AX91">
        <f>(V91/$V$10)*100</f>
        <v>85</v>
      </c>
    </row>
    <row r="92">
      <c r="A92">
        <v>30</v>
      </c>
      <c r="B92" t="str">
        <f>INPUT!B92</f>
        <v>Zuniga, Nicole</v>
      </c>
      <c r="F92">
        <v>20</v>
      </c>
      <c r="G92">
        <v>20</v>
      </c>
      <c r="H92">
        <v>20</v>
      </c>
      <c r="I92">
        <v>20</v>
      </c>
      <c r="J92">
        <v>20</v>
      </c>
      <c r="K92">
        <f>IF(COUNT($F92:$J92)=0,"",SUM($F92:$J92))</f>
        <v>100</v>
      </c>
      <c r="L92">
        <f>IF(ISERROR(IF($K92="","",ROUND(($K92/$K$10)*$L$10,2))),"",IF($K92="","",ROUND(($K92/$K$10)*$L$10,2)))</f>
        <v>100</v>
      </c>
      <c r="M92">
        <f>IF($L92="","",ROUND($L92*$M$10,2))</f>
        <v>20</v>
      </c>
      <c r="N92">
        <v>50</v>
      </c>
      <c r="O92">
        <v>50</v>
      </c>
      <c r="P92">
        <v>50</v>
      </c>
      <c r="Q92">
        <f>IF(COUNT($N92:$P92)=0,"",SUM($N92:$P92))</f>
        <v>150</v>
      </c>
      <c r="R92">
        <f>IF(ISERROR(IF($Q92="","",ROUND(($Q92/$Q$10)*$R$10,2))),"",IF($Q92="","",ROUND(($Q92/$Q$10)*$R$10,2)))</f>
        <v>100</v>
      </c>
      <c r="S92">
        <f>IF($R92="","",ROUND($R92*$S$10,2))</f>
        <v>50</v>
      </c>
      <c r="T92">
        <v>32</v>
      </c>
      <c r="U92">
        <v>39</v>
      </c>
      <c r="V92">
        <v>40</v>
      </c>
      <c r="W92">
        <f>IF(COUNT($T92:$V92)=0,"",SUM($T92:$V92))</f>
        <v>111</v>
      </c>
      <c r="X92">
        <f>IF(ISERROR(IF($W92="","",ROUND(($W92/$W$10)*$X$10,2))),"",IF($W92="","",ROUND(($W92/$W$10)*$X$10,2)))</f>
        <v>92.5</v>
      </c>
      <c r="Y92">
        <f>IF($X92="","",ROUND($X92*$Y$10,2))</f>
        <v>27.75</v>
      </c>
      <c r="Z92">
        <f>IF(ISERROR(IF($V92="","",ROUND(SUM($M92,$S92,$Y92),2))),"",IF($V92="","",ROUND(SUM($M92,$S92,$Y92),2)))</f>
        <v>97.75</v>
      </c>
      <c r="AA92">
        <f>IF(ISERROR(IF($V92="","",VLOOKUP(Z92,NewTransmu,4,TRUE))),"",IF($V92="","",VLOOKUP(Z92,NewTransmu,4,TRUE)))</f>
        <v>99</v>
      </c>
      <c r="AB92" t="str">
        <f>IF(ISERROR(IF(AA92="","",VLOOKUP(AA92,DESCRIPTORS,4,TRUE))),"",IF(AA92="","",VLOOKUP(AA92,DESCRIPTORS,4,TRUE)))</f>
        <v>Advancing</v>
      </c>
      <c r="AV92">
        <f>(T92/$T$10)*100</f>
        <v>80</v>
      </c>
      <c r="AW92">
        <f>(U92/$U$10)*100</f>
        <v>97.5</v>
      </c>
      <c r="AX92">
        <f>(V92/$V$10)*100</f>
        <v>100</v>
      </c>
    </row>
    <row r="93">
      <c r="A93">
        <v>31</v>
      </c>
      <c r="B93" t="str">
        <f>INPUT!B93</f>
        <v>Abad, Patricia</v>
      </c>
      <c r="F93">
        <v>20</v>
      </c>
      <c r="G93">
        <v>20</v>
      </c>
      <c r="H93">
        <v>20</v>
      </c>
      <c r="I93">
        <v>20</v>
      </c>
      <c r="J93">
        <v>20</v>
      </c>
      <c r="K93">
        <f>IF(COUNT($F93:$J93)=0,"",SUM($F93:$J93))</f>
        <v>100</v>
      </c>
      <c r="L93">
        <f>IF(ISERROR(IF($K93="","",ROUND(($K93/$K$10)*$L$10,2))),"",IF($K93="","",ROUND(($K93/$K$10)*$L$10,2)))</f>
        <v>100</v>
      </c>
      <c r="M93">
        <f>IF($L93="","",ROUND($L93*$M$10,2))</f>
        <v>20</v>
      </c>
      <c r="N93">
        <v>50</v>
      </c>
      <c r="O93">
        <v>50</v>
      </c>
      <c r="P93">
        <v>50</v>
      </c>
      <c r="Q93">
        <f>IF(COUNT($N93:$P93)=0,"",SUM($N93:$P93))</f>
        <v>150</v>
      </c>
      <c r="R93">
        <f>IF(ISERROR(IF($Q93="","",ROUND(($Q93/$Q$10)*$R$10,2))),"",IF($Q93="","",ROUND(($Q93/$Q$10)*$R$10,2)))</f>
        <v>100</v>
      </c>
      <c r="S93">
        <f>IF($R93="","",ROUND($R93*$S$10,2))</f>
        <v>50</v>
      </c>
      <c r="T93">
        <v>34</v>
      </c>
      <c r="U93">
        <v>33</v>
      </c>
      <c r="V93">
        <v>35</v>
      </c>
      <c r="W93">
        <f>IF(COUNT($T93:$V93)=0,"",SUM($T93:$V93))</f>
        <v>102</v>
      </c>
      <c r="X93">
        <f>IF(ISERROR(IF($W93="","",ROUND(($W93/$W$10)*$X$10,2))),"",IF($W93="","",ROUND(($W93/$W$10)*$X$10,2)))</f>
        <v>85</v>
      </c>
      <c r="Y93">
        <f>IF($X93="","",ROUND($X93*$Y$10,2))</f>
        <v>25.5</v>
      </c>
      <c r="Z93">
        <f>IF(ISERROR(IF($V93="","",ROUND(SUM($M93,$S93,$Y93),2))),"",IF($V93="","",ROUND(SUM($M93,$S93,$Y93),2)))</f>
        <v>95.5</v>
      </c>
      <c r="AA93">
        <f>IF(ISERROR(IF($V93="","",VLOOKUP(Z93,NewTransmu,4,TRUE))),"",IF($V93="","",VLOOKUP(Z93,NewTransmu,4,TRUE)))</f>
        <v>97</v>
      </c>
      <c r="AB93" t="str">
        <f>IF(ISERROR(IF(AA93="","",VLOOKUP(AA93,DESCRIPTORS,4,TRUE))),"",IF(AA93="","",VLOOKUP(AA93,DESCRIPTORS,4,TRUE)))</f>
        <v>Advancing</v>
      </c>
      <c r="AV93">
        <f>(T93/$T$10)*100</f>
        <v>85</v>
      </c>
      <c r="AW93">
        <f>(U93/$U$10)*100</f>
        <v>82.5</v>
      </c>
      <c r="AX93">
        <f>(V93/$V$10)*100</f>
        <v>87.5</v>
      </c>
    </row>
    <row r="94">
      <c r="A94">
        <v>32</v>
      </c>
      <c r="B94" t="str">
        <f>INPUT!B94</f>
        <v>Agustin, Rachel</v>
      </c>
      <c r="F94">
        <v>20</v>
      </c>
      <c r="G94">
        <v>20</v>
      </c>
      <c r="H94">
        <v>20</v>
      </c>
      <c r="I94">
        <v>20</v>
      </c>
      <c r="J94">
        <v>20</v>
      </c>
      <c r="K94">
        <f>IF(COUNT($F94:$J94)=0,"",SUM($F94:$J94))</f>
        <v>100</v>
      </c>
      <c r="L94">
        <f>IF(ISERROR(IF($K94="","",ROUND(($K94/$K$10)*$L$10,2))),"",IF($K94="","",ROUND(($K94/$K$10)*$L$10,2)))</f>
        <v>100</v>
      </c>
      <c r="M94">
        <f>IF($L94="","",ROUND($L94*$M$10,2))</f>
        <v>20</v>
      </c>
      <c r="N94">
        <v>50</v>
      </c>
      <c r="O94">
        <v>50</v>
      </c>
      <c r="P94">
        <v>50</v>
      </c>
      <c r="Q94">
        <f>IF(COUNT($N94:$P94)=0,"",SUM($N94:$P94))</f>
        <v>150</v>
      </c>
      <c r="R94">
        <f>IF(ISERROR(IF($Q94="","",ROUND(($Q94/$Q$10)*$R$10,2))),"",IF($Q94="","",ROUND(($Q94/$Q$10)*$R$10,2)))</f>
        <v>100</v>
      </c>
      <c r="S94">
        <f>IF($R94="","",ROUND($R94*$S$10,2))</f>
        <v>50</v>
      </c>
      <c r="T94">
        <v>37</v>
      </c>
      <c r="U94">
        <v>34</v>
      </c>
      <c r="V94">
        <v>38</v>
      </c>
      <c r="W94">
        <f>IF(COUNT($T94:$V94)=0,"",SUM($T94:$V94))</f>
        <v>109</v>
      </c>
      <c r="X94">
        <f>IF(ISERROR(IF($W94="","",ROUND(($W94/$W$10)*$X$10,2))),"",IF($W94="","",ROUND(($W94/$W$10)*$X$10,2)))</f>
        <v>90.83</v>
      </c>
      <c r="Y94">
        <f>IF($X94="","",ROUND($X94*$Y$10,2))</f>
        <v>27.25</v>
      </c>
      <c r="Z94">
        <f>IF(ISERROR(IF($V94="","",ROUND(SUM($M94,$S94,$Y94),2))),"",IF($V94="","",ROUND(SUM($M94,$S94,$Y94),2)))</f>
        <v>97.25</v>
      </c>
      <c r="AA94">
        <f>IF(ISERROR(IF($V94="","",VLOOKUP(Z94,NewTransmu,4,TRUE))),"",IF($V94="","",VLOOKUP(Z94,NewTransmu,4,TRUE)))</f>
        <v>98</v>
      </c>
      <c r="AB94" t="str">
        <f>IF(ISERROR(IF(AA94="","",VLOOKUP(AA94,DESCRIPTORS,4,TRUE))),"",IF(AA94="","",VLOOKUP(AA94,DESCRIPTORS,4,TRUE)))</f>
        <v>Advancing</v>
      </c>
      <c r="AV94">
        <f>(T94/$T$10)*100</f>
        <v>92.5</v>
      </c>
      <c r="AW94">
        <f>(U94/$U$10)*100</f>
        <v>85</v>
      </c>
      <c r="AX94">
        <f>(V94/$V$10)*100</f>
        <v>95</v>
      </c>
    </row>
    <row r="95">
      <c r="A95">
        <v>33</v>
      </c>
      <c r="B95" t="str">
        <f>INPUT!B95</f>
        <v>Alvarez, Rebecca</v>
      </c>
      <c r="F95">
        <v>20</v>
      </c>
      <c r="G95">
        <v>20</v>
      </c>
      <c r="H95">
        <v>20</v>
      </c>
      <c r="I95">
        <v>20</v>
      </c>
      <c r="J95">
        <v>20</v>
      </c>
      <c r="K95">
        <f>IF(COUNT($F95:$J95)=0,"",SUM($F95:$J95))</f>
        <v>100</v>
      </c>
      <c r="L95">
        <f>IF(ISERROR(IF($K95="","",ROUND(($K95/$K$10)*$L$10,2))),"",IF($K95="","",ROUND(($K95/$K$10)*$L$10,2)))</f>
        <v>100</v>
      </c>
      <c r="M95">
        <f>IF($L95="","",ROUND($L95*$M$10,2))</f>
        <v>20</v>
      </c>
      <c r="N95">
        <v>50</v>
      </c>
      <c r="O95">
        <v>50</v>
      </c>
      <c r="P95">
        <v>50</v>
      </c>
      <c r="Q95">
        <f>IF(COUNT($N95:$P95)=0,"",SUM($N95:$P95))</f>
        <v>150</v>
      </c>
      <c r="R95">
        <f>IF(ISERROR(IF($Q95="","",ROUND(($Q95/$Q$10)*$R$10,2))),"",IF($Q95="","",ROUND(($Q95/$Q$10)*$R$10,2)))</f>
        <v>100</v>
      </c>
      <c r="S95">
        <f>IF($R95="","",ROUND($R95*$S$10,2))</f>
        <v>50</v>
      </c>
      <c r="T95">
        <v>32</v>
      </c>
      <c r="U95">
        <v>33</v>
      </c>
      <c r="V95">
        <v>33</v>
      </c>
      <c r="W95">
        <f>IF(COUNT($T95:$V95)=0,"",SUM($T95:$V95))</f>
        <v>98</v>
      </c>
      <c r="X95">
        <f>IF(ISERROR(IF($W95="","",ROUND(($W95/$W$10)*$X$10,2))),"",IF($W95="","",ROUND(($W95/$W$10)*$X$10,2)))</f>
        <v>81.67</v>
      </c>
      <c r="Y95">
        <f>IF($X95="","",ROUND($X95*$Y$10,2))</f>
        <v>24.5</v>
      </c>
      <c r="Z95">
        <f>IF(ISERROR(IF($V95="","",ROUND(SUM($M95,$S95,$Y95),2))),"",IF($V95="","",ROUND(SUM($M95,$S95,$Y95),2)))</f>
        <v>94.5</v>
      </c>
      <c r="AA95">
        <f>IF(ISERROR(IF($V95="","",VLOOKUP(Z95,NewTransmu,4,TRUE))),"",IF($V95="","",VLOOKUP(Z95,NewTransmu,4,TRUE)))</f>
        <v>96</v>
      </c>
      <c r="AB95" t="str">
        <f>IF(ISERROR(IF(AA95="","",VLOOKUP(AA95,DESCRIPTORS,4,TRUE))),"",IF(AA95="","",VLOOKUP(AA95,DESCRIPTORS,4,TRUE)))</f>
        <v>Advancing</v>
      </c>
      <c r="AV95">
        <f>(T95/$T$10)*100</f>
        <v>80</v>
      </c>
      <c r="AW95">
        <f>(U95/$U$10)*100</f>
        <v>82.5</v>
      </c>
      <c r="AX95">
        <f>(V95/$V$10)*100</f>
        <v>82.5</v>
      </c>
    </row>
    <row r="96">
      <c r="A96">
        <v>34</v>
      </c>
      <c r="B96" t="str">
        <f>INPUT!B96</f>
        <v>Aquino, Rhea</v>
      </c>
      <c r="F96">
        <v>20</v>
      </c>
      <c r="G96">
        <v>20</v>
      </c>
      <c r="H96">
        <v>20</v>
      </c>
      <c r="I96">
        <v>20</v>
      </c>
      <c r="J96">
        <v>20</v>
      </c>
      <c r="K96">
        <f>IF(COUNT($F96:$J96)=0,"",SUM($F96:$J96))</f>
        <v>100</v>
      </c>
      <c r="L96">
        <f>IF(ISERROR(IF($K96="","",ROUND(($K96/$K$10)*$L$10,2))),"",IF($K96="","",ROUND(($K96/$K$10)*$L$10,2)))</f>
        <v>100</v>
      </c>
      <c r="M96">
        <f>IF($L96="","",ROUND($L96*$M$10,2))</f>
        <v>20</v>
      </c>
      <c r="N96">
        <v>50</v>
      </c>
      <c r="O96">
        <v>50</v>
      </c>
      <c r="P96">
        <v>50</v>
      </c>
      <c r="Q96">
        <f>IF(COUNT($N96:$P96)=0,"",SUM($N96:$P96))</f>
        <v>150</v>
      </c>
      <c r="R96">
        <f>IF(ISERROR(IF($Q96="","",ROUND(($Q96/$Q$10)*$R$10,2))),"",IF($Q96="","",ROUND(($Q96/$Q$10)*$R$10,2)))</f>
        <v>100</v>
      </c>
      <c r="S96">
        <f>IF($R96="","",ROUND($R96*$S$10,2))</f>
        <v>50</v>
      </c>
      <c r="T96">
        <v>34</v>
      </c>
      <c r="U96">
        <v>33</v>
      </c>
      <c r="V96">
        <v>37</v>
      </c>
      <c r="W96">
        <f>IF(COUNT($T96:$V96)=0,"",SUM($T96:$V96))</f>
        <v>104</v>
      </c>
      <c r="X96">
        <f>IF(ISERROR(IF($W96="","",ROUND(($W96/$W$10)*$X$10,2))),"",IF($W96="","",ROUND(($W96/$W$10)*$X$10,2)))</f>
        <v>86.67</v>
      </c>
      <c r="Y96">
        <f>IF($X96="","",ROUND($X96*$Y$10,2))</f>
        <v>26</v>
      </c>
      <c r="Z96">
        <f>IF(ISERROR(IF($V96="","",ROUND(SUM($M96,$S96,$Y96),2))),"",IF($V96="","",ROUND(SUM($M96,$S96,$Y96),2)))</f>
        <v>96</v>
      </c>
      <c r="AA96">
        <f>IF(ISERROR(IF($V96="","",VLOOKUP(Z96,NewTransmu,4,TRUE))),"",IF($V96="","",VLOOKUP(Z96,NewTransmu,4,TRUE)))</f>
        <v>98</v>
      </c>
      <c r="AB96" t="str">
        <f>IF(ISERROR(IF(AA96="","",VLOOKUP(AA96,DESCRIPTORS,4,TRUE))),"",IF(AA96="","",VLOOKUP(AA96,DESCRIPTORS,4,TRUE)))</f>
        <v>Advancing</v>
      </c>
      <c r="AV96">
        <f>(T96/$T$10)*100</f>
        <v>85</v>
      </c>
      <c r="AW96">
        <f>(U96/$U$10)*100</f>
        <v>82.5</v>
      </c>
      <c r="AX96">
        <f>(V96/$V$10)*100</f>
        <v>92.5</v>
      </c>
    </row>
    <row r="97">
      <c r="A97">
        <v>35</v>
      </c>
      <c r="B97" t="str">
        <f>INPUT!B97</f>
        <v>Arceo, Samantha</v>
      </c>
      <c r="F97">
        <v>20</v>
      </c>
      <c r="G97">
        <v>20</v>
      </c>
      <c r="H97">
        <v>20</v>
      </c>
      <c r="I97">
        <v>20</v>
      </c>
      <c r="J97">
        <v>20</v>
      </c>
      <c r="K97">
        <f>IF(COUNT($F97:$J97)=0,"",SUM($F97:$J97))</f>
        <v>100</v>
      </c>
      <c r="L97">
        <f>IF(ISERROR(IF($K97="","",ROUND(($K97/$K$10)*$L$10,2))),"",IF($K97="","",ROUND(($K97/$K$10)*$L$10,2)))</f>
        <v>100</v>
      </c>
      <c r="M97">
        <f>IF($L97="","",ROUND($L97*$M$10,2))</f>
        <v>20</v>
      </c>
      <c r="N97">
        <v>50</v>
      </c>
      <c r="O97">
        <v>50</v>
      </c>
      <c r="P97">
        <v>50</v>
      </c>
      <c r="Q97">
        <f>IF(COUNT($N97:$P97)=0,"",SUM($N97:$P97))</f>
        <v>150</v>
      </c>
      <c r="R97">
        <f>IF(ISERROR(IF($Q97="","",ROUND(($Q97/$Q$10)*$R$10,2))),"",IF($Q97="","",ROUND(($Q97/$Q$10)*$R$10,2)))</f>
        <v>100</v>
      </c>
      <c r="S97">
        <f>IF($R97="","",ROUND($R97*$S$10,2))</f>
        <v>50</v>
      </c>
      <c r="T97">
        <v>38</v>
      </c>
      <c r="U97">
        <v>39</v>
      </c>
      <c r="V97">
        <v>37</v>
      </c>
      <c r="W97">
        <f>IF(COUNT($T97:$V97)=0,"",SUM($T97:$V97))</f>
        <v>114</v>
      </c>
      <c r="X97">
        <f>IF(ISERROR(IF($W97="","",ROUND(($W97/$W$10)*$X$10,2))),"",IF($W97="","",ROUND(($W97/$W$10)*$X$10,2)))</f>
        <v>95</v>
      </c>
      <c r="Y97">
        <f>IF($X97="","",ROUND($X97*$Y$10,2))</f>
        <v>28.5</v>
      </c>
      <c r="Z97">
        <f>IF(ISERROR(IF($V97="","",ROUND(SUM($M97,$S97,$Y97),2))),"",IF($V97="","",ROUND(SUM($M97,$S97,$Y97),2)))</f>
        <v>98.5</v>
      </c>
      <c r="AA97">
        <f>IF(ISERROR(IF($V97="","",VLOOKUP(Z97,NewTransmu,4,TRUE))),"",IF($V97="","",VLOOKUP(Z97,NewTransmu,4,TRUE)))</f>
        <v>99</v>
      </c>
      <c r="AB97" t="str">
        <f>IF(ISERROR(IF(AA97="","",VLOOKUP(AA97,DESCRIPTORS,4,TRUE))),"",IF(AA97="","",VLOOKUP(AA97,DESCRIPTORS,4,TRUE)))</f>
        <v>Advancing</v>
      </c>
      <c r="AV97">
        <f>(T97/$T$10)*100</f>
        <v>95</v>
      </c>
      <c r="AW97">
        <f>(U97/$U$10)*100</f>
        <v>97.5</v>
      </c>
      <c r="AX97">
        <f>(V97/$V$10)*100</f>
        <v>92.5</v>
      </c>
    </row>
    <row r="98">
      <c r="A98">
        <v>36</v>
      </c>
      <c r="B98" t="str">
        <f>INPUT!B98</f>
        <v>Arellano, Sofia</v>
      </c>
      <c r="F98">
        <v>20</v>
      </c>
      <c r="G98">
        <v>20</v>
      </c>
      <c r="H98">
        <v>20</v>
      </c>
      <c r="I98">
        <v>20</v>
      </c>
      <c r="J98">
        <v>20</v>
      </c>
      <c r="K98">
        <f>IF(COUNT($F98:$J98)=0,"",SUM($F98:$J98))</f>
        <v>100</v>
      </c>
      <c r="L98">
        <f>IF(ISERROR(IF($K98="","",ROUND(($K98/$K$10)*$L$10,2))),"",IF($K98="","",ROUND(($K98/$K$10)*$L$10,2)))</f>
        <v>100</v>
      </c>
      <c r="M98">
        <f>IF($L98="","",ROUND($L98*$M$10,2))</f>
        <v>20</v>
      </c>
      <c r="N98">
        <v>50</v>
      </c>
      <c r="O98">
        <v>50</v>
      </c>
      <c r="P98">
        <v>50</v>
      </c>
      <c r="Q98">
        <f>IF(COUNT($N98:$P98)=0,"",SUM($N98:$P98))</f>
        <v>150</v>
      </c>
      <c r="R98">
        <f>IF(ISERROR(IF($Q98="","",ROUND(($Q98/$Q$10)*$R$10,2))),"",IF($Q98="","",ROUND(($Q98/$Q$10)*$R$10,2)))</f>
        <v>100</v>
      </c>
      <c r="S98">
        <f>IF($R98="","",ROUND($R98*$S$10,2))</f>
        <v>50</v>
      </c>
      <c r="T98">
        <v>38</v>
      </c>
      <c r="U98">
        <v>37</v>
      </c>
      <c r="V98">
        <v>38</v>
      </c>
      <c r="W98">
        <f>IF(COUNT($T98:$V98)=0,"",SUM($T98:$V98))</f>
        <v>113</v>
      </c>
      <c r="X98">
        <f>IF(ISERROR(IF($W98="","",ROUND(($W98/$W$10)*$X$10,2))),"",IF($W98="","",ROUND(($W98/$W$10)*$X$10,2)))</f>
        <v>94.17</v>
      </c>
      <c r="Y98">
        <f>IF($X98="","",ROUND($X98*$Y$10,2))</f>
        <v>28.25</v>
      </c>
      <c r="Z98">
        <f>IF(ISERROR(IF($V98="","",ROUND(SUM($M98,$S98,$Y98),2))),"",IF($V98="","",ROUND(SUM($M98,$S98,$Y98),2)))</f>
        <v>98.25</v>
      </c>
      <c r="AA98">
        <f>IF(ISERROR(IF($V98="","",VLOOKUP(Z98,NewTransmu,4,TRUE))),"",IF($V98="","",VLOOKUP(Z98,NewTransmu,4,TRUE)))</f>
        <v>99</v>
      </c>
      <c r="AB98" t="str">
        <f>IF(ISERROR(IF(AA98="","",VLOOKUP(AA98,DESCRIPTORS,4,TRUE))),"",IF(AA98="","",VLOOKUP(AA98,DESCRIPTORS,4,TRUE)))</f>
        <v>Advancing</v>
      </c>
      <c r="AV98">
        <f>(T98/$T$10)*100</f>
        <v>95</v>
      </c>
      <c r="AW98">
        <f>(U98/$U$10)*100</f>
        <v>92.5</v>
      </c>
      <c r="AX98">
        <f>(V98/$V$10)*100</f>
        <v>95</v>
      </c>
    </row>
    <row r="99">
      <c r="A99">
        <v>37</v>
      </c>
      <c r="B99" t="str">
        <f>INPUT!B99</f>
        <v>Barrera, Sophia</v>
      </c>
      <c r="F99">
        <v>20</v>
      </c>
      <c r="G99">
        <v>20</v>
      </c>
      <c r="H99">
        <v>20</v>
      </c>
      <c r="I99">
        <v>20</v>
      </c>
      <c r="J99">
        <v>20</v>
      </c>
      <c r="K99">
        <f>IF(COUNT($F99:$J99)=0,"",SUM($F99:$J99))</f>
        <v>100</v>
      </c>
      <c r="L99">
        <f>IF(ISERROR(IF($K99="","",ROUND(($K99/$K$10)*$L$10,2))),"",IF($K99="","",ROUND(($K99/$K$10)*$L$10,2)))</f>
        <v>100</v>
      </c>
      <c r="M99">
        <f>IF($L99="","",ROUND($L99*$M$10,2))</f>
        <v>20</v>
      </c>
      <c r="N99">
        <v>50</v>
      </c>
      <c r="O99">
        <v>50</v>
      </c>
      <c r="P99">
        <v>50</v>
      </c>
      <c r="Q99">
        <f>IF(COUNT($N99:$P99)=0,"",SUM($N99:$P99))</f>
        <v>150</v>
      </c>
      <c r="R99">
        <f>IF(ISERROR(IF($Q99="","",ROUND(($Q99/$Q$10)*$R$10,2))),"",IF($Q99="","",ROUND(($Q99/$Q$10)*$R$10,2)))</f>
        <v>100</v>
      </c>
      <c r="S99">
        <f>IF($R99="","",ROUND($R99*$S$10,2))</f>
        <v>50</v>
      </c>
      <c r="T99">
        <v>36</v>
      </c>
      <c r="U99">
        <v>29</v>
      </c>
      <c r="V99">
        <v>31</v>
      </c>
      <c r="W99">
        <f>IF(COUNT($T99:$V99)=0,"",SUM($T99:$V99))</f>
        <v>96</v>
      </c>
      <c r="X99">
        <f>IF(ISERROR(IF($W99="","",ROUND(($W99/$W$10)*$X$10,2))),"",IF($W99="","",ROUND(($W99/$W$10)*$X$10,2)))</f>
        <v>80</v>
      </c>
      <c r="Y99">
        <f>IF($X99="","",ROUND($X99*$Y$10,2))</f>
        <v>24</v>
      </c>
      <c r="Z99">
        <f>IF(ISERROR(IF($V99="","",ROUND(SUM($M99,$S99,$Y99),2))),"",IF($V99="","",ROUND(SUM($M99,$S99,$Y99),2)))</f>
        <v>94</v>
      </c>
      <c r="AA99">
        <f>IF(ISERROR(IF($V99="","",VLOOKUP(Z99,NewTransmu,4,TRUE))),"",IF($V99="","",VLOOKUP(Z99,NewTransmu,4,TRUE)))</f>
        <v>96</v>
      </c>
      <c r="AB99" t="str">
        <f>IF(ISERROR(IF(AA99="","",VLOOKUP(AA99,DESCRIPTORS,4,TRUE))),"",IF(AA99="","",VLOOKUP(AA99,DESCRIPTORS,4,TRUE)))</f>
        <v>Advancing</v>
      </c>
      <c r="AV99">
        <f>(T99/$T$10)*100</f>
        <v>90</v>
      </c>
      <c r="AW99">
        <f>(U99/$U$10)*100</f>
        <v>72.5</v>
      </c>
      <c r="AX99">
        <f>(V99/$V$10)*100</f>
        <v>77.5</v>
      </c>
    </row>
    <row r="100">
      <c r="A100">
        <v>38</v>
      </c>
      <c r="B100" t="str">
        <f>INPUT!B100</f>
        <v>Cabral, Therese</v>
      </c>
      <c r="F100">
        <v>20</v>
      </c>
      <c r="G100">
        <v>20</v>
      </c>
      <c r="H100">
        <v>20</v>
      </c>
      <c r="I100">
        <v>20</v>
      </c>
      <c r="J100">
        <v>20</v>
      </c>
      <c r="K100">
        <f>IF(COUNT($F100:$J100)=0,"",SUM($F100:$J100))</f>
        <v>100</v>
      </c>
      <c r="L100">
        <f>IF(ISERROR(IF($K100="","",ROUND(($K100/$K$10)*$L$10,2))),"",IF($K100="","",ROUND(($K100/$K$10)*$L$10,2)))</f>
        <v>100</v>
      </c>
      <c r="M100">
        <f>IF($L100="","",ROUND($L100*$M$10,2))</f>
        <v>20</v>
      </c>
      <c r="N100">
        <v>50</v>
      </c>
      <c r="O100">
        <v>50</v>
      </c>
      <c r="P100">
        <v>50</v>
      </c>
      <c r="Q100">
        <f>IF(COUNT($N100:$P100)=0,"",SUM($N100:$P100))</f>
        <v>150</v>
      </c>
      <c r="R100">
        <f>IF(ISERROR(IF($Q100="","",ROUND(($Q100/$Q$10)*$R$10,2))),"",IF($Q100="","",ROUND(($Q100/$Q$10)*$R$10,2)))</f>
        <v>100</v>
      </c>
      <c r="S100">
        <f>IF($R100="","",ROUND($R100*$S$10,2))</f>
        <v>50</v>
      </c>
      <c r="T100">
        <v>35</v>
      </c>
      <c r="U100">
        <v>30</v>
      </c>
      <c r="V100">
        <v>29</v>
      </c>
      <c r="W100">
        <f>IF(COUNT($T100:$V100)=0,"",SUM($T100:$V100))</f>
        <v>94</v>
      </c>
      <c r="X100">
        <f>IF(ISERROR(IF($W100="","",ROUND(($W100/$W$10)*$X$10,2))),"",IF($W100="","",ROUND(($W100/$W$10)*$X$10,2)))</f>
        <v>78.33</v>
      </c>
      <c r="Y100">
        <f>IF($X100="","",ROUND($X100*$Y$10,2))</f>
        <v>23.5</v>
      </c>
      <c r="Z100">
        <f>IF(ISERROR(IF($V100="","",ROUND(SUM($M100,$S100,$Y100),2))),"",IF($V100="","",ROUND(SUM($M100,$S100,$Y100),2)))</f>
        <v>93.5</v>
      </c>
      <c r="AA100">
        <f>IF(ISERROR(IF($V100="","",VLOOKUP(Z100,NewTransmu,4,TRUE))),"",IF($V100="","",VLOOKUP(Z100,NewTransmu,4,TRUE)))</f>
        <v>95</v>
      </c>
      <c r="AB100" t="str">
        <f>IF(ISERROR(IF(AA100="","",VLOOKUP(AA100,DESCRIPTORS,4,TRUE))),"",IF(AA100="","",VLOOKUP(AA100,DESCRIPTORS,4,TRUE)))</f>
        <v>Advancing</v>
      </c>
      <c r="AV100">
        <f>(T100/$T$10)*100</f>
        <v>87.5</v>
      </c>
      <c r="AW100">
        <f>(U100/$U$10)*100</f>
        <v>75</v>
      </c>
      <c r="AX100">
        <f>(V100/$V$10)*100</f>
        <v>72.5</v>
      </c>
    </row>
    <row r="101">
      <c r="A101">
        <v>39</v>
      </c>
      <c r="B101" t="str">
        <f>INPUT!B101</f>
        <v>David, Trisha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f>IF(COUNT($F101:$J101)=0,"",SUM($F101:$J101))</f>
        <v>100</v>
      </c>
      <c r="L101">
        <f>IF(ISERROR(IF($K101="","",ROUND(($K101/$K$10)*$L$10,2))),"",IF($K101="","",ROUND(($K101/$K$10)*$L$10,2)))</f>
        <v>100</v>
      </c>
      <c r="M101">
        <f>IF($L101="","",ROUND($L101*$M$10,2))</f>
        <v>20</v>
      </c>
      <c r="N101">
        <v>50</v>
      </c>
      <c r="O101">
        <v>50</v>
      </c>
      <c r="P101">
        <v>50</v>
      </c>
      <c r="Q101">
        <f>IF(COUNT($N101:$P101)=0,"",SUM($N101:$P101))</f>
        <v>150</v>
      </c>
      <c r="R101">
        <f>IF(ISERROR(IF($Q101="","",ROUND(($Q101/$Q$10)*$R$10,2))),"",IF($Q101="","",ROUND(($Q101/$Q$10)*$R$10,2)))</f>
        <v>100</v>
      </c>
      <c r="S101">
        <f>IF($R101="","",ROUND($R101*$S$10,2))</f>
        <v>50</v>
      </c>
      <c r="T101">
        <v>26</v>
      </c>
      <c r="U101">
        <v>26</v>
      </c>
      <c r="V101">
        <v>23</v>
      </c>
      <c r="W101">
        <f>IF(COUNT($T101:$V101)=0,"",SUM($T101:$V101))</f>
        <v>75</v>
      </c>
      <c r="X101">
        <f>IF(ISERROR(IF($W101="","",ROUND(($W101/$W$10)*$X$10,2))),"",IF($W101="","",ROUND(($W101/$W$10)*$X$10,2)))</f>
        <v>62.5</v>
      </c>
      <c r="Y101">
        <f>IF($X101="","",ROUND($X101*$Y$10,2))</f>
        <v>18.75</v>
      </c>
      <c r="Z101">
        <f>IF(ISERROR(IF($V101="","",ROUND(SUM($M101,$S101,$Y101),2))),"",IF($V101="","",ROUND(SUM($M101,$S101,$Y101),2)))</f>
        <v>88.75</v>
      </c>
      <c r="AA101">
        <f>IF(ISERROR(IF($V101="","",VLOOKUP(Z101,NewTransmu,4,TRUE))),"",IF($V101="","",VLOOKUP(Z101,NewTransmu,4,TRUE)))</f>
        <v>90</v>
      </c>
      <c r="AB101" t="str">
        <f>IF(ISERROR(IF(AA101="","",VLOOKUP(AA101,DESCRIPTORS,4,TRUE))),"",IF(AA101="","",VLOOKUP(AA101,DESCRIPTORS,4,TRUE)))</f>
        <v>Advancing</v>
      </c>
      <c r="AV101">
        <f>(T101/$T$10)*100</f>
        <v>65</v>
      </c>
      <c r="AW101">
        <f>(U101/$U$10)*100</f>
        <v>65</v>
      </c>
      <c r="AX101">
        <f>(V101/$V$10)*100</f>
        <v>57.49999999999999</v>
      </c>
    </row>
    <row r="102">
      <c r="A102">
        <v>40</v>
      </c>
      <c r="B102" t="str">
        <f>INPUT!B102</f>
        <v>Escobar, Valerie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f>IF(COUNT($F102:$J102)=0,"",SUM($F102:$J102))</f>
        <v>100</v>
      </c>
      <c r="L102">
        <f>IF(ISERROR(IF($K102="","",ROUND(($K102/$K$10)*$L$10,2))),"",IF($K102="","",ROUND(($K102/$K$10)*$L$10,2)))</f>
        <v>100</v>
      </c>
      <c r="M102">
        <f>IF($L102="","",ROUND($L102*$M$10,2))</f>
        <v>20</v>
      </c>
      <c r="N102">
        <v>50</v>
      </c>
      <c r="O102">
        <v>50</v>
      </c>
      <c r="P102">
        <v>50</v>
      </c>
      <c r="Q102">
        <f>IF(COUNT($N102:$P102)=0,"",SUM($N102:$P102))</f>
        <v>150</v>
      </c>
      <c r="R102">
        <f>IF(ISERROR(IF($Q102="","",ROUND(($Q102/$Q$10)*$R$10,2))),"",IF($Q102="","",ROUND(($Q102/$Q$10)*$R$10,2)))</f>
        <v>100</v>
      </c>
      <c r="S102">
        <f>IF($R102="","",ROUND($R102*$S$10,2))</f>
        <v>50</v>
      </c>
      <c r="T102">
        <v>34</v>
      </c>
      <c r="U102">
        <v>36</v>
      </c>
      <c r="V102">
        <v>32</v>
      </c>
      <c r="W102">
        <f>IF(COUNT($T102:$V102)=0,"",SUM($T102:$V102))</f>
        <v>102</v>
      </c>
      <c r="X102">
        <f>IF(ISERROR(IF($W102="","",ROUND(($W102/$W$10)*$X$10,2))),"",IF($W102="","",ROUND(($W102/$W$10)*$X$10,2)))</f>
        <v>85</v>
      </c>
      <c r="Y102">
        <f>IF($X102="","",ROUND($X102*$Y$10,2))</f>
        <v>25.5</v>
      </c>
      <c r="Z102">
        <f>IF(ISERROR(IF($V102="","",ROUND(SUM($M102,$S102,$Y102),2))),"",IF($V102="","",ROUND(SUM($M102,$S102,$Y102),2)))</f>
        <v>95.5</v>
      </c>
      <c r="AA102">
        <f>IF(ISERROR(IF($V102="","",VLOOKUP(Z102,NewTransmu,4,TRUE))),"",IF($V102="","",VLOOKUP(Z102,NewTransmu,4,TRUE)))</f>
        <v>97</v>
      </c>
      <c r="AB102" t="str">
        <f>IF(ISERROR(IF(AA102="","",VLOOKUP(AA102,DESCRIPTORS,4,TRUE))),"",IF(AA102="","",VLOOKUP(AA102,DESCRIPTORS,4,TRUE)))</f>
        <v>Advancing</v>
      </c>
      <c r="AV102">
        <f>(T102/$T$10)*100</f>
        <v>85</v>
      </c>
      <c r="AW102">
        <f>(U102/$U$10)*100</f>
        <v>90</v>
      </c>
      <c r="AX102">
        <f>(V102/$V$10)*100</f>
        <v>80</v>
      </c>
    </row>
    <row r="103">
      <c r="A103">
        <v>41</v>
      </c>
      <c r="B103" t="str">
        <f>INPUT!B103</f>
        <v>Aguilar, Vanessa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f>IF(COUNT($F103:$J103)=0,"",SUM($F103:$J103))</f>
        <v>100</v>
      </c>
      <c r="L103">
        <f>IF(ISERROR(IF($K103="","",ROUND(($K103/$K$10)*$L$10,2))),"",IF($K103="","",ROUND(($K103/$K$10)*$L$10,2)))</f>
        <v>100</v>
      </c>
      <c r="M103">
        <f>IF($L103="","",ROUND($L103*$M$10,2))</f>
        <v>20</v>
      </c>
      <c r="N103">
        <v>50</v>
      </c>
      <c r="O103">
        <v>50</v>
      </c>
      <c r="P103">
        <v>50</v>
      </c>
      <c r="Q103">
        <f>IF(COUNT($N103:$P103)=0,"",SUM($N103:$P103))</f>
        <v>150</v>
      </c>
      <c r="R103">
        <f>IF(ISERROR(IF($Q103="","",ROUND(($Q103/$Q$10)*$R$10,2))),"",IF($Q103="","",ROUND(($Q103/$Q$10)*$R$10,2)))</f>
        <v>100</v>
      </c>
      <c r="S103">
        <f>IF($R103="","",ROUND($R103*$S$10,2))</f>
        <v>50</v>
      </c>
      <c r="T103">
        <v>35</v>
      </c>
      <c r="U103">
        <v>35</v>
      </c>
      <c r="V103">
        <v>32</v>
      </c>
      <c r="W103">
        <f>IF(COUNT($T103:$V103)=0,"",SUM($T103:$V103))</f>
        <v>102</v>
      </c>
      <c r="X103">
        <f>IF(ISERROR(IF($W103="","",ROUND(($W103/$W$10)*$X$10,2))),"",IF($W103="","",ROUND(($W103/$W$10)*$X$10,2)))</f>
        <v>85</v>
      </c>
      <c r="Y103">
        <f>IF($X103="","",ROUND($X103*$Y$10,2))</f>
        <v>25.5</v>
      </c>
      <c r="Z103">
        <f>IF(ISERROR(IF($V103="","",ROUND(SUM($M103,$S103,$Y103),2))),"",IF($V103="","",ROUND(SUM($M103,$S103,$Y103),2)))</f>
        <v>95.5</v>
      </c>
      <c r="AA103">
        <f>IF(ISERROR(IF($V103="","",VLOOKUP(Z103,NewTransmu,4,TRUE))),"",IF($V103="","",VLOOKUP(Z103,NewTransmu,4,TRUE)))</f>
        <v>97</v>
      </c>
      <c r="AB103" t="str">
        <f>IF(ISERROR(IF(AA103="","",VLOOKUP(AA103,DESCRIPTORS,4,TRUE))),"",IF(AA103="","",VLOOKUP(AA103,DESCRIPTORS,4,TRUE)))</f>
        <v>Advancing</v>
      </c>
      <c r="AV103">
        <f>(T103/$T$10)*100</f>
        <v>87.5</v>
      </c>
      <c r="AW103">
        <f>(U103/$U$10)*100</f>
        <v>87.5</v>
      </c>
      <c r="AX103">
        <f>(V103/$V$10)*100</f>
        <v>80</v>
      </c>
    </row>
    <row r="104">
      <c r="A104">
        <v>42</v>
      </c>
      <c r="B104" t="str">
        <f>INPUT!B104</f>
        <v>Alcantara, Veronica</v>
      </c>
      <c r="F104">
        <v>20</v>
      </c>
      <c r="G104">
        <v>20</v>
      </c>
      <c r="H104">
        <v>20</v>
      </c>
      <c r="I104">
        <v>20</v>
      </c>
      <c r="J104">
        <v>20</v>
      </c>
      <c r="K104">
        <f>IF(COUNT($F104:$J104)=0,"",SUM($F104:$J104))</f>
        <v>100</v>
      </c>
      <c r="L104">
        <f>IF(ISERROR(IF($K104="","",ROUND(($K104/$K$10)*$L$10,2))),"",IF($K104="","",ROUND(($K104/$K$10)*$L$10,2)))</f>
        <v>100</v>
      </c>
      <c r="M104">
        <f>IF($L104="","",ROUND($L104*$M$10,2))</f>
        <v>20</v>
      </c>
      <c r="N104">
        <v>50</v>
      </c>
      <c r="O104">
        <v>50</v>
      </c>
      <c r="P104">
        <v>50</v>
      </c>
      <c r="Q104">
        <f>IF(COUNT($N104:$P104)=0,"",SUM($N104:$P104))</f>
        <v>150</v>
      </c>
      <c r="R104">
        <f>IF(ISERROR(IF($Q104="","",ROUND(($Q104/$Q$10)*$R$10,2))),"",IF($Q104="","",ROUND(($Q104/$Q$10)*$R$10,2)))</f>
        <v>100</v>
      </c>
      <c r="S104">
        <f>IF($R104="","",ROUND($R104*$S$10,2))</f>
        <v>50</v>
      </c>
      <c r="T104">
        <v>40</v>
      </c>
      <c r="U104">
        <v>38</v>
      </c>
      <c r="V104">
        <v>39</v>
      </c>
      <c r="W104">
        <f>IF(COUNT($T104:$V104)=0,"",SUM($T104:$V104))</f>
        <v>117</v>
      </c>
      <c r="X104">
        <f>IF(ISERROR(IF($W104="","",ROUND(($W104/$W$10)*$X$10,2))),"",IF($W104="","",ROUND(($W104/$W$10)*$X$10,2)))</f>
        <v>97.5</v>
      </c>
      <c r="Y104">
        <f>IF($X104="","",ROUND($X104*$Y$10,2))</f>
        <v>29.25</v>
      </c>
      <c r="Z104">
        <f>IF(ISERROR(IF($V104="","",ROUND(SUM($M104,$S104,$Y104),2))),"",IF($V104="","",ROUND(SUM($M104,$S104,$Y104),2)))</f>
        <v>99.25</v>
      </c>
      <c r="AA104">
        <f>IF(ISERROR(IF($V104="","",VLOOKUP(Z104,NewTransmu,4,TRUE))),"",IF($V104="","",VLOOKUP(Z104,NewTransmu,4,TRUE)))</f>
        <v>99</v>
      </c>
      <c r="AB104" t="str">
        <f>IF(ISERROR(IF(AA104="","",VLOOKUP(AA104,DESCRIPTORS,4,TRUE))),"",IF(AA104="","",VLOOKUP(AA104,DESCRIPTORS,4,TRUE)))</f>
        <v>Advancing</v>
      </c>
      <c r="AV104">
        <f>(T104/$T$10)*100</f>
        <v>100</v>
      </c>
      <c r="AW104">
        <f>(U104/$U$10)*100</f>
        <v>95</v>
      </c>
      <c r="AX104">
        <f>(V104/$V$10)*100</f>
        <v>97.5</v>
      </c>
    </row>
    <row r="105">
      <c r="A105">
        <v>43</v>
      </c>
      <c r="B105" t="str">
        <f>INPUT!B105</f>
        <v>Andrada, Victoria</v>
      </c>
      <c r="F105">
        <v>20</v>
      </c>
      <c r="G105">
        <v>20</v>
      </c>
      <c r="H105">
        <v>20</v>
      </c>
      <c r="I105">
        <v>20</v>
      </c>
      <c r="J105">
        <v>20</v>
      </c>
      <c r="K105">
        <f>IF(COUNT($F105:$J105)=0,"",SUM($F105:$J105))</f>
        <v>100</v>
      </c>
      <c r="L105">
        <f>IF(ISERROR(IF($K105="","",ROUND(($K105/$K$10)*$L$10,2))),"",IF($K105="","",ROUND(($K105/$K$10)*$L$10,2)))</f>
        <v>100</v>
      </c>
      <c r="M105">
        <f>IF($L105="","",ROUND($L105*$M$10,2))</f>
        <v>20</v>
      </c>
      <c r="N105">
        <v>50</v>
      </c>
      <c r="O105">
        <v>50</v>
      </c>
      <c r="P105">
        <v>50</v>
      </c>
      <c r="Q105">
        <f>IF(COUNT($N105:$P105)=0,"",SUM($N105:$P105))</f>
        <v>150</v>
      </c>
      <c r="R105">
        <f>IF(ISERROR(IF($Q105="","",ROUND(($Q105/$Q$10)*$R$10,2))),"",IF($Q105="","",ROUND(($Q105/$Q$10)*$R$10,2)))</f>
        <v>100</v>
      </c>
      <c r="S105">
        <f>IF($R105="","",ROUND($R105*$S$10,2))</f>
        <v>50</v>
      </c>
      <c r="T105">
        <v>31</v>
      </c>
      <c r="U105">
        <v>31</v>
      </c>
      <c r="V105">
        <v>26</v>
      </c>
      <c r="W105">
        <f>IF(COUNT($T105:$V105)=0,"",SUM($T105:$V105))</f>
        <v>88</v>
      </c>
      <c r="X105">
        <f>IF(ISERROR(IF($W105="","",ROUND(($W105/$W$10)*$X$10,2))),"",IF($W105="","",ROUND(($W105/$W$10)*$X$10,2)))</f>
        <v>73.33</v>
      </c>
      <c r="Y105">
        <f>IF($X105="","",ROUND($X105*$Y$10,2))</f>
        <v>22</v>
      </c>
      <c r="Z105">
        <f>IF(ISERROR(IF($V105="","",ROUND(SUM($M105,$S105,$Y105),2))),"",IF($V105="","",ROUND(SUM($M105,$S105,$Y105),2)))</f>
        <v>92</v>
      </c>
      <c r="AA105">
        <f>IF(ISERROR(IF($V105="","",VLOOKUP(Z105,NewTransmu,4,TRUE))),"",IF($V105="","",VLOOKUP(Z105,NewTransmu,4,TRUE)))</f>
        <v>94</v>
      </c>
      <c r="AB105" t="str">
        <f>IF(ISERROR(IF(AA105="","",VLOOKUP(AA105,DESCRIPTORS,4,TRUE))),"",IF(AA105="","",VLOOKUP(AA105,DESCRIPTORS,4,TRUE)))</f>
        <v>Advancing</v>
      </c>
      <c r="AV105">
        <f>(T105/$T$10)*100</f>
        <v>77.5</v>
      </c>
      <c r="AW105">
        <f>(U105/$U$10)*100</f>
        <v>77.5</v>
      </c>
      <c r="AX105">
        <f>(V105/$V$10)*100</f>
        <v>65</v>
      </c>
    </row>
    <row r="106">
      <c r="A106">
        <v>44</v>
      </c>
      <c r="B106" t="str">
        <f>INPUT!B106</f>
        <v>Bautista, Yasmine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f>IF(COUNT($F106:$J106)=0,"",SUM($F106:$J106))</f>
        <v>100</v>
      </c>
      <c r="L106">
        <f>IF(ISERROR(IF($K106="","",ROUND(($K106/$K$10)*$L$10,2))),"",IF($K106="","",ROUND(($K106/$K$10)*$L$10,2)))</f>
        <v>100</v>
      </c>
      <c r="M106">
        <f>IF($L106="","",ROUND($L106*$M$10,2))</f>
        <v>20</v>
      </c>
      <c r="N106">
        <v>50</v>
      </c>
      <c r="O106">
        <v>50</v>
      </c>
      <c r="P106">
        <v>50</v>
      </c>
      <c r="Q106">
        <f>IF(COUNT($N106:$P106)=0,"",SUM($N106:$P106))</f>
        <v>150</v>
      </c>
      <c r="R106">
        <f>IF(ISERROR(IF($Q106="","",ROUND(($Q106/$Q$10)*$R$10,2))),"",IF($Q106="","",ROUND(($Q106/$Q$10)*$R$10,2)))</f>
        <v>100</v>
      </c>
      <c r="S106">
        <f>IF($R106="","",ROUND($R106*$S$10,2))</f>
        <v>50</v>
      </c>
      <c r="T106">
        <v>33</v>
      </c>
      <c r="U106">
        <v>32</v>
      </c>
      <c r="V106">
        <v>31</v>
      </c>
      <c r="W106">
        <f>IF(COUNT($T106:$V106)=0,"",SUM($T106:$V106))</f>
        <v>96</v>
      </c>
      <c r="X106">
        <f>IF(ISERROR(IF($W106="","",ROUND(($W106/$W$10)*$X$10,2))),"",IF($W106="","",ROUND(($W106/$W$10)*$X$10,2)))</f>
        <v>80</v>
      </c>
      <c r="Y106">
        <f>IF($X106="","",ROUND($X106*$Y$10,2))</f>
        <v>24</v>
      </c>
      <c r="Z106">
        <f>IF(ISERROR(IF($V106="","",ROUND(SUM($M106,$S106,$Y106),2))),"",IF($V106="","",ROUND(SUM($M106,$S106,$Y106),2)))</f>
        <v>94</v>
      </c>
      <c r="AA106">
        <f>IF(ISERROR(IF($V106="","",VLOOKUP(Z106,NewTransmu,4,TRUE))),"",IF($V106="","",VLOOKUP(Z106,NewTransmu,4,TRUE)))</f>
        <v>96</v>
      </c>
      <c r="AB106" t="str">
        <f>IF(ISERROR(IF(AA106="","",VLOOKUP(AA106,DESCRIPTORS,4,TRUE))),"",IF(AA106="","",VLOOKUP(AA106,DESCRIPTORS,4,TRUE)))</f>
        <v>Advancing</v>
      </c>
      <c r="AV106">
        <f>(T106/$T$10)*100</f>
        <v>82.5</v>
      </c>
      <c r="AW106">
        <f>(U106/$U$10)*100</f>
        <v>80</v>
      </c>
      <c r="AX106">
        <f>(V106/$V$10)*100</f>
        <v>77.5</v>
      </c>
    </row>
    <row r="107">
      <c r="A107">
        <v>45</v>
      </c>
      <c r="B107" t="str">
        <f>INPUT!B107</f>
        <v>Bernardo, Zoe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f>IF(COUNT($F107:$J107)=0,"",SUM($F107:$J107))</f>
        <v>100</v>
      </c>
      <c r="L107">
        <f>IF(ISERROR(IF($K107="","",ROUND(($K107/$K$10)*$L$10,2))),"",IF($K107="","",ROUND(($K107/$K$10)*$L$10,2)))</f>
        <v>100</v>
      </c>
      <c r="M107">
        <f>IF($L107="","",ROUND($L107*$M$10,2))</f>
        <v>20</v>
      </c>
      <c r="N107">
        <v>50</v>
      </c>
      <c r="O107">
        <v>50</v>
      </c>
      <c r="P107">
        <v>50</v>
      </c>
      <c r="Q107">
        <f>IF(COUNT($N107:$P107)=0,"",SUM($N107:$P107))</f>
        <v>150</v>
      </c>
      <c r="R107">
        <f>IF(ISERROR(IF($Q107="","",ROUND(($Q107/$Q$10)*$R$10,2))),"",IF($Q107="","",ROUND(($Q107/$Q$10)*$R$10,2)))</f>
        <v>100</v>
      </c>
      <c r="S107">
        <f>IF($R107="","",ROUND($R107*$S$10,2))</f>
        <v>50</v>
      </c>
      <c r="T107">
        <v>31</v>
      </c>
      <c r="U107">
        <v>33</v>
      </c>
      <c r="V107">
        <v>34</v>
      </c>
      <c r="W107">
        <f>IF(COUNT($T107:$V107)=0,"",SUM($T107:$V107))</f>
        <v>98</v>
      </c>
      <c r="X107">
        <f>IF(ISERROR(IF($W107="","",ROUND(($W107/$W$10)*$X$10,2))),"",IF($W107="","",ROUND(($W107/$W$10)*$X$10,2)))</f>
        <v>81.67</v>
      </c>
      <c r="Y107">
        <f>IF($X107="","",ROUND($X107*$Y$10,2))</f>
        <v>24.5</v>
      </c>
      <c r="Z107">
        <f>IF(ISERROR(IF($V107="","",ROUND(SUM($M107,$S107,$Y107),2))),"",IF($V107="","",ROUND(SUM($M107,$S107,$Y107),2)))</f>
        <v>94.5</v>
      </c>
      <c r="AA107">
        <f>IF(ISERROR(IF($V107="","",VLOOKUP(Z107,NewTransmu,4,TRUE))),"",IF($V107="","",VLOOKUP(Z107,NewTransmu,4,TRUE)))</f>
        <v>96</v>
      </c>
      <c r="AB107" t="str">
        <f>IF(ISERROR(IF(AA107="","",VLOOKUP(AA107,DESCRIPTORS,4,TRUE))),"",IF(AA107="","",VLOOKUP(AA107,DESCRIPTORS,4,TRUE)))</f>
        <v>Advancing</v>
      </c>
      <c r="AV107">
        <f>(T107/$T$10)*100</f>
        <v>77.5</v>
      </c>
      <c r="AW107">
        <f>(U107/$U$10)*100</f>
        <v>82.5</v>
      </c>
      <c r="AX107">
        <f>(V107/$V$10)*100</f>
        <v>85</v>
      </c>
    </row>
    <row r="108">
      <c r="A108">
        <v>46</v>
      </c>
      <c r="B108" t="str">
        <f>INPUT!B108</f>
        <v>Castillo, Amara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f>IF(COUNT($F108:$J108)=0,"",SUM($F108:$J108))</f>
        <v>100</v>
      </c>
      <c r="L108">
        <f>IF(ISERROR(IF($K108="","",ROUND(($K108/$K$10)*$L$10,2))),"",IF($K108="","",ROUND(($K108/$K$10)*$L$10,2)))</f>
        <v>100</v>
      </c>
      <c r="M108">
        <f>IF($L108="","",ROUND($L108*$M$10,2))</f>
        <v>20</v>
      </c>
      <c r="N108">
        <v>50</v>
      </c>
      <c r="O108">
        <v>50</v>
      </c>
      <c r="P108">
        <v>50</v>
      </c>
      <c r="Q108">
        <f>IF(COUNT($N108:$P108)=0,"",SUM($N108:$P108))</f>
        <v>150</v>
      </c>
      <c r="R108">
        <f>IF(ISERROR(IF($Q108="","",ROUND(($Q108/$Q$10)*$R$10,2))),"",IF($Q108="","",ROUND(($Q108/$Q$10)*$R$10,2)))</f>
        <v>100</v>
      </c>
      <c r="S108">
        <f>IF($R108="","",ROUND($R108*$S$10,2))</f>
        <v>50</v>
      </c>
      <c r="T108">
        <v>35</v>
      </c>
      <c r="U108">
        <v>27</v>
      </c>
      <c r="V108">
        <v>34</v>
      </c>
      <c r="W108">
        <f>IF(COUNT($T108:$V108)=0,"",SUM($T108:$V108))</f>
        <v>96</v>
      </c>
      <c r="X108">
        <f>IF(ISERROR(IF($W108="","",ROUND(($W108/$W$10)*$X$10,2))),"",IF($W108="","",ROUND(($W108/$W$10)*$X$10,2)))</f>
        <v>80</v>
      </c>
      <c r="Y108">
        <f>IF($X108="","",ROUND($X108*$Y$10,2))</f>
        <v>24</v>
      </c>
      <c r="Z108">
        <f>IF(ISERROR(IF($V108="","",ROUND(SUM($M108,$S108,$Y108),2))),"",IF($V108="","",ROUND(SUM($M108,$S108,$Y108),2)))</f>
        <v>94</v>
      </c>
      <c r="AA108">
        <f>IF(ISERROR(IF($V108="","",VLOOKUP(Z108,NewTransmu,4,TRUE))),"",IF($V108="","",VLOOKUP(Z108,NewTransmu,4,TRUE)))</f>
        <v>96</v>
      </c>
      <c r="AB108" t="str">
        <f>IF(ISERROR(IF(AA108="","",VLOOKUP(AA108,DESCRIPTORS,4,TRUE))),"",IF(AA108="","",VLOOKUP(AA108,DESCRIPTORS,4,TRUE)))</f>
        <v>Advancing</v>
      </c>
      <c r="AV108">
        <f>(T108/$T$10)*100</f>
        <v>87.5</v>
      </c>
      <c r="AW108">
        <f>(U108/$U$10)*100</f>
        <v>67.5</v>
      </c>
      <c r="AX108">
        <f>(V108/$V$10)*100</f>
        <v>85</v>
      </c>
    </row>
    <row r="109">
      <c r="A109">
        <v>47</v>
      </c>
      <c r="B109" t="str">
        <f>INPUT!B109</f>
        <v>Cruz, Andrea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f>IF(COUNT($F109:$J109)=0,"",SUM($F109:$J109))</f>
        <v>100</v>
      </c>
      <c r="L109">
        <f>IF(ISERROR(IF($K109="","",ROUND(($K109/$K$10)*$L$10,2))),"",IF($K109="","",ROUND(($K109/$K$10)*$L$10,2)))</f>
        <v>100</v>
      </c>
      <c r="M109">
        <f>IF($L109="","",ROUND($L109*$M$10,2))</f>
        <v>20</v>
      </c>
      <c r="N109">
        <v>50</v>
      </c>
      <c r="O109">
        <v>50</v>
      </c>
      <c r="P109">
        <v>50</v>
      </c>
      <c r="Q109">
        <f>IF(COUNT($N109:$P109)=0,"",SUM($N109:$P109))</f>
        <v>150</v>
      </c>
      <c r="R109">
        <f>IF(ISERROR(IF($Q109="","",ROUND(($Q109/$Q$10)*$R$10,2))),"",IF($Q109="","",ROUND(($Q109/$Q$10)*$R$10,2)))</f>
        <v>100</v>
      </c>
      <c r="S109">
        <f>IF($R109="","",ROUND($R109*$S$10,2))</f>
        <v>50</v>
      </c>
      <c r="T109">
        <v>34</v>
      </c>
      <c r="U109">
        <v>35</v>
      </c>
      <c r="V109">
        <v>40</v>
      </c>
      <c r="W109">
        <f>IF(COUNT($T109:$V109)=0,"",SUM($T109:$V109))</f>
        <v>109</v>
      </c>
      <c r="X109">
        <f>IF(ISERROR(IF($W109="","",ROUND(($W109/$W$10)*$X$10,2))),"",IF($W109="","",ROUND(($W109/$W$10)*$X$10,2)))</f>
        <v>90.83</v>
      </c>
      <c r="Y109">
        <f>IF($X109="","",ROUND($X109*$Y$10,2))</f>
        <v>27.25</v>
      </c>
      <c r="Z109">
        <f>IF(ISERROR(IF($V109="","",ROUND(SUM($M109,$S109,$Y109),2))),"",IF($V109="","",ROUND(SUM($M109,$S109,$Y109),2)))</f>
        <v>97.25</v>
      </c>
      <c r="AA109">
        <f>IF(ISERROR(IF($V109="","",VLOOKUP(Z109,NewTransmu,4,TRUE))),"",IF($V109="","",VLOOKUP(Z109,NewTransmu,4,TRUE)))</f>
        <v>98</v>
      </c>
      <c r="AB109" t="str">
        <f>IF(ISERROR(IF(AA109="","",VLOOKUP(AA109,DESCRIPTORS,4,TRUE))),"",IF(AA109="","",VLOOKUP(AA109,DESCRIPTORS,4,TRUE)))</f>
        <v>Advancing</v>
      </c>
      <c r="AV109">
        <f>(T109/$T$10)*100</f>
        <v>85</v>
      </c>
      <c r="AW109">
        <f>(U109/$U$10)*100</f>
        <v>87.5</v>
      </c>
      <c r="AX109">
        <f>(V109/$V$10)*100</f>
        <v>100</v>
      </c>
    </row>
    <row r="110">
      <c r="A110">
        <v>48</v>
      </c>
      <c r="B110" t="str">
        <f>INPUT!B110</f>
        <v>Dela Cruz, Beatriz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f>IF(COUNT($F110:$J110)=0,"",SUM($F110:$J110))</f>
        <v>100</v>
      </c>
      <c r="L110">
        <f>IF(ISERROR(IF($K110="","",ROUND(($K110/$K$10)*$L$10,2))),"",IF($K110="","",ROUND(($K110/$K$10)*$L$10,2)))</f>
        <v>100</v>
      </c>
      <c r="M110">
        <f>IF($L110="","",ROUND($L110*$M$10,2))</f>
        <v>20</v>
      </c>
      <c r="N110">
        <v>50</v>
      </c>
      <c r="O110">
        <v>50</v>
      </c>
      <c r="P110">
        <v>50</v>
      </c>
      <c r="Q110">
        <f>IF(COUNT($N110:$P110)=0,"",SUM($N110:$P110))</f>
        <v>150</v>
      </c>
      <c r="R110">
        <f>IF(ISERROR(IF($Q110="","",ROUND(($Q110/$Q$10)*$R$10,2))),"",IF($Q110="","",ROUND(($Q110/$Q$10)*$R$10,2)))</f>
        <v>100</v>
      </c>
      <c r="S110">
        <f>IF($R110="","",ROUND($R110*$S$10,2))</f>
        <v>50</v>
      </c>
      <c r="T110">
        <v>40</v>
      </c>
      <c r="U110">
        <v>40</v>
      </c>
      <c r="V110">
        <v>37</v>
      </c>
      <c r="W110">
        <f>IF(COUNT($T110:$V110)=0,"",SUM($T110:$V110))</f>
        <v>117</v>
      </c>
      <c r="X110">
        <f>IF(ISERROR(IF($W110="","",ROUND(($W110/$W$10)*$X$10,2))),"",IF($W110="","",ROUND(($W110/$W$10)*$X$10,2)))</f>
        <v>97.5</v>
      </c>
      <c r="Y110">
        <f>IF($X110="","",ROUND($X110*$Y$10,2))</f>
        <v>29.25</v>
      </c>
      <c r="Z110">
        <f>IF(ISERROR(IF($V110="","",ROUND(SUM($M110,$S110,$Y110),2))),"",IF($V110="","",ROUND(SUM($M110,$S110,$Y110),2)))</f>
        <v>99.25</v>
      </c>
      <c r="AA110">
        <f>IF(ISERROR(IF($V110="","",VLOOKUP(Z110,NewTransmu,4,TRUE))),"",IF($V110="","",VLOOKUP(Z110,NewTransmu,4,TRUE)))</f>
        <v>99</v>
      </c>
      <c r="AB110" t="str">
        <f>IF(ISERROR(IF(AA110="","",VLOOKUP(AA110,DESCRIPTORS,4,TRUE))),"",IF(AA110="","",VLOOKUP(AA110,DESCRIPTORS,4,TRUE)))</f>
        <v>Advancing</v>
      </c>
      <c r="AV110">
        <f>(T110/$T$10)*100</f>
        <v>100</v>
      </c>
      <c r="AW110">
        <f>(U110/$U$10)*100</f>
        <v>100</v>
      </c>
      <c r="AX110">
        <f>(V110/$V$10)*100</f>
        <v>92.5</v>
      </c>
    </row>
    <row r="111">
      <c r="A111">
        <v>49</v>
      </c>
      <c r="B111" t="str">
        <f>INPUT!B111</f>
        <v>Diaz, Celine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f>IF(COUNT($F111:$J111)=0,"",SUM($F111:$J111))</f>
        <v>100</v>
      </c>
      <c r="L111">
        <f>IF(ISERROR(IF($K111="","",ROUND(($K111/$K$10)*$L$10,2))),"",IF($K111="","",ROUND(($K111/$K$10)*$L$10,2)))</f>
        <v>100</v>
      </c>
      <c r="M111">
        <f>IF($L111="","",ROUND($L111*$M$10,2))</f>
        <v>20</v>
      </c>
      <c r="N111">
        <v>50</v>
      </c>
      <c r="O111">
        <v>50</v>
      </c>
      <c r="P111">
        <v>50</v>
      </c>
      <c r="Q111">
        <f>IF(COUNT($N111:$P111)=0,"",SUM($N111:$P111))</f>
        <v>150</v>
      </c>
      <c r="R111">
        <f>IF(ISERROR(IF($Q111="","",ROUND(($Q111/$Q$10)*$R$10,2))),"",IF($Q111="","",ROUND(($Q111/$Q$10)*$R$10,2)))</f>
        <v>100</v>
      </c>
      <c r="S111">
        <f>IF($R111="","",ROUND($R111*$S$10,2))</f>
        <v>50</v>
      </c>
      <c r="T111">
        <v>32</v>
      </c>
      <c r="U111">
        <v>32</v>
      </c>
      <c r="V111">
        <v>30</v>
      </c>
      <c r="W111">
        <f>IF(COUNT($T111:$V111)=0,"",SUM($T111:$V111))</f>
        <v>94</v>
      </c>
      <c r="X111">
        <f>IF(ISERROR(IF($W111="","",ROUND(($W111/$W$10)*$X$10,2))),"",IF($W111="","",ROUND(($W111/$W$10)*$X$10,2)))</f>
        <v>78.33</v>
      </c>
      <c r="Y111">
        <f>IF($X111="","",ROUND($X111*$Y$10,2))</f>
        <v>23.5</v>
      </c>
      <c r="Z111">
        <f>IF(ISERROR(IF($V111="","",ROUND(SUM($M111,$S111,$Y111),2))),"",IF($V111="","",ROUND(SUM($M111,$S111,$Y111),2)))</f>
        <v>93.5</v>
      </c>
      <c r="AA111">
        <f>IF(ISERROR(IF($V111="","",VLOOKUP(Z111,NewTransmu,4,TRUE))),"",IF($V111="","",VLOOKUP(Z111,NewTransmu,4,TRUE)))</f>
        <v>95</v>
      </c>
      <c r="AB111" t="str">
        <f>IF(ISERROR(IF(AA111="","",VLOOKUP(AA111,DESCRIPTORS,4,TRUE))),"",IF(AA111="","",VLOOKUP(AA111,DESCRIPTORS,4,TRUE)))</f>
        <v>Advancing</v>
      </c>
      <c r="AV111">
        <f>(T111/$T$10)*100</f>
        <v>80</v>
      </c>
      <c r="AW111">
        <f>(U111/$U$10)*100</f>
        <v>80</v>
      </c>
      <c r="AX111">
        <f>(V111/$V$10)*100</f>
        <v>75</v>
      </c>
    </row>
    <row r="112">
      <c r="A112">
        <v>50</v>
      </c>
      <c r="B112" t="str">
        <f>INPUT!B112</f>
        <v>Evangelista, Danielle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f>IF(COUNT($F112:$J112)=0,"",SUM($F112:$J112))</f>
        <v>100</v>
      </c>
      <c r="L112">
        <f>IF(ISERROR(IF($K112="","",ROUND(($K112/$K$10)*$L$10,2))),"",IF($K112="","",ROUND(($K112/$K$10)*$L$10,2)))</f>
        <v>100</v>
      </c>
      <c r="M112">
        <f>IF($L112="","",ROUND($L112*$M$10,2))</f>
        <v>20</v>
      </c>
      <c r="N112">
        <v>50</v>
      </c>
      <c r="O112">
        <v>50</v>
      </c>
      <c r="P112">
        <v>50</v>
      </c>
      <c r="Q112">
        <f>IF(COUNT($N112:$P112)=0,"",SUM($N112:$P112))</f>
        <v>150</v>
      </c>
      <c r="R112">
        <f>IF(ISERROR(IF($Q112="","",ROUND(($Q112/$Q$10)*$R$10,2))),"",IF($Q112="","",ROUND(($Q112/$Q$10)*$R$10,2)))</f>
        <v>100</v>
      </c>
      <c r="S112">
        <f>IF($R112="","",ROUND($R112*$S$10,2))</f>
        <v>50</v>
      </c>
      <c r="T112">
        <v>36</v>
      </c>
      <c r="U112">
        <v>33</v>
      </c>
      <c r="V112">
        <v>36</v>
      </c>
      <c r="W112">
        <f>IF(COUNT($T112:$V112)=0,"",SUM($T112:$V112))</f>
        <v>105</v>
      </c>
      <c r="X112">
        <f>IF(ISERROR(IF($W112="","",ROUND(($W112/$W$10)*$X$10,2))),"",IF($W112="","",ROUND(($W112/$W$10)*$X$10,2)))</f>
        <v>87.5</v>
      </c>
      <c r="Y112">
        <f>IF($X112="","",ROUND($X112*$Y$10,2))</f>
        <v>26.25</v>
      </c>
      <c r="Z112">
        <f>IF(ISERROR(IF($V112="","",ROUND(SUM($M112,$S112,$Y112),2))),"",IF($V112="","",ROUND(SUM($M112,$S112,$Y112),2)))</f>
        <v>96.25</v>
      </c>
      <c r="AA112">
        <f>IF(ISERROR(IF($V112="","",VLOOKUP(Z112,NewTransmu,4,TRUE))),"",IF($V112="","",VLOOKUP(Z112,NewTransmu,4,TRUE)))</f>
        <v>98</v>
      </c>
      <c r="AB112" t="str">
        <f>IF(ISERROR(IF(AA112="","",VLOOKUP(AA112,DESCRIPTORS,4,TRUE))),"",IF(AA112="","",VLOOKUP(AA112,DESCRIPTORS,4,TRUE)))</f>
        <v>Advancing</v>
      </c>
      <c r="AV112">
        <f>(T112/$T$10)*100</f>
        <v>90</v>
      </c>
      <c r="AW112">
        <f>(U112/$U$10)*100</f>
        <v>82.5</v>
      </c>
      <c r="AX112">
        <f>(V112/$V$10)*100</f>
        <v>90</v>
      </c>
    </row>
  </sheetData>
  <autoFilter ref="B11:B112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numberStoredAsText="1" sqref="A1:AZ1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Z119"/>
  <sheetViews>
    <sheetView workbookViewId="0" rightToLeft="0"/>
  </sheetViews>
  <sheetData>
    <row r="1">
      <c r="A1" t="str">
        <v xml:space="preserve">Class Record </v>
      </c>
    </row>
    <row r="4">
      <c r="B4" t="str">
        <v>REGION</v>
      </c>
      <c r="G4" t="str">
        <f>INPUT!G4</f>
        <v>Region IV-A CALABARZON</v>
      </c>
      <c r="I4" t="str">
        <v>DIVISION</v>
      </c>
      <c r="L4" t="str">
        <f>INPUT!L4</f>
        <v>Division of Quezon</v>
      </c>
    </row>
    <row r="5">
      <c r="B5" t="str">
        <v>SCHOOL NAME</v>
      </c>
      <c r="G5" t="str">
        <f>INPUT!G5</f>
        <v>San Isidro Elementary School</v>
      </c>
      <c r="Q5" t="str">
        <v>SCHOOL ID</v>
      </c>
      <c r="S5" t="str">
        <f>INPUT!S5</f>
        <v>107845</v>
      </c>
      <c r="V5" t="str">
        <v>SCHOOL YEAR</v>
      </c>
      <c r="Z5" t="str">
        <f>INPUT!Y5</f>
        <v>2026-2027</v>
      </c>
    </row>
    <row r="7">
      <c r="A7" t="str">
        <v>TERM 3</v>
      </c>
      <c r="F7" t="str">
        <v xml:space="preserve">GRADE &amp; SECTION: </v>
      </c>
      <c r="J7" t="str">
        <f>INPUT!J7</f>
        <v>Grade 4 - Mabini</v>
      </c>
      <c r="N7" t="str">
        <v>TEACHER:</v>
      </c>
      <c r="Q7" t="str">
        <f>INPUT!Q7</f>
        <v>Maria Elena Santos</v>
      </c>
      <c r="X7" t="str">
        <v>SUBJECT:</v>
      </c>
      <c r="Z7" t="str">
        <f>INPUT!Y7</f>
        <v>English</v>
      </c>
    </row>
    <row r="8">
      <c r="B8" t="str">
        <v>LEARNERS' NAMES</v>
      </c>
      <c r="F8" t="str">
        <v>WRITTEN / ORAL WORKS (20%)</v>
      </c>
      <c r="N8" t="str">
        <v>PRODUCT / PERFORMANCE TASKS (50%)</v>
      </c>
      <c r="T8" t="str">
        <v>SUMMATIVE TESTS AND TERM EXAMINATIONS (30%)</v>
      </c>
      <c r="Z8" t="str">
        <v>Initial Grade</v>
      </c>
      <c r="AA8" t="str">
        <v>Term Grade</v>
      </c>
      <c r="AB8" t="str">
        <v>Descriptior</v>
      </c>
    </row>
    <row r="9">
      <c r="F9">
        <v>1</v>
      </c>
      <c r="G9">
        <v>2</v>
      </c>
      <c r="H9">
        <v>3</v>
      </c>
      <c r="I9">
        <v>4</v>
      </c>
      <c r="J9">
        <v>5</v>
      </c>
      <c r="K9" t="str">
        <v>Total</v>
      </c>
      <c r="L9" t="str">
        <v>PS</v>
      </c>
      <c r="M9" t="str">
        <v>WS</v>
      </c>
      <c r="N9">
        <v>1</v>
      </c>
      <c r="O9">
        <v>2</v>
      </c>
      <c r="P9">
        <v>3</v>
      </c>
      <c r="Q9" t="str">
        <v>Total</v>
      </c>
      <c r="R9" t="str">
        <v>PS</v>
      </c>
      <c r="S9" t="str">
        <v>WS</v>
      </c>
      <c r="T9" t="str">
        <v>ST1</v>
      </c>
      <c r="U9" t="str">
        <v>ST2</v>
      </c>
      <c r="V9" t="str">
        <v>TE</v>
      </c>
      <c r="W9" t="str">
        <v>Total</v>
      </c>
      <c r="X9" t="str">
        <v>PS</v>
      </c>
      <c r="Y9" t="str">
        <v>WS</v>
      </c>
    </row>
    <row r="10">
      <c r="B10" t="str">
        <v>HIGHEST POSSIBLE SCORE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</row>
    <row r="11">
      <c r="B11" t="str">
        <v xml:space="preserve">MALE </v>
      </c>
      <c r="AD11" t="str">
        <v>TEST/EXAM RESULT ANALYSIS</v>
      </c>
      <c r="AV11" t="str">
        <v>ST1</v>
      </c>
      <c r="AW11" t="str">
        <v>ST2</v>
      </c>
      <c r="AX11" t="str">
        <v>TE</v>
      </c>
    </row>
    <row r="12">
      <c r="A12">
        <v>1</v>
      </c>
      <c r="B12" t="str">
        <f>INPUT!B12</f>
        <v>Aguilar, Adrian</v>
      </c>
      <c r="F12">
        <v>20</v>
      </c>
      <c r="G12">
        <v>20</v>
      </c>
      <c r="H12">
        <v>20</v>
      </c>
      <c r="I12">
        <v>20</v>
      </c>
      <c r="J12">
        <v>20</v>
      </c>
      <c r="K12">
        <f>IF(COUNT($F12:$J12)=0,"",SUM($F12:$J12))</f>
        <v>100</v>
      </c>
      <c r="L12">
        <f>IF(ISERROR(IF($K12="","",ROUND(($K12/$K$10)*$L$10,2))),"",IF($K12="","",ROUND(($K12/$K$10)*$L$10,2)))</f>
        <v>100</v>
      </c>
      <c r="M12">
        <f>IF($L12="","",ROUND($L12*$M$10,2))</f>
        <v>20</v>
      </c>
      <c r="N12">
        <v>50</v>
      </c>
      <c r="O12">
        <v>50</v>
      </c>
      <c r="P12">
        <v>50</v>
      </c>
      <c r="Q12">
        <f>IF(COUNT($N12:$P12)=0,"",SUM($N12:$P12))</f>
        <v>150</v>
      </c>
      <c r="R12">
        <f>IF(ISERROR(IF($Q12="","",ROUND(($Q12/$Q$10)*$R$10,2))),"",IF($Q12="","",ROUND(($Q12/$Q$10)*$R$10,2)))</f>
        <v>100</v>
      </c>
      <c r="S12">
        <f>IF($R12="","",ROUND($R12*$S$10,2))</f>
        <v>50</v>
      </c>
      <c r="T12">
        <v>33</v>
      </c>
      <c r="U12">
        <v>32</v>
      </c>
      <c r="V12">
        <v>33</v>
      </c>
      <c r="W12">
        <f>IF(COUNT($T12:$V12)=0,"",SUM($T12:$V12))</f>
        <v>98</v>
      </c>
      <c r="X12">
        <f>IF(ISERROR(IF($W12="","",ROUND(($W12/$W$10)*$X$10,2))),"",IF($W12="","",ROUND(($W12/$W$10)*$X$10,2)))</f>
        <v>81.67</v>
      </c>
      <c r="Y12">
        <f>IF($X12="","",ROUND($X12*$Y$10,2))</f>
        <v>24.5</v>
      </c>
      <c r="Z12">
        <f>IF(ISERROR(IF($W12="","",ROUND(SUM($M12,$S12,$Y12),2))),"",IF($W12="","",ROUND(SUM($M12,$S12,$Y12),2)))</f>
        <v>94.5</v>
      </c>
      <c r="AA12">
        <f>IF(ISERROR(IF($W12="","",VLOOKUP(Z12,NewTransmu,4,TRUE))),"",IF($W12="","",VLOOKUP(Z12,NewTransmu,4,TRUE)))</f>
        <v>96</v>
      </c>
      <c r="AB12" t="str">
        <f>IF(ISERROR(IF(AA12="","",VLOOKUP(AA12,DESCRIPTORS,4,TRUE))),"",IF(AA12="","",VLOOKUP(AA12,DESCRIPTORS,4,TRUE)))</f>
        <v>Advancing</v>
      </c>
      <c r="AV12">
        <f>(T12/$T$10)*100</f>
        <v>82.5</v>
      </c>
      <c r="AW12">
        <f>(U12/$U$10)*100</f>
        <v>80</v>
      </c>
      <c r="AX12">
        <f>(V12/$V$10)*100</f>
        <v>82.5</v>
      </c>
    </row>
    <row r="13">
      <c r="A13">
        <v>2</v>
      </c>
      <c r="B13" t="str">
        <f>INPUT!B13</f>
        <v>Alcantara, Angelo</v>
      </c>
      <c r="F13">
        <v>20</v>
      </c>
      <c r="G13">
        <v>20</v>
      </c>
      <c r="H13">
        <v>20</v>
      </c>
      <c r="I13">
        <v>20</v>
      </c>
      <c r="J13">
        <v>20</v>
      </c>
      <c r="K13">
        <f>IF(COUNT($F13:$J13)=0,"",SUM($F13:$J13))</f>
        <v>100</v>
      </c>
      <c r="L13">
        <f>IF(ISERROR(IF($K13="","",ROUND(($K13/$K$10)*$L$10,2))),"",IF($K13="","",ROUND(($K13/$K$10)*$L$10,2)))</f>
        <v>100</v>
      </c>
      <c r="M13">
        <f>IF($L13="","",ROUND($L13*$M$10,2))</f>
        <v>20</v>
      </c>
      <c r="N13">
        <v>50</v>
      </c>
      <c r="O13">
        <v>50</v>
      </c>
      <c r="P13">
        <v>50</v>
      </c>
      <c r="Q13">
        <f>IF(COUNT($N13:$P13)=0,"",SUM($N13:$P13))</f>
        <v>150</v>
      </c>
      <c r="R13">
        <f>IF(ISERROR(IF($Q13="","",ROUND(($Q13/$Q$10)*$R$10,2))),"",IF($Q13="","",ROUND(($Q13/$Q$10)*$R$10,2)))</f>
        <v>100</v>
      </c>
      <c r="S13">
        <f>IF($R13="","",ROUND($R13*$S$10,2))</f>
        <v>50</v>
      </c>
      <c r="T13">
        <v>33</v>
      </c>
      <c r="U13">
        <v>31</v>
      </c>
      <c r="V13">
        <v>32</v>
      </c>
      <c r="W13">
        <f>IF(COUNT($T13:$V13)=0,"",SUM($T13:$V13))</f>
        <v>96</v>
      </c>
      <c r="X13">
        <f>IF(ISERROR(IF($W13="","",ROUND(($W13/$W$10)*$X$10,2))),"",IF($W13="","",ROUND(($W13/$W$10)*$X$10,2)))</f>
        <v>80</v>
      </c>
      <c r="Y13">
        <f>IF($X13="","",ROUND($X13*$Y$10,2))</f>
        <v>24</v>
      </c>
      <c r="Z13">
        <f>IF(ISERROR(IF($V13="","",ROUND(SUM($M13,$S13,$Y13),2))),"",IF($V13="","",ROUND(SUM($M13,$S13,$Y13),2)))</f>
        <v>94</v>
      </c>
      <c r="AA13">
        <f>IF(ISERROR(IF($V13="","",VLOOKUP(Z13,NewTransmu,4,TRUE))),"",IF($V13="","",VLOOKUP(Z13,NewTransmu,4,TRUE)))</f>
        <v>96</v>
      </c>
      <c r="AB13" t="str">
        <f>IF(ISERROR(IF(AA13="","",VLOOKUP(AA13,DESCRIPTORS,4,TRUE))),"",IF(AA13="","",VLOOKUP(AA13,DESCRIPTORS,4,TRUE)))</f>
        <v>Advancing</v>
      </c>
      <c r="AE13" t="str">
        <v>ST1</v>
      </c>
      <c r="AF13" t="str">
        <v>ST2</v>
      </c>
      <c r="AG13" t="str">
        <v>TE</v>
      </c>
      <c r="AV13">
        <f>(T13/$T$10)*100</f>
        <v>82.5</v>
      </c>
      <c r="AW13">
        <f>(U13/$U$10)*100</f>
        <v>77.5</v>
      </c>
      <c r="AX13">
        <f>(V13/$V$10)*100</f>
        <v>80</v>
      </c>
    </row>
    <row r="14">
      <c r="A14">
        <v>3</v>
      </c>
      <c r="B14" t="str">
        <f>INPUT!B14</f>
        <v>Andrada, Anton</v>
      </c>
      <c r="F14">
        <v>20</v>
      </c>
      <c r="G14">
        <v>20</v>
      </c>
      <c r="H14">
        <v>20</v>
      </c>
      <c r="I14">
        <v>20</v>
      </c>
      <c r="J14">
        <v>20</v>
      </c>
      <c r="K14">
        <f>IF(COUNT($F14:$J14)=0,"",SUM($F14:$J14))</f>
        <v>100</v>
      </c>
      <c r="L14">
        <f>IF(ISERROR(IF($K14="","",ROUND(($K14/$K$10)*$L$10,2))),"",IF($K14="","",ROUND(($K14/$K$10)*$L$10,2)))</f>
        <v>100</v>
      </c>
      <c r="M14">
        <f>IF($L14="","",ROUND($L14*$M$10,2))</f>
        <v>20</v>
      </c>
      <c r="N14">
        <v>50</v>
      </c>
      <c r="O14">
        <v>50</v>
      </c>
      <c r="P14">
        <v>50</v>
      </c>
      <c r="Q14">
        <f>IF(COUNT($N14:$P14)=0,"",SUM($N14:$P14))</f>
        <v>150</v>
      </c>
      <c r="R14">
        <f>IF(ISERROR(IF($Q14="","",ROUND(($Q14/$Q$10)*$R$10,2))),"",IF($Q14="","",ROUND(($Q14/$Q$10)*$R$10,2)))</f>
        <v>100</v>
      </c>
      <c r="S14">
        <f>IF($R14="","",ROUND($R14*$S$10,2))</f>
        <v>50</v>
      </c>
      <c r="T14">
        <v>35</v>
      </c>
      <c r="U14">
        <v>31</v>
      </c>
      <c r="V14">
        <v>36</v>
      </c>
      <c r="W14">
        <f>IF(COUNT($T14:$V14)=0,"",SUM($T14:$V14))</f>
        <v>102</v>
      </c>
      <c r="X14">
        <f>IF(ISERROR(IF($W14="","",ROUND(($W14/$W$10)*$X$10,2))),"",IF($W14="","",ROUND(($W14/$W$10)*$X$10,2)))</f>
        <v>85</v>
      </c>
      <c r="Y14">
        <f>IF($X14="","",ROUND($X14*$Y$10,2))</f>
        <v>25.5</v>
      </c>
      <c r="Z14">
        <f>IF(ISERROR(IF($V14="","",ROUND(SUM($M14,$S14,$Y14),2))),"",IF($V14="","",ROUND(SUM($M14,$S14,$Y14),2)))</f>
        <v>95.5</v>
      </c>
      <c r="AA14">
        <f>IF(ISERROR(IF($V14="","",VLOOKUP(Z14,NewTransmu,4,TRUE))),"",IF($V14="","",VLOOKUP(Z14,NewTransmu,4,TRUE)))</f>
        <v>97</v>
      </c>
      <c r="AB14" t="str">
        <f>IF(ISERROR(IF(AA14="","",VLOOKUP(AA14,DESCRIPTORS,4,TRUE))),"",IF(AA14="","",VLOOKUP(AA14,DESCRIPTORS,4,TRUE)))</f>
        <v>Advancing</v>
      </c>
      <c r="AD14" t="str">
        <v>Number of Examinees: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>(T14/$T$10)*100</f>
        <v>87.5</v>
      </c>
      <c r="AW14">
        <f>(U14/$U$10)*100</f>
        <v>77.5</v>
      </c>
      <c r="AX14">
        <f>(V14/$V$10)*100</f>
        <v>90</v>
      </c>
    </row>
    <row r="15">
      <c r="A15">
        <v>4</v>
      </c>
      <c r="B15" t="str">
        <f>INPUT!B15</f>
        <v>Bautista, Bryan</v>
      </c>
      <c r="F15">
        <v>20</v>
      </c>
      <c r="G15">
        <v>20</v>
      </c>
      <c r="H15">
        <v>20</v>
      </c>
      <c r="I15">
        <v>20</v>
      </c>
      <c r="J15">
        <v>20</v>
      </c>
      <c r="K15">
        <f>IF(COUNT($F15:$J15)=0,"",SUM($F15:$J15))</f>
        <v>100</v>
      </c>
      <c r="L15">
        <f>IF(ISERROR(IF($K15="","",ROUND(($K15/$K$10)*$L$10,2))),"",IF($K15="","",ROUND(($K15/$K$10)*$L$10,2)))</f>
        <v>100</v>
      </c>
      <c r="M15">
        <f>IF($L15="","",ROUND($L15*$M$10,2))</f>
        <v>20</v>
      </c>
      <c r="N15">
        <v>50</v>
      </c>
      <c r="O15">
        <v>50</v>
      </c>
      <c r="P15">
        <v>50</v>
      </c>
      <c r="Q15">
        <f>IF(COUNT($N15:$P15)=0,"",SUM($N15:$P15))</f>
        <v>150</v>
      </c>
      <c r="R15">
        <f>IF(ISERROR(IF($Q15="","",ROUND(($Q15/$Q$10)*$R$10,2))),"",IF($Q15="","",ROUND(($Q15/$Q$10)*$R$10,2)))</f>
        <v>100</v>
      </c>
      <c r="S15">
        <f>IF($R15="","",ROUND($R15*$S$10,2))</f>
        <v>50</v>
      </c>
      <c r="T15">
        <v>31</v>
      </c>
      <c r="U15">
        <v>35</v>
      </c>
      <c r="V15">
        <v>38</v>
      </c>
      <c r="W15">
        <f>IF(COUNT($T15:$V15)=0,"",SUM($T15:$V15))</f>
        <v>104</v>
      </c>
      <c r="X15">
        <f>IF(ISERROR(IF($W15="","",ROUND(($W15/$W$10)*$X$10,2))),"",IF($W15="","",ROUND(($W15/$W$10)*$X$10,2)))</f>
        <v>86.67</v>
      </c>
      <c r="Y15">
        <f>IF($X15="","",ROUND($X15*$Y$10,2))</f>
        <v>26</v>
      </c>
      <c r="Z15">
        <f>IF(ISERROR(IF($V15="","",ROUND(SUM($M15,$S15,$Y15),2))),"",IF($V15="","",ROUND(SUM($M15,$S15,$Y15),2)))</f>
        <v>96</v>
      </c>
      <c r="AA15">
        <f>IF(ISERROR(IF($V15="","",VLOOKUP(Z15,NewTransmu,4,TRUE))),"",IF($V15="","",VLOOKUP(Z15,NewTransmu,4,TRUE)))</f>
        <v>98</v>
      </c>
      <c r="AB15" t="str">
        <f>IF(ISERROR(IF(AA15="","",VLOOKUP(AA15,DESCRIPTORS,4,TRUE))),"",IF(AA15="","",VLOOKUP(AA15,DESCRIPTORS,4,TRUE)))</f>
        <v>Advancing</v>
      </c>
      <c r="AD15" t="str">
        <v>Highest Possible Score:</v>
      </c>
      <c r="AE15">
        <f>T10</f>
        <v>40</v>
      </c>
      <c r="AF15">
        <f>U10</f>
        <v>40</v>
      </c>
      <c r="AG15">
        <f>V10</f>
        <v>40</v>
      </c>
      <c r="AV15">
        <f>(T15/$T$10)*100</f>
        <v>77.5</v>
      </c>
      <c r="AW15">
        <f>(U15/$U$10)*100</f>
        <v>87.5</v>
      </c>
      <c r="AX15">
        <f>(V15/$V$10)*100</f>
        <v>95</v>
      </c>
    </row>
    <row r="16">
      <c r="A16">
        <v>5</v>
      </c>
      <c r="B16" t="str">
        <f>INPUT!B16</f>
        <v>Bernardo, Caleb</v>
      </c>
      <c r="F16">
        <v>20</v>
      </c>
      <c r="G16">
        <v>20</v>
      </c>
      <c r="H16">
        <v>20</v>
      </c>
      <c r="I16">
        <v>20</v>
      </c>
      <c r="J16">
        <v>20</v>
      </c>
      <c r="K16">
        <f>IF(COUNT($F16:$J16)=0,"",SUM($F16:$J16))</f>
        <v>100</v>
      </c>
      <c r="L16">
        <f>IF(ISERROR(IF($K16="","",ROUND(($K16/$K$10)*$L$10,2))),"",IF($K16="","",ROUND(($K16/$K$10)*$L$10,2)))</f>
        <v>100</v>
      </c>
      <c r="M16">
        <f>IF($L16="","",ROUND($L16*$M$10,2))</f>
        <v>20</v>
      </c>
      <c r="N16">
        <v>50</v>
      </c>
      <c r="O16">
        <v>50</v>
      </c>
      <c r="P16">
        <v>50</v>
      </c>
      <c r="Q16">
        <f>IF(COUNT($N16:$P16)=0,"",SUM($N16:$P16))</f>
        <v>150</v>
      </c>
      <c r="R16">
        <f>IF(ISERROR(IF($Q16="","",ROUND(($Q16/$Q$10)*$R$10,2))),"",IF($Q16="","",ROUND(($Q16/$Q$10)*$R$10,2)))</f>
        <v>100</v>
      </c>
      <c r="S16">
        <f>IF($R16="","",ROUND($R16*$S$10,2))</f>
        <v>50</v>
      </c>
      <c r="T16">
        <v>33</v>
      </c>
      <c r="U16">
        <v>28</v>
      </c>
      <c r="V16">
        <v>28</v>
      </c>
      <c r="W16">
        <f>IF(COUNT($T16:$V16)=0,"",SUM($T16:$V16))</f>
        <v>89</v>
      </c>
      <c r="X16">
        <f>IF(ISERROR(IF($W16="","",ROUND(($W16/$W$10)*$X$10,2))),"",IF($W16="","",ROUND(($W16/$W$10)*$X$10,2)))</f>
        <v>74.17</v>
      </c>
      <c r="Y16">
        <f>IF($X16="","",ROUND($X16*$Y$10,2))</f>
        <v>22.25</v>
      </c>
      <c r="Z16">
        <f>IF(ISERROR(IF($V16="","",ROUND(SUM($M16,$S16,$Y16),2))),"",IF($V16="","",ROUND(SUM($M16,$S16,$Y16),2)))</f>
        <v>92.25</v>
      </c>
      <c r="AA16">
        <f>IF(ISERROR(IF($V16="","",VLOOKUP(Z16,NewTransmu,4,TRUE))),"",IF($V16="","",VLOOKUP(Z16,NewTransmu,4,TRUE)))</f>
        <v>94</v>
      </c>
      <c r="AB16" t="str">
        <f>IF(ISERROR(IF(AA16="","",VLOOKUP(AA16,DESCRIPTORS,4,TRUE))),"",IF(AA16="","",VLOOKUP(AA16,DESCRIPTORS,4,TRUE)))</f>
        <v>Advancing</v>
      </c>
      <c r="AV16">
        <f>(T16/$T$10)*100</f>
        <v>82.5</v>
      </c>
      <c r="AW16">
        <f>(U16/$U$10)*100</f>
        <v>70</v>
      </c>
      <c r="AX16">
        <f>(V16/$V$10)*100</f>
        <v>70</v>
      </c>
    </row>
    <row r="17">
      <c r="A17">
        <v>6</v>
      </c>
      <c r="B17" t="str">
        <f>INPUT!B17</f>
        <v>Castillo, Carlo</v>
      </c>
      <c r="F17">
        <v>20</v>
      </c>
      <c r="G17">
        <v>20</v>
      </c>
      <c r="H17">
        <v>20</v>
      </c>
      <c r="I17">
        <v>20</v>
      </c>
      <c r="J17">
        <v>20</v>
      </c>
      <c r="K17">
        <f>IF(COUNT($F17:$J17)=0,"",SUM($F17:$J17))</f>
        <v>100</v>
      </c>
      <c r="L17">
        <f>IF(ISERROR(IF($K17="","",ROUND(($K17/$K$10)*$L$10,2))),"",IF($K17="","",ROUND(($K17/$K$10)*$L$10,2)))</f>
        <v>100</v>
      </c>
      <c r="M17">
        <f>IF($L17="","",ROUND($L17*$M$10,2))</f>
        <v>20</v>
      </c>
      <c r="N17">
        <v>50</v>
      </c>
      <c r="O17">
        <v>50</v>
      </c>
      <c r="P17">
        <v>50</v>
      </c>
      <c r="Q17">
        <f>IF(COUNT($N17:$P17)=0,"",SUM($N17:$P17))</f>
        <v>150</v>
      </c>
      <c r="R17">
        <f>IF(ISERROR(IF($Q17="","",ROUND(($Q17/$Q$10)*$R$10,2))),"",IF($Q17="","",ROUND(($Q17/$Q$10)*$R$10,2)))</f>
        <v>100</v>
      </c>
      <c r="S17">
        <f>IF($R17="","",ROUND($R17*$S$10,2))</f>
        <v>50</v>
      </c>
      <c r="T17">
        <v>36</v>
      </c>
      <c r="U17">
        <v>34</v>
      </c>
      <c r="V17">
        <v>36</v>
      </c>
      <c r="W17">
        <f>IF(COUNT($T17:$V17)=0,"",SUM($T17:$V17))</f>
        <v>106</v>
      </c>
      <c r="X17">
        <f>IF(ISERROR(IF($W17="","",ROUND(($W17/$W$10)*$X$10,2))),"",IF($W17="","",ROUND(($W17/$W$10)*$X$10,2)))</f>
        <v>88.33</v>
      </c>
      <c r="Y17">
        <f>IF($X17="","",ROUND($X17*$Y$10,2))</f>
        <v>26.5</v>
      </c>
      <c r="Z17">
        <f>IF(ISERROR(IF($V17="","",ROUND(SUM($M17,$S17,$Y17),2))),"",IF($V17="","",ROUND(SUM($M17,$S17,$Y17),2)))</f>
        <v>96.5</v>
      </c>
      <c r="AA17">
        <f>IF(ISERROR(IF($V17="","",VLOOKUP(Z17,NewTransmu,4,TRUE))),"",IF($V17="","",VLOOKUP(Z17,NewTransmu,4,TRUE)))</f>
        <v>98</v>
      </c>
      <c r="AB17" t="str">
        <f>IF(ISERROR(IF(AA17="","",VLOOKUP(AA17,DESCRIPTORS,4,TRUE))),"",IF(AA17="","",VLOOKUP(AA17,DESCRIPTORS,4,TRUE)))</f>
        <v>Advancing</v>
      </c>
      <c r="AD17" t="str">
        <v>CRITERION-REFERENCED</v>
      </c>
      <c r="AE17" t="str">
        <v>ST1</v>
      </c>
      <c r="AF17" t="str">
        <v>ST2</v>
      </c>
      <c r="AG17" t="str">
        <v>TE</v>
      </c>
      <c r="AV17">
        <f>(T17/$T$10)*100</f>
        <v>90</v>
      </c>
      <c r="AW17">
        <f>(U17/$U$10)*100</f>
        <v>85</v>
      </c>
      <c r="AX17">
        <f>(V17/$V$10)*100</f>
        <v>90</v>
      </c>
    </row>
    <row r="18">
      <c r="A18">
        <v>7</v>
      </c>
      <c r="B18" t="str">
        <f>INPUT!B18</f>
        <v>Cruz, Christian</v>
      </c>
      <c r="F18">
        <v>20</v>
      </c>
      <c r="G18">
        <v>20</v>
      </c>
      <c r="H18">
        <v>20</v>
      </c>
      <c r="I18">
        <v>20</v>
      </c>
      <c r="J18">
        <v>20</v>
      </c>
      <c r="K18">
        <f>IF(COUNT($F18:$J18)=0,"",SUM($F18:$J18))</f>
        <v>100</v>
      </c>
      <c r="L18">
        <f>IF(ISERROR(IF($K18="","",ROUND(($K18/$K$10)*$L$10,2))),"",IF($K18="","",ROUND(($K18/$K$10)*$L$10,2)))</f>
        <v>100</v>
      </c>
      <c r="M18">
        <f>IF($L18="","",ROUND($L18*$M$10,2))</f>
        <v>20</v>
      </c>
      <c r="N18">
        <v>50</v>
      </c>
      <c r="O18">
        <v>50</v>
      </c>
      <c r="P18">
        <v>50</v>
      </c>
      <c r="Q18">
        <f>IF(COUNT($N18:$P18)=0,"",SUM($N18:$P18))</f>
        <v>150</v>
      </c>
      <c r="R18">
        <f>IF(ISERROR(IF($Q18="","",ROUND(($Q18/$Q$10)*$R$10,2))),"",IF($Q18="","",ROUND(($Q18/$Q$10)*$R$10,2)))</f>
        <v>100</v>
      </c>
      <c r="S18">
        <f>IF($R18="","",ROUND($R18*$S$10,2))</f>
        <v>50</v>
      </c>
      <c r="T18">
        <v>38</v>
      </c>
      <c r="U18">
        <v>39</v>
      </c>
      <c r="V18">
        <v>38</v>
      </c>
      <c r="W18">
        <f>IF(COUNT($T18:$V18)=0,"",SUM($T18:$V18))</f>
        <v>115</v>
      </c>
      <c r="X18">
        <f>IF(ISERROR(IF($W18="","",ROUND(($W18/$W$10)*$X$10,2))),"",IF($W18="","",ROUND(($W18/$W$10)*$X$10,2)))</f>
        <v>95.83</v>
      </c>
      <c r="Y18">
        <f>IF($X18="","",ROUND($X18*$Y$10,2))</f>
        <v>28.75</v>
      </c>
      <c r="Z18">
        <f>IF(ISERROR(IF($V18="","",ROUND(SUM($M18,$S18,$Y18),2))),"",IF($V18="","",ROUND(SUM($M18,$S18,$Y18),2)))</f>
        <v>98.75</v>
      </c>
      <c r="AA18">
        <f>IF(ISERROR(IF($V18="","",VLOOKUP(Z18,NewTransmu,4,TRUE))),"",IF($V18="","",VLOOKUP(Z18,NewTransmu,4,TRUE)))</f>
        <v>99</v>
      </c>
      <c r="AB18" t="str">
        <f>IF(ISERROR(IF(AA18="","",VLOOKUP(AA18,DESCRIPTORS,4,TRUE))),"",IF(AA18="","",VLOOKUP(AA18,DESCRIPTORS,4,TRUE)))</f>
        <v>Advancing</v>
      </c>
      <c r="AD18" t="str">
        <v xml:space="preserve"> Got 75% &amp; above</v>
      </c>
      <c r="AE18">
        <f>COUNTIF(AV12:AV112,"&gt;=75")</f>
        <v>95</v>
      </c>
      <c r="AF18">
        <f>COUNTIF(AW12:AW112,"&gt;=75")</f>
        <v>92</v>
      </c>
      <c r="AG18">
        <f>COUNTIF(AX12:AX112,"&gt;=75")</f>
        <v>91</v>
      </c>
      <c r="AV18">
        <f>(T18/$T$10)*100</f>
        <v>95</v>
      </c>
      <c r="AW18">
        <f>(U18/$U$10)*100</f>
        <v>97.5</v>
      </c>
      <c r="AX18">
        <f>(V18/$V$10)*100</f>
        <v>95</v>
      </c>
    </row>
    <row r="19">
      <c r="A19">
        <v>8</v>
      </c>
      <c r="B19" t="str">
        <f>INPUT!B19</f>
        <v>Dela Cruz, Daniel</v>
      </c>
      <c r="F19">
        <v>20</v>
      </c>
      <c r="G19">
        <v>20</v>
      </c>
      <c r="H19">
        <v>20</v>
      </c>
      <c r="I19">
        <v>20</v>
      </c>
      <c r="J19">
        <v>20</v>
      </c>
      <c r="K19">
        <f>IF(COUNT($F19:$J19)=0,"",SUM($F19:$J19))</f>
        <v>100</v>
      </c>
      <c r="L19">
        <f>IF(ISERROR(IF($K19="","",ROUND(($K19/$K$10)*$L$10,2))),"",IF($K19="","",ROUND(($K19/$K$10)*$L$10,2)))</f>
        <v>100</v>
      </c>
      <c r="M19">
        <f>IF($L19="","",ROUND($L19*$M$10,2))</f>
        <v>20</v>
      </c>
      <c r="N19">
        <v>50</v>
      </c>
      <c r="O19">
        <v>50</v>
      </c>
      <c r="P19">
        <v>50</v>
      </c>
      <c r="Q19">
        <f>IF(COUNT($N19:$P19)=0,"",SUM($N19:$P19))</f>
        <v>150</v>
      </c>
      <c r="R19">
        <f>IF(ISERROR(IF($Q19="","",ROUND(($Q19/$Q$10)*$R$10,2))),"",IF($Q19="","",ROUND(($Q19/$Q$10)*$R$10,2)))</f>
        <v>100</v>
      </c>
      <c r="S19">
        <f>IF($R19="","",ROUND($R19*$S$10,2))</f>
        <v>50</v>
      </c>
      <c r="T19">
        <v>40</v>
      </c>
      <c r="U19">
        <v>34</v>
      </c>
      <c r="V19">
        <v>36</v>
      </c>
      <c r="W19">
        <f>IF(COUNT($T19:$V19)=0,"",SUM($T19:$V19))</f>
        <v>110</v>
      </c>
      <c r="X19">
        <f>IF(ISERROR(IF($W19="","",ROUND(($W19/$W$10)*$X$10,2))),"",IF($W19="","",ROUND(($W19/$W$10)*$X$10,2)))</f>
        <v>91.67</v>
      </c>
      <c r="Y19">
        <f>IF($X19="","",ROUND($X19*$Y$10,2))</f>
        <v>27.5</v>
      </c>
      <c r="Z19">
        <f>IF(ISERROR(IF($V19="","",ROUND(SUM($M19,$S19,$Y19),2))),"",IF($V19="","",ROUND(SUM($M19,$S19,$Y19),2)))</f>
        <v>97.5</v>
      </c>
      <c r="AA19">
        <f>IF(ISERROR(IF($V19="","",VLOOKUP(Z19,NewTransmu,4,TRUE))),"",IF($V19="","",VLOOKUP(Z19,NewTransmu,4,TRUE)))</f>
        <v>99</v>
      </c>
      <c r="AB19" t="str">
        <f>IF(ISERROR(IF(AA19="","",VLOOKUP(AA19,DESCRIPTORS,4,TRUE))),"",IF(AA19="","",VLOOKUP(AA19,DESCRIPTORS,4,TRUE)))</f>
        <v>Advancing</v>
      </c>
      <c r="AD19" t="str">
        <v>Percentage</v>
      </c>
      <c r="AE19">
        <f>IFERROR(AE18/AE14,"")</f>
        <v>0.95</v>
      </c>
      <c r="AF19">
        <f>IFERROR(AF18/AF14,"")</f>
        <v>0.92</v>
      </c>
      <c r="AG19">
        <f>IFERROR(AG18/AG14,"")</f>
        <v>0.91</v>
      </c>
      <c r="AV19">
        <f>(T19/$T$10)*100</f>
        <v>100</v>
      </c>
      <c r="AW19">
        <f>(U19/$U$10)*100</f>
        <v>85</v>
      </c>
      <c r="AX19">
        <f>(V19/$V$10)*100</f>
        <v>90</v>
      </c>
    </row>
    <row r="20">
      <c r="A20">
        <v>9</v>
      </c>
      <c r="B20" t="str">
        <f>INPUT!B20</f>
        <v>Diaz, Darren</v>
      </c>
      <c r="F20">
        <v>20</v>
      </c>
      <c r="G20">
        <v>20</v>
      </c>
      <c r="H20">
        <v>20</v>
      </c>
      <c r="I20">
        <v>20</v>
      </c>
      <c r="J20">
        <v>20</v>
      </c>
      <c r="K20">
        <f>IF(COUNT($F20:$J20)=0,"",SUM($F20:$J20))</f>
        <v>100</v>
      </c>
      <c r="L20">
        <f>IF(ISERROR(IF($K20="","",ROUND(($K20/$K$10)*$L$10,2))),"",IF($K20="","",ROUND(($K20/$K$10)*$L$10,2)))</f>
        <v>100</v>
      </c>
      <c r="M20">
        <f>IF($L20="","",ROUND($L20*$M$10,2))</f>
        <v>20</v>
      </c>
      <c r="N20">
        <v>50</v>
      </c>
      <c r="O20">
        <v>50</v>
      </c>
      <c r="P20">
        <v>50</v>
      </c>
      <c r="Q20">
        <f>IF(COUNT($N20:$P20)=0,"",SUM($N20:$P20))</f>
        <v>150</v>
      </c>
      <c r="R20">
        <f>IF(ISERROR(IF($Q20="","",ROUND(($Q20/$Q$10)*$R$10,2))),"",IF($Q20="","",ROUND(($Q20/$Q$10)*$R$10,2)))</f>
        <v>100</v>
      </c>
      <c r="S20">
        <f>IF($R20="","",ROUND($R20*$S$10,2))</f>
        <v>50</v>
      </c>
      <c r="T20">
        <v>34</v>
      </c>
      <c r="U20">
        <v>37</v>
      </c>
      <c r="V20">
        <v>36</v>
      </c>
      <c r="W20">
        <f>IF(COUNT($T20:$V20)=0,"",SUM($T20:$V20))</f>
        <v>107</v>
      </c>
      <c r="X20">
        <f>IF(ISERROR(IF($W20="","",ROUND(($W20/$W$10)*$X$10,2))),"",IF($W20="","",ROUND(($W20/$W$10)*$X$10,2)))</f>
        <v>89.17</v>
      </c>
      <c r="Y20">
        <f>IF($X20="","",ROUND($X20*$Y$10,2))</f>
        <v>26.75</v>
      </c>
      <c r="Z20">
        <f>IF(ISERROR(IF($V20="","",ROUND(SUM($M20,$S20,$Y20),2))),"",IF($V20="","",ROUND(SUM($M20,$S20,$Y20),2)))</f>
        <v>96.75</v>
      </c>
      <c r="AA20">
        <f>IF(ISERROR(IF($V20="","",VLOOKUP(Z20,NewTransmu,4,TRUE))),"",IF($V20="","",VLOOKUP(Z20,NewTransmu,4,TRUE)))</f>
        <v>98</v>
      </c>
      <c r="AB20" t="str">
        <f>IF(ISERROR(IF(AA20="","",VLOOKUP(AA20,DESCRIPTORS,4,TRUE))),"",IF(AA20="","",VLOOKUP(AA20,DESCRIPTORS,4,TRUE)))</f>
        <v>Advancing</v>
      </c>
      <c r="AD20" t="str">
        <v>Got below 75%</v>
      </c>
      <c r="AE20">
        <f>AE14-AE18</f>
        <v>5</v>
      </c>
      <c r="AF20">
        <f>AF14-AF18</f>
        <v>8</v>
      </c>
      <c r="AG20">
        <f>AG14-AG18</f>
        <v>9</v>
      </c>
      <c r="AV20">
        <f>(T20/$T$10)*100</f>
        <v>85</v>
      </c>
      <c r="AW20">
        <f>(U20/$U$10)*100</f>
        <v>92.5</v>
      </c>
      <c r="AX20">
        <f>(V20/$V$10)*100</f>
        <v>90</v>
      </c>
    </row>
    <row r="21">
      <c r="A21">
        <v>10</v>
      </c>
      <c r="B21" t="str">
        <f>INPUT!B21</f>
        <v>Evangelista, Diego</v>
      </c>
      <c r="F21">
        <v>20</v>
      </c>
      <c r="G21">
        <v>20</v>
      </c>
      <c r="H21">
        <v>20</v>
      </c>
      <c r="I21">
        <v>20</v>
      </c>
      <c r="J21">
        <v>20</v>
      </c>
      <c r="K21">
        <f>IF(COUNT($F21:$J21)=0,"",SUM($F21:$J21))</f>
        <v>100</v>
      </c>
      <c r="L21">
        <f>IF(ISERROR(IF($K21="","",ROUND(($K21/$K$10)*$L$10,2))),"",IF($K21="","",ROUND(($K21/$K$10)*$L$10,2)))</f>
        <v>100</v>
      </c>
      <c r="M21">
        <f>IF($L21="","",ROUND($L21*$M$10,2))</f>
        <v>20</v>
      </c>
      <c r="N21">
        <v>50</v>
      </c>
      <c r="O21">
        <v>50</v>
      </c>
      <c r="P21">
        <v>50</v>
      </c>
      <c r="Q21">
        <f>IF(COUNT($N21:$P21)=0,"",SUM($N21:$P21))</f>
        <v>150</v>
      </c>
      <c r="R21">
        <f>IF(ISERROR(IF($Q21="","",ROUND(($Q21/$Q$10)*$R$10,2))),"",IF($Q21="","",ROUND(($Q21/$Q$10)*$R$10,2)))</f>
        <v>100</v>
      </c>
      <c r="S21">
        <f>IF($R21="","",ROUND($R21*$S$10,2))</f>
        <v>50</v>
      </c>
      <c r="T21">
        <v>34</v>
      </c>
      <c r="U21">
        <v>33</v>
      </c>
      <c r="V21">
        <v>35</v>
      </c>
      <c r="W21">
        <f>IF(COUNT($T21:$V21)=0,"",SUM($T21:$V21))</f>
        <v>102</v>
      </c>
      <c r="X21">
        <f>IF(ISERROR(IF($W21="","",ROUND(($W21/$W$10)*$X$10,2))),"",IF($W21="","",ROUND(($W21/$W$10)*$X$10,2)))</f>
        <v>85</v>
      </c>
      <c r="Y21">
        <f>IF($X21="","",ROUND($X21*$Y$10,2))</f>
        <v>25.5</v>
      </c>
      <c r="Z21">
        <f>IF(ISERROR(IF($V21="","",ROUND(SUM($M21,$S21,$Y21),2))),"",IF($V21="","",ROUND(SUM($M21,$S21,$Y21),2)))</f>
        <v>95.5</v>
      </c>
      <c r="AA21">
        <f>IF(ISERROR(IF($V21="","",VLOOKUP(Z21,NewTransmu,4,TRUE))),"",IF($V21="","",VLOOKUP(Z21,NewTransmu,4,TRUE)))</f>
        <v>97</v>
      </c>
      <c r="AB21" t="str">
        <f>IF(ISERROR(IF(AA21="","",VLOOKUP(AA21,DESCRIPTORS,4,TRUE))),"",IF(AA21="","",VLOOKUP(AA21,DESCRIPTORS,4,TRUE)))</f>
        <v>Advancing</v>
      </c>
      <c r="AD21" t="str">
        <v>Percentage</v>
      </c>
      <c r="AE21">
        <f>IFERROR(1-AE19,"")</f>
        <v>0.050000000000000044</v>
      </c>
      <c r="AF21">
        <f>IFERROR(1-AF19,"")</f>
        <v>0.07999999999999996</v>
      </c>
      <c r="AG21">
        <f>IFERROR(1-AG19,"")</f>
        <v>0.08999999999999997</v>
      </c>
      <c r="AV21">
        <f>(T21/$T$10)*100</f>
        <v>85</v>
      </c>
      <c r="AW21">
        <f>(U21/$U$10)*100</f>
        <v>82.5</v>
      </c>
      <c r="AX21">
        <f>(V21/$V$10)*100</f>
        <v>87.5</v>
      </c>
    </row>
    <row r="22">
      <c r="A22">
        <v>11</v>
      </c>
      <c r="B22" t="str">
        <f>INPUT!B22</f>
        <v>Fernandez, Ethan</v>
      </c>
      <c r="F22">
        <v>20</v>
      </c>
      <c r="G22">
        <v>20</v>
      </c>
      <c r="H22">
        <v>20</v>
      </c>
      <c r="I22">
        <v>20</v>
      </c>
      <c r="J22">
        <v>20</v>
      </c>
      <c r="K22">
        <f>IF(COUNT($F22:$J22)=0,"",SUM($F22:$J22))</f>
        <v>100</v>
      </c>
      <c r="L22">
        <f>IF(ISERROR(IF($K22="","",ROUND(($K22/$K$10)*$L$10,2))),"",IF($K22="","",ROUND(($K22/$K$10)*$L$10,2)))</f>
        <v>100</v>
      </c>
      <c r="M22">
        <f>IF($L22="","",ROUND($L22*$M$10,2))</f>
        <v>20</v>
      </c>
      <c r="N22">
        <v>50</v>
      </c>
      <c r="O22">
        <v>50</v>
      </c>
      <c r="P22">
        <v>50</v>
      </c>
      <c r="Q22">
        <f>IF(COUNT($N22:$P22)=0,"",SUM($N22:$P22))</f>
        <v>150</v>
      </c>
      <c r="R22">
        <f>IF(ISERROR(IF($Q22="","",ROUND(($Q22/$Q$10)*$R$10,2))),"",IF($Q22="","",ROUND(($Q22/$Q$10)*$R$10,2)))</f>
        <v>100</v>
      </c>
      <c r="S22">
        <f>IF($R22="","",ROUND($R22*$S$10,2))</f>
        <v>50</v>
      </c>
      <c r="T22">
        <v>37</v>
      </c>
      <c r="U22">
        <v>40</v>
      </c>
      <c r="V22">
        <v>40</v>
      </c>
      <c r="W22">
        <f>IF(COUNT($T22:$V22)=0,"",SUM($T22:$V22))</f>
        <v>117</v>
      </c>
      <c r="X22">
        <f>IF(ISERROR(IF($W22="","",ROUND(($W22/$W$10)*$X$10,2))),"",IF($W22="","",ROUND(($W22/$W$10)*$X$10,2)))</f>
        <v>97.5</v>
      </c>
      <c r="Y22">
        <f>IF($X22="","",ROUND($X22*$Y$10,2))</f>
        <v>29.25</v>
      </c>
      <c r="Z22">
        <f>IF(ISERROR(IF($V22="","",ROUND(SUM($M22,$S22,$Y22),2))),"",IF($V22="","",ROUND(SUM($M22,$S22,$Y22),2)))</f>
        <v>99.25</v>
      </c>
      <c r="AA22">
        <f>IF(ISERROR(IF($V22="","",VLOOKUP(Z22,NewTransmu,4,TRUE))),"",IF($V22="","",VLOOKUP(Z22,NewTransmu,4,TRUE)))</f>
        <v>99</v>
      </c>
      <c r="AB22" t="str">
        <f>IF(ISERROR(IF(AA22="","",VLOOKUP(AA22,DESCRIPTORS,4,TRUE))),"",IF(AA22="","",VLOOKUP(AA22,DESCRIPTORS,4,TRUE)))</f>
        <v>Advancing</v>
      </c>
      <c r="AV22">
        <f>(T22/$T$10)*100</f>
        <v>92.5</v>
      </c>
      <c r="AW22">
        <f>(U22/$U$10)*100</f>
        <v>100</v>
      </c>
      <c r="AX22">
        <f>(V22/$V$10)*100</f>
        <v>100</v>
      </c>
    </row>
    <row r="23">
      <c r="A23">
        <v>12</v>
      </c>
      <c r="B23" t="str">
        <f>INPUT!B23</f>
        <v>Garcia, Gabriel</v>
      </c>
      <c r="F23">
        <v>20</v>
      </c>
      <c r="G23">
        <v>20</v>
      </c>
      <c r="H23">
        <v>20</v>
      </c>
      <c r="I23">
        <v>20</v>
      </c>
      <c r="J23">
        <v>20</v>
      </c>
      <c r="K23">
        <f>IF(COUNT($F23:$J23)=0,"",SUM($F23:$J23))</f>
        <v>100</v>
      </c>
      <c r="L23">
        <f>IF(ISERROR(IF($K23="","",ROUND(($K23/$K$10)*$L$10,2))),"",IF($K23="","",ROUND(($K23/$K$10)*$L$10,2)))</f>
        <v>100</v>
      </c>
      <c r="M23">
        <f>IF($L23="","",ROUND($L23*$M$10,2))</f>
        <v>20</v>
      </c>
      <c r="N23">
        <v>50</v>
      </c>
      <c r="O23">
        <v>50</v>
      </c>
      <c r="P23">
        <v>50</v>
      </c>
      <c r="Q23">
        <f>IF(COUNT($N23:$P23)=0,"",SUM($N23:$P23))</f>
        <v>150</v>
      </c>
      <c r="R23">
        <f>IF(ISERROR(IF($Q23="","",ROUND(($Q23/$Q$10)*$R$10,2))),"",IF($Q23="","",ROUND(($Q23/$Q$10)*$R$10,2)))</f>
        <v>100</v>
      </c>
      <c r="S23">
        <f>IF($R23="","",ROUND($R23*$S$10,2))</f>
        <v>50</v>
      </c>
      <c r="T23">
        <v>30</v>
      </c>
      <c r="U23">
        <v>34</v>
      </c>
      <c r="V23">
        <v>28</v>
      </c>
      <c r="W23">
        <f>IF(COUNT($T23:$V23)=0,"",SUM($T23:$V23))</f>
        <v>92</v>
      </c>
      <c r="X23">
        <f>IF(ISERROR(IF($W23="","",ROUND(($W23/$W$10)*$X$10,2))),"",IF($W23="","",ROUND(($W23/$W$10)*$X$10,2)))</f>
        <v>76.67</v>
      </c>
      <c r="Y23">
        <f>IF($X23="","",ROUND($X23*$Y$10,2))</f>
        <v>23</v>
      </c>
      <c r="Z23">
        <f>IF(ISERROR(IF($V23="","",ROUND(SUM($M23,$S23,$Y23),2))),"",IF($V23="","",ROUND(SUM($M23,$S23,$Y23),2)))</f>
        <v>93</v>
      </c>
      <c r="AA23">
        <f>IF(ISERROR(IF($V23="","",VLOOKUP(Z23,NewTransmu,4,TRUE))),"",IF($V23="","",VLOOKUP(Z23,NewTransmu,4,TRUE)))</f>
        <v>95</v>
      </c>
      <c r="AB23" t="str">
        <f>IF(ISERROR(IF(AA23="","",VLOOKUP(AA23,DESCRIPTORS,4,TRUE))),"",IF(AA23="","",VLOOKUP(AA23,DESCRIPTORS,4,TRUE)))</f>
        <v>Advancing</v>
      </c>
      <c r="AD23" t="str">
        <v>NORM-REFERENCED</v>
      </c>
      <c r="AE23" t="str">
        <v>ST1</v>
      </c>
      <c r="AF23" t="str">
        <v>ST2</v>
      </c>
      <c r="AG23" t="str">
        <v>TE</v>
      </c>
      <c r="AV23">
        <f>(T23/$T$10)*100</f>
        <v>75</v>
      </c>
      <c r="AW23">
        <f>(U23/$U$10)*100</f>
        <v>85</v>
      </c>
      <c r="AX23">
        <f>(V23/$V$10)*100</f>
        <v>70</v>
      </c>
    </row>
    <row r="24">
      <c r="A24">
        <v>13</v>
      </c>
      <c r="B24" t="str">
        <f>INPUT!B24</f>
        <v>Gonzales, Harold</v>
      </c>
      <c r="F24">
        <v>20</v>
      </c>
      <c r="G24">
        <v>20</v>
      </c>
      <c r="H24">
        <v>20</v>
      </c>
      <c r="I24">
        <v>20</v>
      </c>
      <c r="J24">
        <v>20</v>
      </c>
      <c r="K24">
        <f>IF(COUNT($F24:$J24)=0,"",SUM($F24:$J24))</f>
        <v>100</v>
      </c>
      <c r="L24">
        <f>IF(ISERROR(IF($K24="","",ROUND(($K24/$K$10)*$L$10,2))),"",IF($K24="","",ROUND(($K24/$K$10)*$L$10,2)))</f>
        <v>100</v>
      </c>
      <c r="M24">
        <f>IF($L24="","",ROUND($L24*$M$10,2))</f>
        <v>20</v>
      </c>
      <c r="N24">
        <v>50</v>
      </c>
      <c r="O24">
        <v>50</v>
      </c>
      <c r="P24">
        <v>50</v>
      </c>
      <c r="Q24">
        <f>IF(COUNT($N24:$P24)=0,"",SUM($N24:$P24))</f>
        <v>150</v>
      </c>
      <c r="R24">
        <f>IF(ISERROR(IF($Q24="","",ROUND(($Q24/$Q$10)*$R$10,2))),"",IF($Q24="","",ROUND(($Q24/$Q$10)*$R$10,2)))</f>
        <v>100</v>
      </c>
      <c r="S24">
        <f>IF($R24="","",ROUND($R24*$S$10,2))</f>
        <v>50</v>
      </c>
      <c r="T24">
        <v>34</v>
      </c>
      <c r="U24">
        <v>38</v>
      </c>
      <c r="V24">
        <v>39</v>
      </c>
      <c r="W24">
        <f>IF(COUNT($T24:$V24)=0,"",SUM($T24:$V24))</f>
        <v>111</v>
      </c>
      <c r="X24">
        <f>IF(ISERROR(IF($W24="","",ROUND(($W24/$W$10)*$X$10,2))),"",IF($W24="","",ROUND(($W24/$W$10)*$X$10,2)))</f>
        <v>92.5</v>
      </c>
      <c r="Y24">
        <f>IF($X24="","",ROUND($X24*$Y$10,2))</f>
        <v>27.75</v>
      </c>
      <c r="Z24">
        <f>IF(ISERROR(IF($V24="","",ROUND(SUM($M24,$S24,$Y24),2))),"",IF($V24="","",ROUND(SUM($M24,$S24,$Y24),2)))</f>
        <v>97.75</v>
      </c>
      <c r="AA24">
        <f>IF(ISERROR(IF($V24="","",VLOOKUP(Z24,NewTransmu,4,TRUE))),"",IF($V24="","",VLOOKUP(Z24,NewTransmu,4,TRUE)))</f>
        <v>99</v>
      </c>
      <c r="AB24" t="str">
        <f>IF(ISERROR(IF(AA24="","",VLOOKUP(AA24,DESCRIPTORS,4,TRUE))),"",IF(AA24="","",VLOOKUP(AA24,DESCRIPTORS,4,TRUE)))</f>
        <v>Advancing</v>
      </c>
      <c r="AD24" t="str">
        <v>Mean</v>
      </c>
      <c r="AE24">
        <f>IFERROR(AVERAGE(T12:T112),"")</f>
        <v>34.6</v>
      </c>
      <c r="AF24">
        <f>IFERROR(AVERAGE(U12:U112),"")</f>
        <v>34.43</v>
      </c>
      <c r="AG24">
        <f>IFERROR(AVERAGE(V12:V112),"")</f>
        <v>34.55</v>
      </c>
      <c r="AV24">
        <f>(T24/$T$10)*100</f>
        <v>85</v>
      </c>
      <c r="AW24">
        <f>(U24/$U$10)*100</f>
        <v>95</v>
      </c>
      <c r="AX24">
        <f>(V24/$V$10)*100</f>
        <v>97.5</v>
      </c>
    </row>
    <row r="25">
      <c r="A25">
        <v>14</v>
      </c>
      <c r="B25" t="str">
        <f>INPUT!B25</f>
        <v>Hernandez, Ivan</v>
      </c>
      <c r="F25">
        <v>20</v>
      </c>
      <c r="G25">
        <v>20</v>
      </c>
      <c r="H25">
        <v>20</v>
      </c>
      <c r="I25">
        <v>20</v>
      </c>
      <c r="J25">
        <v>20</v>
      </c>
      <c r="K25">
        <f>IF(COUNT($F25:$J25)=0,"",SUM($F25:$J25))</f>
        <v>100</v>
      </c>
      <c r="L25">
        <f>IF(ISERROR(IF($K25="","",ROUND(($K25/$K$10)*$L$10,2))),"",IF($K25="","",ROUND(($K25/$K$10)*$L$10,2)))</f>
        <v>100</v>
      </c>
      <c r="M25">
        <f>IF($L25="","",ROUND($L25*$M$10,2))</f>
        <v>20</v>
      </c>
      <c r="N25">
        <v>50</v>
      </c>
      <c r="O25">
        <v>50</v>
      </c>
      <c r="P25">
        <v>50</v>
      </c>
      <c r="Q25">
        <f>IF(COUNT($N25:$P25)=0,"",SUM($N25:$P25))</f>
        <v>150</v>
      </c>
      <c r="R25">
        <f>IF(ISERROR(IF($Q25="","",ROUND(($Q25/$Q$10)*$R$10,2))),"",IF($Q25="","",ROUND(($Q25/$Q$10)*$R$10,2)))</f>
        <v>100</v>
      </c>
      <c r="S25">
        <f>IF($R25="","",ROUND($R25*$S$10,2))</f>
        <v>50</v>
      </c>
      <c r="T25">
        <v>39</v>
      </c>
      <c r="U25">
        <v>37</v>
      </c>
      <c r="V25">
        <v>38</v>
      </c>
      <c r="W25">
        <f>IF(COUNT($T25:$V25)=0,"",SUM($T25:$V25))</f>
        <v>114</v>
      </c>
      <c r="X25">
        <f>IF(ISERROR(IF($W25="","",ROUND(($W25/$W$10)*$X$10,2))),"",IF($W25="","",ROUND(($W25/$W$10)*$X$10,2)))</f>
        <v>95</v>
      </c>
      <c r="Y25">
        <f>IF($X25="","",ROUND($X25*$Y$10,2))</f>
        <v>28.5</v>
      </c>
      <c r="Z25">
        <f>IF(ISERROR(IF($V25="","",ROUND(SUM($M25,$S25,$Y25),2))),"",IF($V25="","",ROUND(SUM($M25,$S25,$Y25),2)))</f>
        <v>98.5</v>
      </c>
      <c r="AA25">
        <f>IF(ISERROR(IF($V25="","",VLOOKUP(Z25,NewTransmu,4,TRUE))),"",IF($V25="","",VLOOKUP(Z25,NewTransmu,4,TRUE)))</f>
        <v>99</v>
      </c>
      <c r="AB25" t="str">
        <f>IF(ISERROR(IF(AA25="","",VLOOKUP(AA25,DESCRIPTORS,4,TRUE))),"",IF(AA25="","",VLOOKUP(AA25,DESCRIPTORS,4,TRUE)))</f>
        <v>Advancing</v>
      </c>
      <c r="AD25" t="str">
        <v>Median</v>
      </c>
      <c r="AE25">
        <f>IFERROR(MEDIAN(T12:T112),"")</f>
        <v>34</v>
      </c>
      <c r="AF25">
        <f>IFERROR(MEDIAN(U12:U112),"")</f>
        <v>35</v>
      </c>
      <c r="AG25">
        <f>IFERROR(MEDIAN(V12:V112),"")</f>
        <v>34.5</v>
      </c>
      <c r="AV25">
        <f>(T25/$T$10)*100</f>
        <v>97.5</v>
      </c>
      <c r="AW25">
        <f>(U25/$U$10)*100</f>
        <v>92.5</v>
      </c>
      <c r="AX25">
        <f>(V25/$V$10)*100</f>
        <v>95</v>
      </c>
    </row>
    <row r="26">
      <c r="A26">
        <v>15</v>
      </c>
      <c r="B26" t="str">
        <f>INPUT!B26</f>
        <v>Ilagan, Jacob</v>
      </c>
      <c r="F26">
        <v>20</v>
      </c>
      <c r="G26">
        <v>20</v>
      </c>
      <c r="H26">
        <v>20</v>
      </c>
      <c r="I26">
        <v>20</v>
      </c>
      <c r="J26">
        <v>20</v>
      </c>
      <c r="K26">
        <f>IF(COUNT($F26:$J26)=0,"",SUM($F26:$J26))</f>
        <v>100</v>
      </c>
      <c r="L26">
        <f>IF(ISERROR(IF($K26="","",ROUND(($K26/$K$10)*$L$10,2))),"",IF($K26="","",ROUND(($K26/$K$10)*$L$10,2)))</f>
        <v>100</v>
      </c>
      <c r="M26">
        <f>IF($L26="","",ROUND($L26*$M$10,2))</f>
        <v>20</v>
      </c>
      <c r="N26">
        <v>50</v>
      </c>
      <c r="O26">
        <v>50</v>
      </c>
      <c r="P26">
        <v>50</v>
      </c>
      <c r="Q26">
        <f>IF(COUNT($N26:$P26)=0,"",SUM($N26:$P26))</f>
        <v>150</v>
      </c>
      <c r="R26">
        <f>IF(ISERROR(IF($Q26="","",ROUND(($Q26/$Q$10)*$R$10,2))),"",IF($Q26="","",ROUND(($Q26/$Q$10)*$R$10,2)))</f>
        <v>100</v>
      </c>
      <c r="S26">
        <f>IF($R26="","",ROUND($R26*$S$10,2))</f>
        <v>50</v>
      </c>
      <c r="T26">
        <v>37</v>
      </c>
      <c r="U26">
        <v>35</v>
      </c>
      <c r="V26">
        <v>34</v>
      </c>
      <c r="W26">
        <f>IF(COUNT($T26:$V26)=0,"",SUM($T26:$V26))</f>
        <v>106</v>
      </c>
      <c r="X26">
        <f>IF(ISERROR(IF($W26="","",ROUND(($W26/$W$10)*$X$10,2))),"",IF($W26="","",ROUND(($W26/$W$10)*$X$10,2)))</f>
        <v>88.33</v>
      </c>
      <c r="Y26">
        <f>IF($X26="","",ROUND($X26*$Y$10,2))</f>
        <v>26.5</v>
      </c>
      <c r="Z26">
        <f>IF(ISERROR(IF($V26="","",ROUND(SUM($M26,$S26,$Y26),2))),"",IF($V26="","",ROUND(SUM($M26,$S26,$Y26),2)))</f>
        <v>96.5</v>
      </c>
      <c r="AA26">
        <f>IF(ISERROR(IF($V26="","",VLOOKUP(Z26,NewTransmu,4,TRUE))),"",IF($V26="","",VLOOKUP(Z26,NewTransmu,4,TRUE)))</f>
        <v>98</v>
      </c>
      <c r="AB26" t="str">
        <f>IF(ISERROR(IF(AA26="","",VLOOKUP(AA26,DESCRIPTORS,4,TRUE))),"",IF(AA26="","",VLOOKUP(AA26,DESCRIPTORS,4,TRUE)))</f>
        <v>Advancing</v>
      </c>
      <c r="AD26" t="str">
        <v>SD</v>
      </c>
      <c r="AE26">
        <f>IFERROR(STDEV.S(T12:T112),"")</f>
        <v>3.3211900021382452</v>
      </c>
      <c r="AF26">
        <f>STDEV.S(U12:U112)</f>
        <v>3.707091211789265</v>
      </c>
      <c r="AG26">
        <f>STDEV.S(V12:V112)</f>
        <v>3.45643887505185</v>
      </c>
      <c r="AV26">
        <f>(T26/$T$10)*100</f>
        <v>92.5</v>
      </c>
      <c r="AW26">
        <f>(U26/$U$10)*100</f>
        <v>87.5</v>
      </c>
      <c r="AX26">
        <f>(V26/$V$10)*100</f>
        <v>85</v>
      </c>
    </row>
    <row r="27">
      <c r="A27">
        <v>16</v>
      </c>
      <c r="B27" t="str">
        <f>INPUT!B27</f>
        <v>Jimenez, James</v>
      </c>
      <c r="F27">
        <v>20</v>
      </c>
      <c r="G27">
        <v>20</v>
      </c>
      <c r="H27">
        <v>20</v>
      </c>
      <c r="I27">
        <v>20</v>
      </c>
      <c r="J27">
        <v>20</v>
      </c>
      <c r="K27">
        <f>IF(COUNT($F27:$J27)=0,"",SUM($F27:$J27))</f>
        <v>100</v>
      </c>
      <c r="L27">
        <f>IF(ISERROR(IF($K27="","",ROUND(($K27/$K$10)*$L$10,2))),"",IF($K27="","",ROUND(($K27/$K$10)*$L$10,2)))</f>
        <v>100</v>
      </c>
      <c r="M27">
        <f>IF($L27="","",ROUND($L27*$M$10,2))</f>
        <v>20</v>
      </c>
      <c r="N27">
        <v>50</v>
      </c>
      <c r="O27">
        <v>50</v>
      </c>
      <c r="P27">
        <v>50</v>
      </c>
      <c r="Q27">
        <f>IF(COUNT($N27:$P27)=0,"",SUM($N27:$P27))</f>
        <v>150</v>
      </c>
      <c r="R27">
        <f>IF(ISERROR(IF($Q27="","",ROUND(($Q27/$Q$10)*$R$10,2))),"",IF($Q27="","",ROUND(($Q27/$Q$10)*$R$10,2)))</f>
        <v>100</v>
      </c>
      <c r="S27">
        <f>IF($R27="","",ROUND($R27*$S$10,2))</f>
        <v>50</v>
      </c>
      <c r="T27">
        <v>37</v>
      </c>
      <c r="U27">
        <v>35</v>
      </c>
      <c r="V27">
        <v>35</v>
      </c>
      <c r="W27">
        <f>IF(COUNT($T27:$V27)=0,"",SUM($T27:$V27))</f>
        <v>107</v>
      </c>
      <c r="X27">
        <f>IF(ISERROR(IF($W27="","",ROUND(($W27/$W$10)*$X$10,2))),"",IF($W27="","",ROUND(($W27/$W$10)*$X$10,2)))</f>
        <v>89.17</v>
      </c>
      <c r="Y27">
        <f>IF($X27="","",ROUND($X27*$Y$10,2))</f>
        <v>26.75</v>
      </c>
      <c r="Z27">
        <f>IF(ISERROR(IF($V27="","",ROUND(SUM($M27,$S27,$Y27),2))),"",IF($V27="","",ROUND(SUM($M27,$S27,$Y27),2)))</f>
        <v>96.75</v>
      </c>
      <c r="AA27">
        <f>IF(ISERROR(IF($V27="","",VLOOKUP(Z27,NewTransmu,4,TRUE))),"",IF($V27="","",VLOOKUP(Z27,NewTransmu,4,TRUE)))</f>
        <v>98</v>
      </c>
      <c r="AB27" t="str">
        <f>IF(ISERROR(IF(AA27="","",VLOOKUP(AA27,DESCRIPTORS,4,TRUE))),"",IF(AA27="","",VLOOKUP(AA27,DESCRIPTORS,4,TRUE)))</f>
        <v>Advancing</v>
      </c>
      <c r="AD27" t="str">
        <v>MPS/PL</v>
      </c>
      <c r="AE27">
        <f>IFERROR(AE24/AE15,"")</f>
        <v>0.865</v>
      </c>
      <c r="AF27">
        <f>IFERROR(AF24/AF15,"")</f>
        <v>0.86075</v>
      </c>
      <c r="AG27">
        <f>IFERROR(AG24/AG15,"")</f>
        <v>0.8637499999999999</v>
      </c>
      <c r="AV27">
        <f>(T27/$T$10)*100</f>
        <v>92.5</v>
      </c>
      <c r="AW27">
        <f>(U27/$U$10)*100</f>
        <v>87.5</v>
      </c>
      <c r="AX27">
        <f>(V27/$V$10)*100</f>
        <v>87.5</v>
      </c>
    </row>
    <row r="28">
      <c r="A28">
        <v>17</v>
      </c>
      <c r="B28" t="str">
        <f>INPUT!B28</f>
        <v>Lacson, Jared</v>
      </c>
      <c r="F28">
        <v>20</v>
      </c>
      <c r="G28">
        <v>20</v>
      </c>
      <c r="H28">
        <v>20</v>
      </c>
      <c r="I28">
        <v>20</v>
      </c>
      <c r="J28">
        <v>20</v>
      </c>
      <c r="K28">
        <f>IF(COUNT($F28:$J28)=0,"",SUM($F28:$J28))</f>
        <v>100</v>
      </c>
      <c r="L28">
        <f>IF(ISERROR(IF($K28="","",ROUND(($K28/$K$10)*$L$10,2))),"",IF($K28="","",ROUND(($K28/$K$10)*$L$10,2)))</f>
        <v>100</v>
      </c>
      <c r="M28">
        <f>IF($L28="","",ROUND($L28*$M$10,2))</f>
        <v>20</v>
      </c>
      <c r="N28">
        <v>50</v>
      </c>
      <c r="O28">
        <v>50</v>
      </c>
      <c r="P28">
        <v>50</v>
      </c>
      <c r="Q28">
        <f>IF(COUNT($N28:$P28)=0,"",SUM($N28:$P28))</f>
        <v>150</v>
      </c>
      <c r="R28">
        <f>IF(ISERROR(IF($Q28="","",ROUND(($Q28/$Q$10)*$R$10,2))),"",IF($Q28="","",ROUND(($Q28/$Q$10)*$R$10,2)))</f>
        <v>100</v>
      </c>
      <c r="S28">
        <f>IF($R28="","",ROUND($R28*$S$10,2))</f>
        <v>50</v>
      </c>
      <c r="T28">
        <v>32</v>
      </c>
      <c r="U28">
        <v>31</v>
      </c>
      <c r="V28">
        <v>32</v>
      </c>
      <c r="W28">
        <f>IF(COUNT($T28:$V28)=0,"",SUM($T28:$V28))</f>
        <v>95</v>
      </c>
      <c r="X28">
        <f>IF(ISERROR(IF($W28="","",ROUND(($W28/$W$10)*$X$10,2))),"",IF($W28="","",ROUND(($W28/$W$10)*$X$10,2)))</f>
        <v>79.17</v>
      </c>
      <c r="Y28">
        <f>IF($X28="","",ROUND($X28*$Y$10,2))</f>
        <v>23.75</v>
      </c>
      <c r="Z28">
        <f>IF(ISERROR(IF($V28="","",ROUND(SUM($M28,$S28,$Y28),2))),"",IF($V28="","",ROUND(SUM($M28,$S28,$Y28),2)))</f>
        <v>93.75</v>
      </c>
      <c r="AA28">
        <f>IF(ISERROR(IF($V28="","",VLOOKUP(Z28,NewTransmu,4,TRUE))),"",IF($V28="","",VLOOKUP(Z28,NewTransmu,4,TRUE)))</f>
        <v>95</v>
      </c>
      <c r="AB28" t="str">
        <f>IF(ISERROR(IF(AA28="","",VLOOKUP(AA28,DESCRIPTORS,4,TRUE))),"",IF(AA28="","",VLOOKUP(AA28,DESCRIPTORS,4,TRUE)))</f>
        <v>Advancing</v>
      </c>
      <c r="AV28">
        <f>(T28/$T$10)*100</f>
        <v>80</v>
      </c>
      <c r="AW28">
        <f>(U28/$U$10)*100</f>
        <v>77.5</v>
      </c>
      <c r="AX28">
        <f>(V28/$V$10)*100</f>
        <v>80</v>
      </c>
    </row>
    <row r="29">
      <c r="A29">
        <v>18</v>
      </c>
      <c r="B29" t="str">
        <f>INPUT!B29</f>
        <v>Lim, Jericho</v>
      </c>
      <c r="F29">
        <v>20</v>
      </c>
      <c r="G29">
        <v>20</v>
      </c>
      <c r="H29">
        <v>20</v>
      </c>
      <c r="I29">
        <v>20</v>
      </c>
      <c r="J29">
        <v>20</v>
      </c>
      <c r="K29">
        <f>IF(COUNT($F29:$J29)=0,"",SUM($F29:$J29))</f>
        <v>100</v>
      </c>
      <c r="L29">
        <f>IF(ISERROR(IF($K29="","",ROUND(($K29/$K$10)*$L$10,2))),"",IF($K29="","",ROUND(($K29/$K$10)*$L$10,2)))</f>
        <v>100</v>
      </c>
      <c r="M29">
        <f>IF($L29="","",ROUND($L29*$M$10,2))</f>
        <v>20</v>
      </c>
      <c r="N29">
        <v>50</v>
      </c>
      <c r="O29">
        <v>50</v>
      </c>
      <c r="P29">
        <v>50</v>
      </c>
      <c r="Q29">
        <f>IF(COUNT($N29:$P29)=0,"",SUM($N29:$P29))</f>
        <v>150</v>
      </c>
      <c r="R29">
        <f>IF(ISERROR(IF($Q29="","",ROUND(($Q29/$Q$10)*$R$10,2))),"",IF($Q29="","",ROUND(($Q29/$Q$10)*$R$10,2)))</f>
        <v>100</v>
      </c>
      <c r="S29">
        <f>IF($R29="","",ROUND($R29*$S$10,2))</f>
        <v>50</v>
      </c>
      <c r="T29">
        <v>27</v>
      </c>
      <c r="U29">
        <v>31</v>
      </c>
      <c r="V29">
        <v>27</v>
      </c>
      <c r="W29">
        <f>IF(COUNT($T29:$V29)=0,"",SUM($T29:$V29))</f>
        <v>85</v>
      </c>
      <c r="X29">
        <f>IF(ISERROR(IF($W29="","",ROUND(($W29/$W$10)*$X$10,2))),"",IF($W29="","",ROUND(($W29/$W$10)*$X$10,2)))</f>
        <v>70.83</v>
      </c>
      <c r="Y29">
        <f>IF($X29="","",ROUND($X29*$Y$10,2))</f>
        <v>21.25</v>
      </c>
      <c r="Z29">
        <f>IF(ISERROR(IF($V29="","",ROUND(SUM($M29,$S29,$Y29),2))),"",IF($V29="","",ROUND(SUM($M29,$S29,$Y29),2)))</f>
        <v>91.25</v>
      </c>
      <c r="AA29">
        <f>IF(ISERROR(IF($V29="","",VLOOKUP(Z29,NewTransmu,4,TRUE))),"",IF($V29="","",VLOOKUP(Z29,NewTransmu,4,TRUE)))</f>
        <v>93</v>
      </c>
      <c r="AB29" t="str">
        <f>IF(ISERROR(IF(AA29="","",VLOOKUP(AA29,DESCRIPTORS,4,TRUE))),"",IF(AA29="","",VLOOKUP(AA29,DESCRIPTORS,4,TRUE)))</f>
        <v>Advancing</v>
      </c>
      <c r="AD29" t="str">
        <v>OTHER INFO</v>
      </c>
      <c r="AE29" t="str">
        <v>ST1</v>
      </c>
      <c r="AF29" t="str">
        <v>ST2</v>
      </c>
      <c r="AG29" t="str">
        <v>TE</v>
      </c>
      <c r="AV29">
        <f>(T29/$T$10)*100</f>
        <v>67.5</v>
      </c>
      <c r="AW29">
        <f>(U29/$U$10)*100</f>
        <v>77.5</v>
      </c>
      <c r="AX29">
        <f>(V29/$V$10)*100</f>
        <v>67.5</v>
      </c>
    </row>
    <row r="30">
      <c r="A30">
        <v>19</v>
      </c>
      <c r="B30" t="str">
        <f>INPUT!B30</f>
        <v>Manalo, Joaquin</v>
      </c>
      <c r="F30">
        <v>20</v>
      </c>
      <c r="G30">
        <v>20</v>
      </c>
      <c r="H30">
        <v>20</v>
      </c>
      <c r="I30">
        <v>20</v>
      </c>
      <c r="J30">
        <v>20</v>
      </c>
      <c r="K30">
        <f>IF(COUNT($F30:$J30)=0,"",SUM($F30:$J30))</f>
        <v>100</v>
      </c>
      <c r="L30">
        <f>IF(ISERROR(IF($K30="","",ROUND(($K30/$K$10)*$L$10,2))),"",IF($K30="","",ROUND(($K30/$K$10)*$L$10,2)))</f>
        <v>100</v>
      </c>
      <c r="M30">
        <f>IF($L30="","",ROUND($L30*$M$10,2))</f>
        <v>20</v>
      </c>
      <c r="N30">
        <v>50</v>
      </c>
      <c r="O30">
        <v>50</v>
      </c>
      <c r="P30">
        <v>50</v>
      </c>
      <c r="Q30">
        <f>IF(COUNT($N30:$P30)=0,"",SUM($N30:$P30))</f>
        <v>150</v>
      </c>
      <c r="R30">
        <f>IF(ISERROR(IF($Q30="","",ROUND(($Q30/$Q$10)*$R$10,2))),"",IF($Q30="","",ROUND(($Q30/$Q$10)*$R$10,2)))</f>
        <v>100</v>
      </c>
      <c r="S30">
        <f>IF($R30="","",ROUND($R30*$S$10,2))</f>
        <v>50</v>
      </c>
      <c r="T30">
        <v>34</v>
      </c>
      <c r="U30">
        <v>30</v>
      </c>
      <c r="V30">
        <v>34</v>
      </c>
      <c r="W30">
        <f>IF(COUNT($T30:$V30)=0,"",SUM($T30:$V30))</f>
        <v>98</v>
      </c>
      <c r="X30">
        <f>IF(ISERROR(IF($W30="","",ROUND(($W30/$W$10)*$X$10,2))),"",IF($W30="","",ROUND(($W30/$W$10)*$X$10,2)))</f>
        <v>81.67</v>
      </c>
      <c r="Y30">
        <f>IF($X30="","",ROUND($X30*$Y$10,2))</f>
        <v>24.5</v>
      </c>
      <c r="Z30">
        <f>IF(ISERROR(IF($V30="","",ROUND(SUM($M30,$S30,$Y30),2))),"",IF($V30="","",ROUND(SUM($M30,$S30,$Y30),2)))</f>
        <v>94.5</v>
      </c>
      <c r="AA30">
        <f>IF(ISERROR(IF($V30="","",VLOOKUP(Z30,NewTransmu,4,TRUE))),"",IF($V30="","",VLOOKUP(Z30,NewTransmu,4,TRUE)))</f>
        <v>96</v>
      </c>
      <c r="AB30" t="str">
        <f>IF(ISERROR(IF(AA30="","",VLOOKUP(AA30,DESCRIPTORS,4,TRUE))),"",IF(AA30="","",VLOOKUP(AA30,DESCRIPTORS,4,TRUE)))</f>
        <v>Advancing</v>
      </c>
      <c r="AD30" t="str">
        <v>Highest Score</v>
      </c>
      <c r="AE30">
        <f>IF(COUNTA(T12:T112)=0,"",MAX(T12:T112))</f>
        <v>40</v>
      </c>
      <c r="AF30">
        <f>IF(COUNTA(U12:U112)=0,"",MAX(U12:U112))</f>
        <v>40</v>
      </c>
      <c r="AG30">
        <f>IF(COUNTA(V12:V112)=0,"",MAX(V12:V112))</f>
        <v>40</v>
      </c>
      <c r="AV30">
        <f>(T30/$T$10)*100</f>
        <v>85</v>
      </c>
      <c r="AW30">
        <f>(U30/$U$10)*100</f>
        <v>75</v>
      </c>
      <c r="AX30">
        <f>(V30/$V$10)*100</f>
        <v>85</v>
      </c>
    </row>
    <row r="31">
      <c r="A31">
        <v>20</v>
      </c>
      <c r="B31" t="str">
        <f>INPUT!B31</f>
        <v>Mendoza, Joshua</v>
      </c>
      <c r="F31">
        <v>20</v>
      </c>
      <c r="G31">
        <v>20</v>
      </c>
      <c r="H31">
        <v>20</v>
      </c>
      <c r="I31">
        <v>20</v>
      </c>
      <c r="J31">
        <v>20</v>
      </c>
      <c r="K31">
        <f>IF(COUNT($F31:$J31)=0,"",SUM($F31:$J31))</f>
        <v>100</v>
      </c>
      <c r="L31">
        <f>IF(ISERROR(IF($K31="","",ROUND(($K31/$K$10)*$L$10,2))),"",IF($K31="","",ROUND(($K31/$K$10)*$L$10,2)))</f>
        <v>100</v>
      </c>
      <c r="M31">
        <f>IF($L31="","",ROUND($L31*$M$10,2))</f>
        <v>20</v>
      </c>
      <c r="N31">
        <v>50</v>
      </c>
      <c r="O31">
        <v>50</v>
      </c>
      <c r="P31">
        <v>50</v>
      </c>
      <c r="Q31">
        <f>IF(COUNT($N31:$P31)=0,"",SUM($N31:$P31))</f>
        <v>150</v>
      </c>
      <c r="R31">
        <f>IF(ISERROR(IF($Q31="","",ROUND(($Q31/$Q$10)*$R$10,2))),"",IF($Q31="","",ROUND(($Q31/$Q$10)*$R$10,2)))</f>
        <v>100</v>
      </c>
      <c r="S31">
        <f>IF($R31="","",ROUND($R31*$S$10,2))</f>
        <v>50</v>
      </c>
      <c r="T31">
        <v>32</v>
      </c>
      <c r="U31">
        <v>37</v>
      </c>
      <c r="V31">
        <v>37</v>
      </c>
      <c r="W31">
        <f>IF(COUNT($T31:$V31)=0,"",SUM($T31:$V31))</f>
        <v>106</v>
      </c>
      <c r="X31">
        <f>IF(ISERROR(IF($W31="","",ROUND(($W31/$W$10)*$X$10,2))),"",IF($W31="","",ROUND(($W31/$W$10)*$X$10,2)))</f>
        <v>88.33</v>
      </c>
      <c r="Y31">
        <f>IF($X31="","",ROUND($X31*$Y$10,2))</f>
        <v>26.5</v>
      </c>
      <c r="Z31">
        <f>IF(ISERROR(IF($V31="","",ROUND(SUM($M31,$S31,$Y31),2))),"",IF($V31="","",ROUND(SUM($M31,$S31,$Y31),2)))</f>
        <v>96.5</v>
      </c>
      <c r="AA31">
        <f>IF(ISERROR(IF($V31="","",VLOOKUP(Z31,NewTransmu,4,TRUE))),"",IF($V31="","",VLOOKUP(Z31,NewTransmu,4,TRUE)))</f>
        <v>98</v>
      </c>
      <c r="AB31" t="str">
        <f>IF(ISERROR(IF(AA31="","",VLOOKUP(AA31,DESCRIPTORS,4,TRUE))),"",IF(AA31="","",VLOOKUP(AA31,DESCRIPTORS,4,TRUE)))</f>
        <v>Advancing</v>
      </c>
      <c r="AD31" t="str">
        <v>Lowest Score</v>
      </c>
      <c r="AE31">
        <f>IF(COUNTA(T12:T112)=0,"",MIN(T12:T112))</f>
        <v>24</v>
      </c>
      <c r="AF31">
        <f>IF(COUNTA(U12:U112)=0,"",MIN(U12:U112))</f>
        <v>24</v>
      </c>
      <c r="AG31">
        <f>IF(COUNTA(V12:V112)=0,"",MIN(V12:V112))</f>
        <v>27</v>
      </c>
      <c r="AV31">
        <f>(T31/$T$10)*100</f>
        <v>80</v>
      </c>
      <c r="AW31">
        <f>(U31/$U$10)*100</f>
        <v>92.5</v>
      </c>
      <c r="AX31">
        <f>(V31/$V$10)*100</f>
        <v>92.5</v>
      </c>
    </row>
    <row r="32">
      <c r="A32">
        <v>21</v>
      </c>
      <c r="B32" t="str">
        <f>INPUT!B32</f>
        <v>Navarro, Lance</v>
      </c>
      <c r="F32">
        <v>20</v>
      </c>
      <c r="G32">
        <v>20</v>
      </c>
      <c r="H32">
        <v>20</v>
      </c>
      <c r="I32">
        <v>20</v>
      </c>
      <c r="J32">
        <v>20</v>
      </c>
      <c r="K32">
        <f>IF(COUNT($F32:$J32)=0,"",SUM($F32:$J32))</f>
        <v>100</v>
      </c>
      <c r="L32">
        <f>IF(ISERROR(IF($K32="","",ROUND(($K32/$K$10)*$L$10,2))),"",IF($K32="","",ROUND(($K32/$K$10)*$L$10,2)))</f>
        <v>100</v>
      </c>
      <c r="M32">
        <f>IF($L32="","",ROUND($L32*$M$10,2))</f>
        <v>20</v>
      </c>
      <c r="N32">
        <v>50</v>
      </c>
      <c r="O32">
        <v>50</v>
      </c>
      <c r="P32">
        <v>50</v>
      </c>
      <c r="Q32">
        <f>IF(COUNT($N32:$P32)=0,"",SUM($N32:$P32))</f>
        <v>150</v>
      </c>
      <c r="R32">
        <f>IF(ISERROR(IF($Q32="","",ROUND(($Q32/$Q$10)*$R$10,2))),"",IF($Q32="","",ROUND(($Q32/$Q$10)*$R$10,2)))</f>
        <v>100</v>
      </c>
      <c r="S32">
        <f>IF($R32="","",ROUND($R32*$S$10,2))</f>
        <v>50</v>
      </c>
      <c r="T32">
        <v>31</v>
      </c>
      <c r="U32">
        <v>32</v>
      </c>
      <c r="V32">
        <v>31</v>
      </c>
      <c r="W32">
        <f>IF(COUNT($T32:$V32)=0,"",SUM($T32:$V32))</f>
        <v>94</v>
      </c>
      <c r="X32">
        <f>IF(ISERROR(IF($W32="","",ROUND(($W32/$W$10)*$X$10,2))),"",IF($W32="","",ROUND(($W32/$W$10)*$X$10,2)))</f>
        <v>78.33</v>
      </c>
      <c r="Y32">
        <f>IF($X32="","",ROUND($X32*$Y$10,2))</f>
        <v>23.5</v>
      </c>
      <c r="Z32">
        <f>IF(ISERROR(IF($V32="","",ROUND(SUM($M32,$S32,$Y32),2))),"",IF($V32="","",ROUND(SUM($M32,$S32,$Y32),2)))</f>
        <v>93.5</v>
      </c>
      <c r="AA32">
        <f>IF(ISERROR(IF($V32="","",VLOOKUP(Z32,NewTransmu,4,TRUE))),"",IF($V32="","",VLOOKUP(Z32,NewTransmu,4,TRUE)))</f>
        <v>95</v>
      </c>
      <c r="AB32" t="str">
        <f>IF(ISERROR(IF(AA32="","",VLOOKUP(AA32,DESCRIPTORS,4,TRUE))),"",IF(AA32="","",VLOOKUP(AA32,DESCRIPTORS,4,TRUE)))</f>
        <v>Advancing</v>
      </c>
      <c r="AD32" t="str">
        <v>Total Score</v>
      </c>
      <c r="AE32">
        <f>IF(COUNTA(T12:T112)=0,"",SUM(T12:T112))</f>
        <v>3460</v>
      </c>
      <c r="AF32">
        <f>IF(COUNTA(U12:U112)=0,"",SUM(U12:U112))</f>
        <v>3443</v>
      </c>
      <c r="AG32">
        <f>IF(COUNTA(V12:V112)=0,"",SUM(V12:V112))</f>
        <v>3455</v>
      </c>
      <c r="AV32">
        <f>(T32/$T$10)*100</f>
        <v>77.5</v>
      </c>
      <c r="AW32">
        <f>(U32/$U$10)*100</f>
        <v>80</v>
      </c>
      <c r="AX32">
        <f>(V32/$V$10)*100</f>
        <v>77.5</v>
      </c>
    </row>
    <row r="33">
      <c r="A33">
        <v>22</v>
      </c>
      <c r="B33" t="str">
        <f>INPUT!B33</f>
        <v>Ocampo, Luis</v>
      </c>
      <c r="F33">
        <v>20</v>
      </c>
      <c r="G33">
        <v>20</v>
      </c>
      <c r="H33">
        <v>20</v>
      </c>
      <c r="I33">
        <v>20</v>
      </c>
      <c r="J33">
        <v>20</v>
      </c>
      <c r="K33">
        <f>IF(COUNT($F33:$J33)=0,"",SUM($F33:$J33))</f>
        <v>100</v>
      </c>
      <c r="L33">
        <f>IF(ISERROR(IF($K33="","",ROUND(($K33/$K$10)*$L$10,2))),"",IF($K33="","",ROUND(($K33/$K$10)*$L$10,2)))</f>
        <v>100</v>
      </c>
      <c r="M33">
        <f>IF($L33="","",ROUND($L33*$M$10,2))</f>
        <v>20</v>
      </c>
      <c r="N33">
        <v>50</v>
      </c>
      <c r="O33">
        <v>50</v>
      </c>
      <c r="P33">
        <v>50</v>
      </c>
      <c r="Q33">
        <f>IF(COUNT($N33:$P33)=0,"",SUM($N33:$P33))</f>
        <v>150</v>
      </c>
      <c r="R33">
        <f>IF(ISERROR(IF($Q33="","",ROUND(($Q33/$Q$10)*$R$10,2))),"",IF($Q33="","",ROUND(($Q33/$Q$10)*$R$10,2)))</f>
        <v>100</v>
      </c>
      <c r="S33">
        <f>IF($R33="","",ROUND($R33*$S$10,2))</f>
        <v>50</v>
      </c>
      <c r="T33">
        <v>38</v>
      </c>
      <c r="U33">
        <v>40</v>
      </c>
      <c r="V33">
        <v>38</v>
      </c>
      <c r="W33">
        <f>IF(COUNT($T33:$V33)=0,"",SUM($T33:$V33))</f>
        <v>116</v>
      </c>
      <c r="X33">
        <f>IF(ISERROR(IF($W33="","",ROUND(($W33/$W$10)*$X$10,2))),"",IF($W33="","",ROUND(($W33/$W$10)*$X$10,2)))</f>
        <v>96.67</v>
      </c>
      <c r="Y33">
        <f>IF($X33="","",ROUND($X33*$Y$10,2))</f>
        <v>29</v>
      </c>
      <c r="Z33">
        <f>IF(ISERROR(IF($V33="","",ROUND(SUM($M33,$S33,$Y33),2))),"",IF($V33="","",ROUND(SUM($M33,$S33,$Y33),2)))</f>
        <v>99</v>
      </c>
      <c r="AA33">
        <f>IF(ISERROR(IF($V33="","",VLOOKUP(Z33,NewTransmu,4,TRUE))),"",IF($V33="","",VLOOKUP(Z33,NewTransmu,4,TRUE)))</f>
        <v>99</v>
      </c>
      <c r="AB33" t="str">
        <f>IF(ISERROR(IF(AA33="","",VLOOKUP(AA33,DESCRIPTORS,4,TRUE))),"",IF(AA33="","",VLOOKUP(AA33,DESCRIPTORS,4,TRUE)))</f>
        <v>Advancing</v>
      </c>
      <c r="AV33">
        <f>(T33/$T$10)*100</f>
        <v>95</v>
      </c>
      <c r="AW33">
        <f>(U33/$U$10)*100</f>
        <v>100</v>
      </c>
      <c r="AX33">
        <f>(V33/$V$10)*100</f>
        <v>95</v>
      </c>
    </row>
    <row r="34">
      <c r="A34">
        <v>23</v>
      </c>
      <c r="B34" t="str">
        <f>INPUT!B34</f>
        <v>Ortega, Marco</v>
      </c>
      <c r="F34">
        <v>20</v>
      </c>
      <c r="G34">
        <v>20</v>
      </c>
      <c r="H34">
        <v>20</v>
      </c>
      <c r="I34">
        <v>20</v>
      </c>
      <c r="J34">
        <v>20</v>
      </c>
      <c r="K34">
        <f>IF(COUNT($F34:$J34)=0,"",SUM($F34:$J34))</f>
        <v>100</v>
      </c>
      <c r="L34">
        <f>IF(ISERROR(IF($K34="","",ROUND(($K34/$K$10)*$L$10,2))),"",IF($K34="","",ROUND(($K34/$K$10)*$L$10,2)))</f>
        <v>100</v>
      </c>
      <c r="M34">
        <f>IF($L34="","",ROUND($L34*$M$10,2))</f>
        <v>20</v>
      </c>
      <c r="N34">
        <v>50</v>
      </c>
      <c r="O34">
        <v>50</v>
      </c>
      <c r="P34">
        <v>50</v>
      </c>
      <c r="Q34">
        <f>IF(COUNT($N34:$P34)=0,"",SUM($N34:$P34))</f>
        <v>150</v>
      </c>
      <c r="R34">
        <f>IF(ISERROR(IF($Q34="","",ROUND(($Q34/$Q$10)*$R$10,2))),"",IF($Q34="","",ROUND(($Q34/$Q$10)*$R$10,2)))</f>
        <v>100</v>
      </c>
      <c r="S34">
        <f>IF($R34="","",ROUND($R34*$S$10,2))</f>
        <v>50</v>
      </c>
      <c r="T34">
        <v>32</v>
      </c>
      <c r="U34">
        <v>34</v>
      </c>
      <c r="V34">
        <v>35</v>
      </c>
      <c r="W34">
        <f>IF(COUNT($T34:$V34)=0,"",SUM($T34:$V34))</f>
        <v>101</v>
      </c>
      <c r="X34">
        <f>IF(ISERROR(IF($W34="","",ROUND(($W34/$W$10)*$X$10,2))),"",IF($W34="","",ROUND(($W34/$W$10)*$X$10,2)))</f>
        <v>84.17</v>
      </c>
      <c r="Y34">
        <f>IF($X34="","",ROUND($X34*$Y$10,2))</f>
        <v>25.25</v>
      </c>
      <c r="Z34">
        <f>IF(ISERROR(IF($V34="","",ROUND(SUM($M34,$S34,$Y34),2))),"",IF($V34="","",ROUND(SUM($M34,$S34,$Y34),2)))</f>
        <v>95.25</v>
      </c>
      <c r="AA34">
        <f>IF(ISERROR(IF($V34="","",VLOOKUP(Z34,NewTransmu,4,TRUE))),"",IF($V34="","",VLOOKUP(Z34,NewTransmu,4,TRUE)))</f>
        <v>97</v>
      </c>
      <c r="AB34" t="str">
        <f>IF(ISERROR(IF(AA34="","",VLOOKUP(AA34,DESCRIPTORS,4,TRUE))),"",IF(AA34="","",VLOOKUP(AA34,DESCRIPTORS,4,TRUE)))</f>
        <v>Advancing</v>
      </c>
      <c r="AV34">
        <f>(T34/$T$10)*100</f>
        <v>80</v>
      </c>
      <c r="AW34">
        <f>(U34/$U$10)*100</f>
        <v>85</v>
      </c>
      <c r="AX34">
        <f>(V34/$V$10)*100</f>
        <v>87.5</v>
      </c>
    </row>
    <row r="35">
      <c r="A35">
        <v>24</v>
      </c>
      <c r="B35" t="str">
        <f>INPUT!B35</f>
        <v>Pascual, Martin</v>
      </c>
      <c r="F35">
        <v>20</v>
      </c>
      <c r="G35">
        <v>20</v>
      </c>
      <c r="H35">
        <v>20</v>
      </c>
      <c r="I35">
        <v>20</v>
      </c>
      <c r="J35">
        <v>20</v>
      </c>
      <c r="K35">
        <f>IF(COUNT($F35:$J35)=0,"",SUM($F35:$J35))</f>
        <v>100</v>
      </c>
      <c r="L35">
        <f>IF(ISERROR(IF($K35="","",ROUND(($K35/$K$10)*$L$10,2))),"",IF($K35="","",ROUND(($K35/$K$10)*$L$10,2)))</f>
        <v>100</v>
      </c>
      <c r="M35">
        <f>IF($L35="","",ROUND($L35*$M$10,2))</f>
        <v>20</v>
      </c>
      <c r="N35">
        <v>50</v>
      </c>
      <c r="O35">
        <v>50</v>
      </c>
      <c r="P35">
        <v>50</v>
      </c>
      <c r="Q35">
        <f>IF(COUNT($N35:$P35)=0,"",SUM($N35:$P35))</f>
        <v>150</v>
      </c>
      <c r="R35">
        <f>IF(ISERROR(IF($Q35="","",ROUND(($Q35/$Q$10)*$R$10,2))),"",IF($Q35="","",ROUND(($Q35/$Q$10)*$R$10,2)))</f>
        <v>100</v>
      </c>
      <c r="S35">
        <f>IF($R35="","",ROUND($R35*$S$10,2))</f>
        <v>50</v>
      </c>
      <c r="T35">
        <v>34</v>
      </c>
      <c r="U35">
        <v>33</v>
      </c>
      <c r="V35">
        <v>31</v>
      </c>
      <c r="W35">
        <f>IF(COUNT($T35:$V35)=0,"",SUM($T35:$V35))</f>
        <v>98</v>
      </c>
      <c r="X35">
        <f>IF(ISERROR(IF($W35="","",ROUND(($W35/$W$10)*$X$10,2))),"",IF($W35="","",ROUND(($W35/$W$10)*$X$10,2)))</f>
        <v>81.67</v>
      </c>
      <c r="Y35">
        <f>IF($X35="","",ROUND($X35*$Y$10,2))</f>
        <v>24.5</v>
      </c>
      <c r="Z35">
        <f>IF(ISERROR(IF($V35="","",ROUND(SUM($M35,$S35,$Y35),2))),"",IF($V35="","",ROUND(SUM($M35,$S35,$Y35),2)))</f>
        <v>94.5</v>
      </c>
      <c r="AA35">
        <f>IF(ISERROR(IF($V35="","",VLOOKUP(Z35,NewTransmu,4,TRUE))),"",IF($V35="","",VLOOKUP(Z35,NewTransmu,4,TRUE)))</f>
        <v>96</v>
      </c>
      <c r="AB35" t="str">
        <f>IF(ISERROR(IF(AA35="","",VLOOKUP(AA35,DESCRIPTORS,4,TRUE))),"",IF(AA35="","",VLOOKUP(AA35,DESCRIPTORS,4,TRUE)))</f>
        <v>Advancing</v>
      </c>
      <c r="AV35">
        <f>(T35/$T$10)*100</f>
        <v>85</v>
      </c>
      <c r="AW35">
        <f>(U35/$U$10)*100</f>
        <v>82.5</v>
      </c>
      <c r="AX35">
        <f>(V35/$V$10)*100</f>
        <v>77.5</v>
      </c>
    </row>
    <row r="36">
      <c r="A36">
        <v>25</v>
      </c>
      <c r="B36" t="str">
        <f>INPUT!B36</f>
        <v>Quizon, Matthew</v>
      </c>
      <c r="F36">
        <v>20</v>
      </c>
      <c r="G36">
        <v>20</v>
      </c>
      <c r="H36">
        <v>20</v>
      </c>
      <c r="I36">
        <v>20</v>
      </c>
      <c r="J36">
        <v>20</v>
      </c>
      <c r="K36">
        <f>IF(COUNT($F36:$J36)=0,"",SUM($F36:$J36))</f>
        <v>100</v>
      </c>
      <c r="L36">
        <f>IF(ISERROR(IF($K36="","",ROUND(($K36/$K$10)*$L$10,2))),"",IF($K36="","",ROUND(($K36/$K$10)*$L$10,2)))</f>
        <v>100</v>
      </c>
      <c r="M36">
        <f>IF($L36="","",ROUND($L36*$M$10,2))</f>
        <v>20</v>
      </c>
      <c r="N36">
        <v>50</v>
      </c>
      <c r="O36">
        <v>50</v>
      </c>
      <c r="P36">
        <v>50</v>
      </c>
      <c r="Q36">
        <f>IF(COUNT($N36:$P36)=0,"",SUM($N36:$P36))</f>
        <v>150</v>
      </c>
      <c r="R36">
        <f>IF(ISERROR(IF($Q36="","",ROUND(($Q36/$Q$10)*$R$10,2))),"",IF($Q36="","",ROUND(($Q36/$Q$10)*$R$10,2)))</f>
        <v>100</v>
      </c>
      <c r="S36">
        <f>IF($R36="","",ROUND($R36*$S$10,2))</f>
        <v>50</v>
      </c>
      <c r="T36">
        <v>38</v>
      </c>
      <c r="U36">
        <v>40</v>
      </c>
      <c r="V36">
        <v>36</v>
      </c>
      <c r="W36">
        <f>IF(COUNT($T36:$V36)=0,"",SUM($T36:$V36))</f>
        <v>114</v>
      </c>
      <c r="X36">
        <f>IF(ISERROR(IF($W36="","",ROUND(($W36/$W$10)*$X$10,2))),"",IF($W36="","",ROUND(($W36/$W$10)*$X$10,2)))</f>
        <v>95</v>
      </c>
      <c r="Y36">
        <f>IF($X36="","",ROUND($X36*$Y$10,2))</f>
        <v>28.5</v>
      </c>
      <c r="Z36">
        <f>IF(ISERROR(IF($V36="","",ROUND(SUM($M36,$S36,$Y36),2))),"",IF($V36="","",ROUND(SUM($M36,$S36,$Y36),2)))</f>
        <v>98.5</v>
      </c>
      <c r="AA36">
        <f>IF(ISERROR(IF($V36="","",VLOOKUP(Z36,NewTransmu,4,TRUE))),"",IF($V36="","",VLOOKUP(Z36,NewTransmu,4,TRUE)))</f>
        <v>99</v>
      </c>
      <c r="AB36" t="str">
        <f>IF(ISERROR(IF(AA36="","",VLOOKUP(AA36,DESCRIPTORS,4,TRUE))),"",IF(AA36="","",VLOOKUP(AA36,DESCRIPTORS,4,TRUE)))</f>
        <v>Advancing</v>
      </c>
      <c r="AV36">
        <f>(T36/$T$10)*100</f>
        <v>95</v>
      </c>
      <c r="AW36">
        <f>(U36/$U$10)*100</f>
        <v>100</v>
      </c>
      <c r="AX36">
        <f>(V36/$V$10)*100</f>
        <v>90</v>
      </c>
    </row>
    <row r="37">
      <c r="A37">
        <v>26</v>
      </c>
      <c r="B37" t="str">
        <f>INPUT!B37</f>
        <v>Ramos, Miguel</v>
      </c>
      <c r="F37">
        <v>20</v>
      </c>
      <c r="G37">
        <v>20</v>
      </c>
      <c r="H37">
        <v>20</v>
      </c>
      <c r="I37">
        <v>20</v>
      </c>
      <c r="J37">
        <v>20</v>
      </c>
      <c r="K37">
        <f>IF(COUNT($F37:$J37)=0,"",SUM($F37:$J37))</f>
        <v>100</v>
      </c>
      <c r="L37">
        <f>IF(ISERROR(IF($K37="","",ROUND(($K37/$K$10)*$L$10,2))),"",IF($K37="","",ROUND(($K37/$K$10)*$L$10,2)))</f>
        <v>100</v>
      </c>
      <c r="M37">
        <f>IF($L37="","",ROUND($L37*$M$10,2))</f>
        <v>20</v>
      </c>
      <c r="N37">
        <v>50</v>
      </c>
      <c r="O37">
        <v>50</v>
      </c>
      <c r="P37">
        <v>50</v>
      </c>
      <c r="Q37">
        <f>IF(COUNT($N37:$P37)=0,"",SUM($N37:$P37))</f>
        <v>150</v>
      </c>
      <c r="R37">
        <f>IF(ISERROR(IF($Q37="","",ROUND(($Q37/$Q$10)*$R$10,2))),"",IF($Q37="","",ROUND(($Q37/$Q$10)*$R$10,2)))</f>
        <v>100</v>
      </c>
      <c r="S37">
        <f>IF($R37="","",ROUND($R37*$S$10,2))</f>
        <v>50</v>
      </c>
      <c r="T37">
        <v>31</v>
      </c>
      <c r="U37">
        <v>33</v>
      </c>
      <c r="V37">
        <v>33</v>
      </c>
      <c r="W37">
        <f>IF(COUNT($T37:$V37)=0,"",SUM($T37:$V37))</f>
        <v>97</v>
      </c>
      <c r="X37">
        <f>IF(ISERROR(IF($W37="","",ROUND(($W37/$W$10)*$X$10,2))),"",IF($W37="","",ROUND(($W37/$W$10)*$X$10,2)))</f>
        <v>80.83</v>
      </c>
      <c r="Y37">
        <f>IF($X37="","",ROUND($X37*$Y$10,2))</f>
        <v>24.25</v>
      </c>
      <c r="Z37">
        <f>IF(ISERROR(IF($V37="","",ROUND(SUM($M37,$S37,$Y37),2))),"",IF($V37="","",ROUND(SUM($M37,$S37,$Y37),2)))</f>
        <v>94.25</v>
      </c>
      <c r="AA37">
        <f>IF(ISERROR(IF($V37="","",VLOOKUP(Z37,NewTransmu,4,TRUE))),"",IF($V37="","",VLOOKUP(Z37,NewTransmu,4,TRUE)))</f>
        <v>96</v>
      </c>
      <c r="AB37" t="str">
        <f>IF(ISERROR(IF(AA37="","",VLOOKUP(AA37,DESCRIPTORS,4,TRUE))),"",IF(AA37="","",VLOOKUP(AA37,DESCRIPTORS,4,TRUE)))</f>
        <v>Advancing</v>
      </c>
      <c r="AV37">
        <f>(T37/$T$10)*100</f>
        <v>77.5</v>
      </c>
      <c r="AW37">
        <f>(U37/$U$10)*100</f>
        <v>82.5</v>
      </c>
      <c r="AX37">
        <f>(V37/$V$10)*100</f>
        <v>82.5</v>
      </c>
    </row>
    <row r="38">
      <c r="A38">
        <v>27</v>
      </c>
      <c r="B38" t="str">
        <f>INPUT!B38</f>
        <v>Reyes, Nathan</v>
      </c>
      <c r="F38">
        <v>20</v>
      </c>
      <c r="G38">
        <v>20</v>
      </c>
      <c r="H38">
        <v>20</v>
      </c>
      <c r="I38">
        <v>20</v>
      </c>
      <c r="J38">
        <v>20</v>
      </c>
      <c r="K38">
        <f>IF(COUNT($F38:$J38)=0,"",SUM($F38:$J38))</f>
        <v>100</v>
      </c>
      <c r="L38">
        <f>IF(ISERROR(IF($K38="","",ROUND(($K38/$K$10)*$L$10,2))),"",IF($K38="","",ROUND(($K38/$K$10)*$L$10,2)))</f>
        <v>100</v>
      </c>
      <c r="M38">
        <f>IF($L38="","",ROUND($L38*$M$10,2))</f>
        <v>20</v>
      </c>
      <c r="N38">
        <v>50</v>
      </c>
      <c r="O38">
        <v>50</v>
      </c>
      <c r="P38">
        <v>50</v>
      </c>
      <c r="Q38">
        <f>IF(COUNT($N38:$P38)=0,"",SUM($N38:$P38))</f>
        <v>150</v>
      </c>
      <c r="R38">
        <f>IF(ISERROR(IF($Q38="","",ROUND(($Q38/$Q$10)*$R$10,2))),"",IF($Q38="","",ROUND(($Q38/$Q$10)*$R$10,2)))</f>
        <v>100</v>
      </c>
      <c r="S38">
        <f>IF($R38="","",ROUND($R38*$S$10,2))</f>
        <v>50</v>
      </c>
      <c r="T38">
        <v>38</v>
      </c>
      <c r="U38">
        <v>38</v>
      </c>
      <c r="V38">
        <v>38</v>
      </c>
      <c r="W38">
        <f>IF(COUNT($T38:$V38)=0,"",SUM($T38:$V38))</f>
        <v>114</v>
      </c>
      <c r="X38">
        <f>IF(ISERROR(IF($W38="","",ROUND(($W38/$W$10)*$X$10,2))),"",IF($W38="","",ROUND(($W38/$W$10)*$X$10,2)))</f>
        <v>95</v>
      </c>
      <c r="Y38">
        <f>IF($X38="","",ROUND($X38*$Y$10,2))</f>
        <v>28.5</v>
      </c>
      <c r="Z38">
        <f>IF(ISERROR(IF($V38="","",ROUND(SUM($M38,$S38,$Y38),2))),"",IF($V38="","",ROUND(SUM($M38,$S38,$Y38),2)))</f>
        <v>98.5</v>
      </c>
      <c r="AA38">
        <f>IF(ISERROR(IF($V38="","",VLOOKUP(Z38,NewTransmu,4,TRUE))),"",IF($V38="","",VLOOKUP(Z38,NewTransmu,4,TRUE)))</f>
        <v>99</v>
      </c>
      <c r="AB38" t="str">
        <f>IF(ISERROR(IF(AA38="","",VLOOKUP(AA38,DESCRIPTORS,4,TRUE))),"",IF(AA38="","",VLOOKUP(AA38,DESCRIPTORS,4,TRUE)))</f>
        <v>Advancing</v>
      </c>
      <c r="AV38">
        <f>(T38/$T$10)*100</f>
        <v>95</v>
      </c>
      <c r="AW38">
        <f>(U38/$U$10)*100</f>
        <v>95</v>
      </c>
      <c r="AX38">
        <f>(V38/$V$10)*100</f>
        <v>95</v>
      </c>
    </row>
    <row r="39">
      <c r="A39">
        <v>28</v>
      </c>
      <c r="B39" t="str">
        <f>INPUT!B39</f>
        <v>Rivera, Noah</v>
      </c>
      <c r="F39">
        <v>20</v>
      </c>
      <c r="G39">
        <v>20</v>
      </c>
      <c r="H39">
        <v>20</v>
      </c>
      <c r="I39">
        <v>20</v>
      </c>
      <c r="J39">
        <v>20</v>
      </c>
      <c r="K39">
        <f>IF(COUNT($F39:$J39)=0,"",SUM($F39:$J39))</f>
        <v>100</v>
      </c>
      <c r="L39">
        <f>IF(ISERROR(IF($K39="","",ROUND(($K39/$K$10)*$L$10,2))),"",IF($K39="","",ROUND(($K39/$K$10)*$L$10,2)))</f>
        <v>100</v>
      </c>
      <c r="M39">
        <f>IF($L39="","",ROUND($L39*$M$10,2))</f>
        <v>20</v>
      </c>
      <c r="N39">
        <v>50</v>
      </c>
      <c r="O39">
        <v>50</v>
      </c>
      <c r="P39">
        <v>50</v>
      </c>
      <c r="Q39">
        <f>IF(COUNT($N39:$P39)=0,"",SUM($N39:$P39))</f>
        <v>150</v>
      </c>
      <c r="R39">
        <f>IF(ISERROR(IF($Q39="","",ROUND(($Q39/$Q$10)*$R$10,2))),"",IF($Q39="","",ROUND(($Q39/$Q$10)*$R$10,2)))</f>
        <v>100</v>
      </c>
      <c r="S39">
        <f>IF($R39="","",ROUND($R39*$S$10,2))</f>
        <v>50</v>
      </c>
      <c r="T39">
        <v>38</v>
      </c>
      <c r="U39">
        <v>40</v>
      </c>
      <c r="V39">
        <v>40</v>
      </c>
      <c r="W39">
        <f>IF(COUNT($T39:$V39)=0,"",SUM($T39:$V39))</f>
        <v>118</v>
      </c>
      <c r="X39">
        <f>IF(ISERROR(IF($W39="","",ROUND(($W39/$W$10)*$X$10,2))),"",IF($W39="","",ROUND(($W39/$W$10)*$X$10,2)))</f>
        <v>98.33</v>
      </c>
      <c r="Y39">
        <f>IF($X39="","",ROUND($X39*$Y$10,2))</f>
        <v>29.5</v>
      </c>
      <c r="Z39">
        <f>IF(ISERROR(IF($V39="","",ROUND(SUM($M39,$S39,$Y39),2))),"",IF($V39="","",ROUND(SUM($M39,$S39,$Y39),2)))</f>
        <v>99.5</v>
      </c>
      <c r="AA39">
        <f>IF(ISERROR(IF($V39="","",VLOOKUP(Z39,NewTransmu,4,TRUE))),"",IF($V39="","",VLOOKUP(Z39,NewTransmu,4,TRUE)))</f>
        <v>100</v>
      </c>
      <c r="AB39" t="str">
        <f>IF(ISERROR(IF(AA39="","",VLOOKUP(AA39,DESCRIPTORS,4,TRUE))),"",IF(AA39="","",VLOOKUP(AA39,DESCRIPTORS,4,TRUE)))</f>
        <v>Advancing</v>
      </c>
      <c r="AV39">
        <f>(T39/$T$10)*100</f>
        <v>95</v>
      </c>
      <c r="AW39">
        <f>(U39/$U$10)*100</f>
        <v>100</v>
      </c>
      <c r="AX39">
        <f>(V39/$V$10)*100</f>
        <v>100</v>
      </c>
    </row>
    <row r="40">
      <c r="A40">
        <v>29</v>
      </c>
      <c r="B40" t="str">
        <f>INPUT!B40</f>
        <v>Rosales, Oliver</v>
      </c>
      <c r="F40">
        <v>20</v>
      </c>
      <c r="G40">
        <v>20</v>
      </c>
      <c r="H40">
        <v>20</v>
      </c>
      <c r="I40">
        <v>20</v>
      </c>
      <c r="J40">
        <v>20</v>
      </c>
      <c r="K40">
        <f>IF(COUNT($F40:$J40)=0,"",SUM($F40:$J40))</f>
        <v>100</v>
      </c>
      <c r="L40">
        <f>IF(ISERROR(IF($K40="","",ROUND(($K40/$K$10)*$L$10,2))),"",IF($K40="","",ROUND(($K40/$K$10)*$L$10,2)))</f>
        <v>100</v>
      </c>
      <c r="M40">
        <f>IF($L40="","",ROUND($L40*$M$10,2))</f>
        <v>20</v>
      </c>
      <c r="N40">
        <v>50</v>
      </c>
      <c r="O40">
        <v>50</v>
      </c>
      <c r="P40">
        <v>50</v>
      </c>
      <c r="Q40">
        <f>IF(COUNT($N40:$P40)=0,"",SUM($N40:$P40))</f>
        <v>150</v>
      </c>
      <c r="R40">
        <f>IF(ISERROR(IF($Q40="","",ROUND(($Q40/$Q$10)*$R$10,2))),"",IF($Q40="","",ROUND(($Q40/$Q$10)*$R$10,2)))</f>
        <v>100</v>
      </c>
      <c r="S40">
        <f>IF($R40="","",ROUND($R40*$S$10,2))</f>
        <v>50</v>
      </c>
      <c r="T40">
        <v>37</v>
      </c>
      <c r="U40">
        <v>35</v>
      </c>
      <c r="V40">
        <v>35</v>
      </c>
      <c r="W40">
        <f>IF(COUNT($T40:$V40)=0,"",SUM($T40:$V40))</f>
        <v>107</v>
      </c>
      <c r="X40">
        <f>IF(ISERROR(IF($W40="","",ROUND(($W40/$W$10)*$X$10,2))),"",IF($W40="","",ROUND(($W40/$W$10)*$X$10,2)))</f>
        <v>89.17</v>
      </c>
      <c r="Y40">
        <f>IF($X40="","",ROUND($X40*$Y$10,2))</f>
        <v>26.75</v>
      </c>
      <c r="Z40">
        <f>IF(ISERROR(IF($V40="","",ROUND(SUM($M40,$S40,$Y40),2))),"",IF($V40="","",ROUND(SUM($M40,$S40,$Y40),2)))</f>
        <v>96.75</v>
      </c>
      <c r="AA40">
        <f>IF(ISERROR(IF($V40="","",VLOOKUP(Z40,NewTransmu,4,TRUE))),"",IF($V40="","",VLOOKUP(Z40,NewTransmu,4,TRUE)))</f>
        <v>98</v>
      </c>
      <c r="AB40" t="str">
        <f>IF(ISERROR(IF(AA40="","",VLOOKUP(AA40,DESCRIPTORS,4,TRUE))),"",IF(AA40="","",VLOOKUP(AA40,DESCRIPTORS,4,TRUE)))</f>
        <v>Advancing</v>
      </c>
      <c r="AV40">
        <f>(T40/$T$10)*100</f>
        <v>92.5</v>
      </c>
      <c r="AW40">
        <f>(U40/$U$10)*100</f>
        <v>87.5</v>
      </c>
      <c r="AX40">
        <f>(V40/$V$10)*100</f>
        <v>87.5</v>
      </c>
    </row>
    <row r="41">
      <c r="A41">
        <v>30</v>
      </c>
      <c r="B41" t="str">
        <f>INPUT!B41</f>
        <v>Salazar, Paolo</v>
      </c>
      <c r="F41">
        <v>20</v>
      </c>
      <c r="G41">
        <v>20</v>
      </c>
      <c r="H41">
        <v>20</v>
      </c>
      <c r="I41">
        <v>20</v>
      </c>
      <c r="J41">
        <v>20</v>
      </c>
      <c r="K41">
        <f>IF(COUNT($F41:$J41)=0,"",SUM($F41:$J41))</f>
        <v>100</v>
      </c>
      <c r="L41">
        <f>IF(ISERROR(IF($K41="","",ROUND(($K41/$K$10)*$L$10,2))),"",IF($K41="","",ROUND(($K41/$K$10)*$L$10,2)))</f>
        <v>100</v>
      </c>
      <c r="M41">
        <f>IF($L41="","",ROUND($L41*$M$10,2))</f>
        <v>20</v>
      </c>
      <c r="N41">
        <v>50</v>
      </c>
      <c r="O41">
        <v>50</v>
      </c>
      <c r="P41">
        <v>50</v>
      </c>
      <c r="Q41">
        <f>IF(COUNT($N41:$P41)=0,"",SUM($N41:$P41))</f>
        <v>150</v>
      </c>
      <c r="R41">
        <f>IF(ISERROR(IF($Q41="","",ROUND(($Q41/$Q$10)*$R$10,2))),"",IF($Q41="","",ROUND(($Q41/$Q$10)*$R$10,2)))</f>
        <v>100</v>
      </c>
      <c r="S41">
        <f>IF($R41="","",ROUND($R41*$S$10,2))</f>
        <v>50</v>
      </c>
      <c r="T41">
        <v>40</v>
      </c>
      <c r="U41">
        <v>40</v>
      </c>
      <c r="V41">
        <v>40</v>
      </c>
      <c r="W41">
        <f>IF(COUNT($T41:$V41)=0,"",SUM($T41:$V41))</f>
        <v>120</v>
      </c>
      <c r="X41">
        <f>IF(ISERROR(IF($W41="","",ROUND(($W41/$W$10)*$X$10,2))),"",IF($W41="","",ROUND(($W41/$W$10)*$X$10,2)))</f>
        <v>100</v>
      </c>
      <c r="Y41">
        <f>IF($X41="","",ROUND($X41*$Y$10,2))</f>
        <v>30</v>
      </c>
      <c r="Z41">
        <f>IF(ISERROR(IF($V41="","",ROUND(SUM($M41,$S41,$Y41),2))),"",IF($V41="","",ROUND(SUM($M41,$S41,$Y41),2)))</f>
        <v>100</v>
      </c>
      <c r="AA41">
        <f>IF(ISERROR(IF($V41="","",VLOOKUP(Z41,NewTransmu,4,TRUE))),"",IF($V41="","",VLOOKUP(Z41,NewTransmu,4,TRUE)))</f>
        <v>100</v>
      </c>
      <c r="AB41" t="str">
        <f>IF(ISERROR(IF(AA41="","",VLOOKUP(AA41,DESCRIPTORS,4,TRUE))),"",IF(AA41="","",VLOOKUP(AA41,DESCRIPTORS,4,TRUE)))</f>
        <v>Advancing</v>
      </c>
      <c r="AV41">
        <f>(T41/$T$10)*100</f>
        <v>100</v>
      </c>
      <c r="AW41">
        <f>(U41/$U$10)*100</f>
        <v>100</v>
      </c>
      <c r="AX41">
        <f>(V41/$V$10)*100</f>
        <v>100</v>
      </c>
    </row>
    <row r="42">
      <c r="A42">
        <v>31</v>
      </c>
      <c r="B42" t="str">
        <f>INPUT!B42</f>
        <v>Santiago, Patrick</v>
      </c>
      <c r="F42">
        <v>20</v>
      </c>
      <c r="G42">
        <v>20</v>
      </c>
      <c r="H42">
        <v>20</v>
      </c>
      <c r="I42">
        <v>20</v>
      </c>
      <c r="J42">
        <v>20</v>
      </c>
      <c r="K42">
        <f>IF(COUNT($F42:$J42)=0,"",SUM($F42:$J42))</f>
        <v>100</v>
      </c>
      <c r="L42">
        <f>IF(ISERROR(IF($K42="","",ROUND(($K42/$K$10)*$L$10,2))),"",IF($K42="","",ROUND(($K42/$K$10)*$L$10,2)))</f>
        <v>100</v>
      </c>
      <c r="M42">
        <f>IF($L42="","",ROUND($L42*$M$10,2))</f>
        <v>20</v>
      </c>
      <c r="N42">
        <v>50</v>
      </c>
      <c r="O42">
        <v>50</v>
      </c>
      <c r="P42">
        <v>50</v>
      </c>
      <c r="Q42">
        <f>IF(COUNT($N42:$P42)=0,"",SUM($N42:$P42))</f>
        <v>150</v>
      </c>
      <c r="R42">
        <f>IF(ISERROR(IF($Q42="","",ROUND(($Q42/$Q$10)*$R$10,2))),"",IF($Q42="","",ROUND(($Q42/$Q$10)*$R$10,2)))</f>
        <v>100</v>
      </c>
      <c r="S42">
        <f>IF($R42="","",ROUND($R42*$S$10,2))</f>
        <v>50</v>
      </c>
      <c r="T42">
        <v>38</v>
      </c>
      <c r="U42">
        <v>38</v>
      </c>
      <c r="V42">
        <v>35</v>
      </c>
      <c r="W42">
        <f>IF(COUNT($T42:$V42)=0,"",SUM($T42:$V42))</f>
        <v>111</v>
      </c>
      <c r="X42">
        <f>IF(ISERROR(IF($W42="","",ROUND(($W42/$W$10)*$X$10,2))),"",IF($W42="","",ROUND(($W42/$W$10)*$X$10,2)))</f>
        <v>92.5</v>
      </c>
      <c r="Y42">
        <f>IF($X42="","",ROUND($X42*$Y$10,2))</f>
        <v>27.75</v>
      </c>
      <c r="Z42">
        <f>IF(ISERROR(IF($V42="","",ROUND(SUM($M42,$S42,$Y42),2))),"",IF($V42="","",ROUND(SUM($M42,$S42,$Y42),2)))</f>
        <v>97.75</v>
      </c>
      <c r="AA42">
        <f>IF(ISERROR(IF($V42="","",VLOOKUP(Z42,NewTransmu,4,TRUE))),"",IF($V42="","",VLOOKUP(Z42,NewTransmu,4,TRUE)))</f>
        <v>99</v>
      </c>
      <c r="AB42" t="str">
        <f>IF(ISERROR(IF(AA42="","",VLOOKUP(AA42,DESCRIPTORS,4,TRUE))),"",IF(AA42="","",VLOOKUP(AA42,DESCRIPTORS,4,TRUE)))</f>
        <v>Advancing</v>
      </c>
      <c r="AV42">
        <f>(T42/$T$10)*100</f>
        <v>95</v>
      </c>
      <c r="AW42">
        <f>(U42/$U$10)*100</f>
        <v>95</v>
      </c>
      <c r="AX42">
        <f>(V42/$V$10)*100</f>
        <v>87.5</v>
      </c>
    </row>
    <row r="43">
      <c r="A43">
        <v>32</v>
      </c>
      <c r="B43" t="str">
        <f>INPUT!B43</f>
        <v>Santos, Rafael</v>
      </c>
      <c r="F43">
        <v>20</v>
      </c>
      <c r="G43">
        <v>20</v>
      </c>
      <c r="H43">
        <v>20</v>
      </c>
      <c r="I43">
        <v>20</v>
      </c>
      <c r="J43">
        <v>20</v>
      </c>
      <c r="K43">
        <f>IF(COUNT($F43:$J43)=0,"",SUM($F43:$J43))</f>
        <v>100</v>
      </c>
      <c r="L43">
        <f>IF(ISERROR(IF($K43="","",ROUND(($K43/$K$10)*$L$10,2))),"",IF($K43="","",ROUND(($K43/$K$10)*$L$10,2)))</f>
        <v>100</v>
      </c>
      <c r="M43">
        <f>IF($L43="","",ROUND($L43*$M$10,2))</f>
        <v>20</v>
      </c>
      <c r="N43">
        <v>50</v>
      </c>
      <c r="O43">
        <v>50</v>
      </c>
      <c r="P43">
        <v>50</v>
      </c>
      <c r="Q43">
        <f>IF(COUNT($N43:$P43)=0,"",SUM($N43:$P43))</f>
        <v>150</v>
      </c>
      <c r="R43">
        <f>IF(ISERROR(IF($Q43="","",ROUND(($Q43/$Q$10)*$R$10,2))),"",IF($Q43="","",ROUND(($Q43/$Q$10)*$R$10,2)))</f>
        <v>100</v>
      </c>
      <c r="S43">
        <f>IF($R43="","",ROUND($R43*$S$10,2))</f>
        <v>50</v>
      </c>
      <c r="T43">
        <v>40</v>
      </c>
      <c r="U43">
        <v>39</v>
      </c>
      <c r="V43">
        <v>39</v>
      </c>
      <c r="W43">
        <f>IF(COUNT($T43:$V43)=0,"",SUM($T43:$V43))</f>
        <v>118</v>
      </c>
      <c r="X43">
        <f>IF(ISERROR(IF($W43="","",ROUND(($W43/$W$10)*$X$10,2))),"",IF($W43="","",ROUND(($W43/$W$10)*$X$10,2)))</f>
        <v>98.33</v>
      </c>
      <c r="Y43">
        <f>IF($X43="","",ROUND($X43*$Y$10,2))</f>
        <v>29.5</v>
      </c>
      <c r="Z43">
        <f>IF(ISERROR(IF($V43="","",ROUND(SUM($M43,$S43,$Y43),2))),"",IF($V43="","",ROUND(SUM($M43,$S43,$Y43),2)))</f>
        <v>99.5</v>
      </c>
      <c r="AA43">
        <f>IF(ISERROR(IF($V43="","",VLOOKUP(Z43,NewTransmu,4,TRUE))),"",IF($V43="","",VLOOKUP(Z43,NewTransmu,4,TRUE)))</f>
        <v>100</v>
      </c>
      <c r="AB43" t="str">
        <f>IF(ISERROR(IF(AA43="","",VLOOKUP(AA43,DESCRIPTORS,4,TRUE))),"",IF(AA43="","",VLOOKUP(AA43,DESCRIPTORS,4,TRUE)))</f>
        <v>Advancing</v>
      </c>
      <c r="AV43">
        <f>(T43/$T$10)*100</f>
        <v>100</v>
      </c>
      <c r="AW43">
        <f>(U43/$U$10)*100</f>
        <v>97.5</v>
      </c>
      <c r="AX43">
        <f>(V43/$V$10)*100</f>
        <v>97.5</v>
      </c>
    </row>
    <row r="44">
      <c r="A44">
        <v>33</v>
      </c>
      <c r="B44" t="str">
        <f>INPUT!B44</f>
        <v>Soriano, Raymond</v>
      </c>
      <c r="F44">
        <v>20</v>
      </c>
      <c r="G44">
        <v>20</v>
      </c>
      <c r="H44">
        <v>20</v>
      </c>
      <c r="I44">
        <v>20</v>
      </c>
      <c r="J44">
        <v>20</v>
      </c>
      <c r="K44">
        <f>IF(COUNT($F44:$J44)=0,"",SUM($F44:$J44))</f>
        <v>100</v>
      </c>
      <c r="L44">
        <f>IF(ISERROR(IF($K44="","",ROUND(($K44/$K$10)*$L$10,2))),"",IF($K44="","",ROUND(($K44/$K$10)*$L$10,2)))</f>
        <v>100</v>
      </c>
      <c r="M44">
        <f>IF($L44="","",ROUND($L44*$M$10,2))</f>
        <v>20</v>
      </c>
      <c r="N44">
        <v>50</v>
      </c>
      <c r="O44">
        <v>50</v>
      </c>
      <c r="P44">
        <v>50</v>
      </c>
      <c r="Q44">
        <f>IF(COUNT($N44:$P44)=0,"",SUM($N44:$P44))</f>
        <v>150</v>
      </c>
      <c r="R44">
        <f>IF(ISERROR(IF($Q44="","",ROUND(($Q44/$Q$10)*$R$10,2))),"",IF($Q44="","",ROUND(($Q44/$Q$10)*$R$10,2)))</f>
        <v>100</v>
      </c>
      <c r="S44">
        <f>IF($R44="","",ROUND($R44*$S$10,2))</f>
        <v>50</v>
      </c>
      <c r="T44">
        <v>36</v>
      </c>
      <c r="U44">
        <v>35</v>
      </c>
      <c r="V44">
        <v>36</v>
      </c>
      <c r="W44">
        <f>IF(COUNT($T44:$V44)=0,"",SUM($T44:$V44))</f>
        <v>107</v>
      </c>
      <c r="X44">
        <f>IF(ISERROR(IF($W44="","",ROUND(($W44/$W$10)*$X$10,2))),"",IF($W44="","",ROUND(($W44/$W$10)*$X$10,2)))</f>
        <v>89.17</v>
      </c>
      <c r="Y44">
        <f>IF($X44="","",ROUND($X44*$Y$10,2))</f>
        <v>26.75</v>
      </c>
      <c r="Z44">
        <f>IF(ISERROR(IF($V44="","",ROUND(SUM($M44,$S44,$Y44),2))),"",IF($V44="","",ROUND(SUM($M44,$S44,$Y44),2)))</f>
        <v>96.75</v>
      </c>
      <c r="AA44">
        <f>IF(ISERROR(IF($V44="","",VLOOKUP(Z44,NewTransmu,4,TRUE))),"",IF($V44="","",VLOOKUP(Z44,NewTransmu,4,TRUE)))</f>
        <v>98</v>
      </c>
      <c r="AB44" t="str">
        <f>IF(ISERROR(IF(AA44="","",VLOOKUP(AA44,DESCRIPTORS,4,TRUE))),"",IF(AA44="","",VLOOKUP(AA44,DESCRIPTORS,4,TRUE)))</f>
        <v>Advancing</v>
      </c>
      <c r="AV44">
        <f>(T44/$T$10)*100</f>
        <v>90</v>
      </c>
      <c r="AW44">
        <f>(U44/$U$10)*100</f>
        <v>87.5</v>
      </c>
      <c r="AX44">
        <f>(V44/$V$10)*100</f>
        <v>90</v>
      </c>
    </row>
    <row r="45">
      <c r="A45">
        <v>34</v>
      </c>
      <c r="B45" t="str">
        <f>INPUT!B45</f>
        <v>Torres, Rico</v>
      </c>
      <c r="F45">
        <v>20</v>
      </c>
      <c r="G45">
        <v>20</v>
      </c>
      <c r="H45">
        <v>20</v>
      </c>
      <c r="I45">
        <v>20</v>
      </c>
      <c r="J45">
        <v>20</v>
      </c>
      <c r="K45">
        <f>IF(COUNT($F45:$J45)=0,"",SUM($F45:$J45))</f>
        <v>100</v>
      </c>
      <c r="L45">
        <f>IF(ISERROR(IF($K45="","",ROUND(($K45/$K$10)*$L$10,2))),"",IF($K45="","",ROUND(($K45/$K$10)*$L$10,2)))</f>
        <v>100</v>
      </c>
      <c r="M45">
        <f>IF($L45="","",ROUND($L45*$M$10,2))</f>
        <v>20</v>
      </c>
      <c r="N45">
        <v>50</v>
      </c>
      <c r="O45">
        <v>50</v>
      </c>
      <c r="P45">
        <v>50</v>
      </c>
      <c r="Q45">
        <f>IF(COUNT($N45:$P45)=0,"",SUM($N45:$P45))</f>
        <v>150</v>
      </c>
      <c r="R45">
        <f>IF(ISERROR(IF($Q45="","",ROUND(($Q45/$Q$10)*$R$10,2))),"",IF($Q45="","",ROUND(($Q45/$Q$10)*$R$10,2)))</f>
        <v>100</v>
      </c>
      <c r="S45">
        <f>IF($R45="","",ROUND($R45*$S$10,2))</f>
        <v>50</v>
      </c>
      <c r="T45">
        <v>34</v>
      </c>
      <c r="U45">
        <v>34</v>
      </c>
      <c r="V45">
        <v>32</v>
      </c>
      <c r="W45">
        <f>IF(COUNT($T45:$V45)=0,"",SUM($T45:$V45))</f>
        <v>100</v>
      </c>
      <c r="X45">
        <f>IF(ISERROR(IF($W45="","",ROUND(($W45/$W$10)*$X$10,2))),"",IF($W45="","",ROUND(($W45/$W$10)*$X$10,2)))</f>
        <v>83.33</v>
      </c>
      <c r="Y45">
        <f>IF($X45="","",ROUND($X45*$Y$10,2))</f>
        <v>25</v>
      </c>
      <c r="Z45">
        <f>IF(ISERROR(IF($V45="","",ROUND(SUM($M45,$S45,$Y45),2))),"",IF($V45="","",ROUND(SUM($M45,$S45,$Y45),2)))</f>
        <v>95</v>
      </c>
      <c r="AA45">
        <f>IF(ISERROR(IF($V45="","",VLOOKUP(Z45,NewTransmu,4,TRUE))),"",IF($V45="","",VLOOKUP(Z45,NewTransmu,4,TRUE)))</f>
        <v>97</v>
      </c>
      <c r="AB45" t="str">
        <f>IF(ISERROR(IF(AA45="","",VLOOKUP(AA45,DESCRIPTORS,4,TRUE))),"",IF(AA45="","",VLOOKUP(AA45,DESCRIPTORS,4,TRUE)))</f>
        <v>Advancing</v>
      </c>
      <c r="AV45">
        <f>(T45/$T$10)*100</f>
        <v>85</v>
      </c>
      <c r="AW45">
        <f>(U45/$U$10)*100</f>
        <v>85</v>
      </c>
      <c r="AX45">
        <f>(V45/$V$10)*100</f>
        <v>80</v>
      </c>
    </row>
    <row r="46">
      <c r="A46">
        <v>35</v>
      </c>
      <c r="B46" t="str">
        <f>INPUT!B46</f>
        <v>Valdez, Samuel</v>
      </c>
      <c r="F46">
        <v>20</v>
      </c>
      <c r="G46">
        <v>20</v>
      </c>
      <c r="H46">
        <v>20</v>
      </c>
      <c r="I46">
        <v>20</v>
      </c>
      <c r="J46">
        <v>20</v>
      </c>
      <c r="K46">
        <f>IF(COUNT($F46:$J46)=0,"",SUM($F46:$J46))</f>
        <v>100</v>
      </c>
      <c r="L46">
        <f>IF(ISERROR(IF($K46="","",ROUND(($K46/$K$10)*$L$10,2))),"",IF($K46="","",ROUND(($K46/$K$10)*$L$10,2)))</f>
        <v>100</v>
      </c>
      <c r="M46">
        <f>IF($L46="","",ROUND($L46*$M$10,2))</f>
        <v>20</v>
      </c>
      <c r="N46">
        <v>50</v>
      </c>
      <c r="O46">
        <v>50</v>
      </c>
      <c r="P46">
        <v>50</v>
      </c>
      <c r="Q46">
        <f>IF(COUNT($N46:$P46)=0,"",SUM($N46:$P46))</f>
        <v>150</v>
      </c>
      <c r="R46">
        <f>IF(ISERROR(IF($Q46="","",ROUND(($Q46/$Q$10)*$R$10,2))),"",IF($Q46="","",ROUND(($Q46/$Q$10)*$R$10,2)))</f>
        <v>100</v>
      </c>
      <c r="S46">
        <f>IF($R46="","",ROUND($R46*$S$10,2))</f>
        <v>50</v>
      </c>
      <c r="T46">
        <v>36</v>
      </c>
      <c r="U46">
        <v>36</v>
      </c>
      <c r="V46">
        <v>34</v>
      </c>
      <c r="W46">
        <f>IF(COUNT($T46:$V46)=0,"",SUM($T46:$V46))</f>
        <v>106</v>
      </c>
      <c r="X46">
        <f>IF(ISERROR(IF($W46="","",ROUND(($W46/$W$10)*$X$10,2))),"",IF($W46="","",ROUND(($W46/$W$10)*$X$10,2)))</f>
        <v>88.33</v>
      </c>
      <c r="Y46">
        <f>IF($X46="","",ROUND($X46*$Y$10,2))</f>
        <v>26.5</v>
      </c>
      <c r="Z46">
        <f>IF(ISERROR(IF($V46="","",ROUND(SUM($M46,$S46,$Y46),2))),"",IF($V46="","",ROUND(SUM($M46,$S46,$Y46),2)))</f>
        <v>96.5</v>
      </c>
      <c r="AA46">
        <f>IF(ISERROR(IF($V46="","",VLOOKUP(Z46,NewTransmu,4,TRUE))),"",IF($V46="","",VLOOKUP(Z46,NewTransmu,4,TRUE)))</f>
        <v>98</v>
      </c>
      <c r="AB46" t="str">
        <f>IF(ISERROR(IF(AA46="","",VLOOKUP(AA46,DESCRIPTORS,4,TRUE))),"",IF(AA46="","",VLOOKUP(AA46,DESCRIPTORS,4,TRUE)))</f>
        <v>Advancing</v>
      </c>
      <c r="AV46">
        <f>(T46/$T$10)*100</f>
        <v>90</v>
      </c>
      <c r="AW46">
        <f>(U46/$U$10)*100</f>
        <v>90</v>
      </c>
      <c r="AX46">
        <f>(V46/$V$10)*100</f>
        <v>85</v>
      </c>
    </row>
    <row r="47">
      <c r="A47">
        <v>36</v>
      </c>
      <c r="B47" t="str">
        <f>INPUT!B47</f>
        <v>Velasco, Sebastian</v>
      </c>
      <c r="F47">
        <v>20</v>
      </c>
      <c r="G47">
        <v>20</v>
      </c>
      <c r="H47">
        <v>20</v>
      </c>
      <c r="I47">
        <v>20</v>
      </c>
      <c r="J47">
        <v>20</v>
      </c>
      <c r="K47">
        <f>IF(COUNT($F47:$J47)=0,"",SUM($F47:$J47))</f>
        <v>100</v>
      </c>
      <c r="L47">
        <f>IF(ISERROR(IF($K47="","",ROUND(($K47/$K$10)*$L$10,2))),"",IF($K47="","",ROUND(($K47/$K$10)*$L$10,2)))</f>
        <v>100</v>
      </c>
      <c r="M47">
        <f>IF($L47="","",ROUND($L47*$M$10,2))</f>
        <v>20</v>
      </c>
      <c r="N47">
        <v>50</v>
      </c>
      <c r="O47">
        <v>50</v>
      </c>
      <c r="P47">
        <v>50</v>
      </c>
      <c r="Q47">
        <f>IF(COUNT($N47:$P47)=0,"",SUM($N47:$P47))</f>
        <v>150</v>
      </c>
      <c r="R47">
        <f>IF(ISERROR(IF($Q47="","",ROUND(($Q47/$Q$10)*$R$10,2))),"",IF($Q47="","",ROUND(($Q47/$Q$10)*$R$10,2)))</f>
        <v>100</v>
      </c>
      <c r="S47">
        <f>IF($R47="","",ROUND($R47*$S$10,2))</f>
        <v>50</v>
      </c>
      <c r="T47">
        <v>34</v>
      </c>
      <c r="U47">
        <v>35</v>
      </c>
      <c r="V47">
        <v>35</v>
      </c>
      <c r="W47">
        <f>IF(COUNT($T47:$V47)=0,"",SUM($T47:$V47))</f>
        <v>104</v>
      </c>
      <c r="X47">
        <f>IF(ISERROR(IF($W47="","",ROUND(($W47/$W$10)*$X$10,2))),"",IF($W47="","",ROUND(($W47/$W$10)*$X$10,2)))</f>
        <v>86.67</v>
      </c>
      <c r="Y47">
        <f>IF($X47="","",ROUND($X47*$Y$10,2))</f>
        <v>26</v>
      </c>
      <c r="Z47">
        <f>IF(ISERROR(IF($V47="","",ROUND(SUM($M47,$S47,$Y47),2))),"",IF($V47="","",ROUND(SUM($M47,$S47,$Y47),2)))</f>
        <v>96</v>
      </c>
      <c r="AA47">
        <f>IF(ISERROR(IF($V47="","",VLOOKUP(Z47,NewTransmu,4,TRUE))),"",IF($V47="","",VLOOKUP(Z47,NewTransmu,4,TRUE)))</f>
        <v>98</v>
      </c>
      <c r="AB47" t="str">
        <f>IF(ISERROR(IF(AA47="","",VLOOKUP(AA47,DESCRIPTORS,4,TRUE))),"",IF(AA47="","",VLOOKUP(AA47,DESCRIPTORS,4,TRUE)))</f>
        <v>Advancing</v>
      </c>
      <c r="AV47">
        <f>(T47/$T$10)*100</f>
        <v>85</v>
      </c>
      <c r="AW47">
        <f>(U47/$U$10)*100</f>
        <v>87.5</v>
      </c>
      <c r="AX47">
        <f>(V47/$V$10)*100</f>
        <v>87.5</v>
      </c>
    </row>
    <row r="48">
      <c r="A48">
        <v>37</v>
      </c>
      <c r="B48" t="str">
        <f>INPUT!B48</f>
        <v>Villanueva, Simon</v>
      </c>
      <c r="F48">
        <v>20</v>
      </c>
      <c r="G48">
        <v>20</v>
      </c>
      <c r="H48">
        <v>20</v>
      </c>
      <c r="I48">
        <v>20</v>
      </c>
      <c r="J48">
        <v>20</v>
      </c>
      <c r="K48">
        <f>IF(COUNT($F48:$J48)=0,"",SUM($F48:$J48))</f>
        <v>100</v>
      </c>
      <c r="L48">
        <f>IF(ISERROR(IF($K48="","",ROUND(($K48/$K$10)*$L$10,2))),"",IF($K48="","",ROUND(($K48/$K$10)*$L$10,2)))</f>
        <v>100</v>
      </c>
      <c r="M48">
        <f>IF($L48="","",ROUND($L48*$M$10,2))</f>
        <v>20</v>
      </c>
      <c r="N48">
        <v>50</v>
      </c>
      <c r="O48">
        <v>50</v>
      </c>
      <c r="P48">
        <v>50</v>
      </c>
      <c r="Q48">
        <f>IF(COUNT($N48:$P48)=0,"",SUM($N48:$P48))</f>
        <v>150</v>
      </c>
      <c r="R48">
        <f>IF(ISERROR(IF($Q48="","",ROUND(($Q48/$Q$10)*$R$10,2))),"",IF($Q48="","",ROUND(($Q48/$Q$10)*$R$10,2)))</f>
        <v>100</v>
      </c>
      <c r="S48">
        <f>IF($R48="","",ROUND($R48*$S$10,2))</f>
        <v>50</v>
      </c>
      <c r="T48">
        <v>36</v>
      </c>
      <c r="U48">
        <v>36</v>
      </c>
      <c r="V48">
        <v>38</v>
      </c>
      <c r="W48">
        <f>IF(COUNT($T48:$V48)=0,"",SUM($T48:$V48))</f>
        <v>110</v>
      </c>
      <c r="X48">
        <f>IF(ISERROR(IF($W48="","",ROUND(($W48/$W$10)*$X$10,2))),"",IF($W48="","",ROUND(($W48/$W$10)*$X$10,2)))</f>
        <v>91.67</v>
      </c>
      <c r="Y48">
        <f>IF($X48="","",ROUND($X48*$Y$10,2))</f>
        <v>27.5</v>
      </c>
      <c r="Z48">
        <f>IF(ISERROR(IF($V48="","",ROUND(SUM($M48,$S48,$Y48),2))),"",IF($V48="","",ROUND(SUM($M48,$S48,$Y48),2)))</f>
        <v>97.5</v>
      </c>
      <c r="AA48">
        <f>IF(ISERROR(IF($V48="","",VLOOKUP(Z48,NewTransmu,4,TRUE))),"",IF($V48="","",VLOOKUP(Z48,NewTransmu,4,TRUE)))</f>
        <v>99</v>
      </c>
      <c r="AB48" t="str">
        <f>IF(ISERROR(IF(AA48="","",VLOOKUP(AA48,DESCRIPTORS,4,TRUE))),"",IF(AA48="","",VLOOKUP(AA48,DESCRIPTORS,4,TRUE)))</f>
        <v>Advancing</v>
      </c>
      <c r="AV48">
        <f>(T48/$T$10)*100</f>
        <v>90</v>
      </c>
      <c r="AW48">
        <f>(U48/$U$10)*100</f>
        <v>90</v>
      </c>
      <c r="AX48">
        <f>(V48/$V$10)*100</f>
        <v>95</v>
      </c>
    </row>
    <row r="49">
      <c r="A49">
        <v>38</v>
      </c>
      <c r="B49" t="str">
        <f>INPUT!B49</f>
        <v>Yap, Stephen</v>
      </c>
      <c r="F49">
        <v>20</v>
      </c>
      <c r="G49">
        <v>20</v>
      </c>
      <c r="H49">
        <v>20</v>
      </c>
      <c r="I49">
        <v>20</v>
      </c>
      <c r="J49">
        <v>20</v>
      </c>
      <c r="K49">
        <f>IF(COUNT($F49:$J49)=0,"",SUM($F49:$J49))</f>
        <v>100</v>
      </c>
      <c r="L49">
        <f>IF(ISERROR(IF($K49="","",ROUND(($K49/$K$10)*$L$10,2))),"",IF($K49="","",ROUND(($K49/$K$10)*$L$10,2)))</f>
        <v>100</v>
      </c>
      <c r="M49">
        <f>IF($L49="","",ROUND($L49*$M$10,2))</f>
        <v>20</v>
      </c>
      <c r="N49">
        <v>50</v>
      </c>
      <c r="O49">
        <v>50</v>
      </c>
      <c r="P49">
        <v>50</v>
      </c>
      <c r="Q49">
        <f>IF(COUNT($N49:$P49)=0,"",SUM($N49:$P49))</f>
        <v>150</v>
      </c>
      <c r="R49">
        <f>IF(ISERROR(IF($Q49="","",ROUND(($Q49/$Q$10)*$R$10,2))),"",IF($Q49="","",ROUND(($Q49/$Q$10)*$R$10,2)))</f>
        <v>100</v>
      </c>
      <c r="S49">
        <f>IF($R49="","",ROUND($R49*$S$10,2))</f>
        <v>50</v>
      </c>
      <c r="T49">
        <v>34</v>
      </c>
      <c r="U49">
        <v>35</v>
      </c>
      <c r="V49">
        <v>30</v>
      </c>
      <c r="W49">
        <f>IF(COUNT($T49:$V49)=0,"",SUM($T49:$V49))</f>
        <v>99</v>
      </c>
      <c r="X49">
        <f>IF(ISERROR(IF($W49="","",ROUND(($W49/$W$10)*$X$10,2))),"",IF($W49="","",ROUND(($W49/$W$10)*$X$10,2)))</f>
        <v>82.5</v>
      </c>
      <c r="Y49">
        <f>IF($X49="","",ROUND($X49*$Y$10,2))</f>
        <v>24.75</v>
      </c>
      <c r="Z49">
        <f>IF(ISERROR(IF($V49="","",ROUND(SUM($M49,$S49,$Y49),2))),"",IF($V49="","",ROUND(SUM($M49,$S49,$Y49),2)))</f>
        <v>94.75</v>
      </c>
      <c r="AA49">
        <f>IF(ISERROR(IF($V49="","",VLOOKUP(Z49,NewTransmu,4,TRUE))),"",IF($V49="","",VLOOKUP(Z49,NewTransmu,4,TRUE)))</f>
        <v>96</v>
      </c>
      <c r="AB49" t="str">
        <f>IF(ISERROR(IF(AA49="","",VLOOKUP(AA49,DESCRIPTORS,4,TRUE))),"",IF(AA49="","",VLOOKUP(AA49,DESCRIPTORS,4,TRUE)))</f>
        <v>Advancing</v>
      </c>
      <c r="AV49">
        <f>(T49/$T$10)*100</f>
        <v>85</v>
      </c>
      <c r="AW49">
        <f>(U49/$U$10)*100</f>
        <v>87.5</v>
      </c>
      <c r="AX49">
        <f>(V49/$V$10)*100</f>
        <v>75</v>
      </c>
    </row>
    <row r="50">
      <c r="A50">
        <v>39</v>
      </c>
      <c r="B50" t="str">
        <f>INPUT!B50</f>
        <v>Zamora, Thomas</v>
      </c>
      <c r="F50">
        <v>20</v>
      </c>
      <c r="G50">
        <v>20</v>
      </c>
      <c r="H50">
        <v>20</v>
      </c>
      <c r="I50">
        <v>20</v>
      </c>
      <c r="J50">
        <v>20</v>
      </c>
      <c r="K50">
        <f>IF(COUNT($F50:$J50)=0,"",SUM($F50:$J50))</f>
        <v>100</v>
      </c>
      <c r="L50">
        <f>IF(ISERROR(IF($K50="","",ROUND(($K50/$K$10)*$L$10,2))),"",IF($K50="","",ROUND(($K50/$K$10)*$L$10,2)))</f>
        <v>100</v>
      </c>
      <c r="M50">
        <f>IF($L50="","",ROUND($L50*$M$10,2))</f>
        <v>20</v>
      </c>
      <c r="N50">
        <v>50</v>
      </c>
      <c r="O50">
        <v>50</v>
      </c>
      <c r="P50">
        <v>50</v>
      </c>
      <c r="Q50">
        <f>IF(COUNT($N50:$P50)=0,"",SUM($N50:$P50))</f>
        <v>150</v>
      </c>
      <c r="R50">
        <f>IF(ISERROR(IF($Q50="","",ROUND(($Q50/$Q$10)*$R$10,2))),"",IF($Q50="","",ROUND(($Q50/$Q$10)*$R$10,2)))</f>
        <v>100</v>
      </c>
      <c r="S50">
        <f>IF($R50="","",ROUND($R50*$S$10,2))</f>
        <v>50</v>
      </c>
      <c r="T50">
        <v>36</v>
      </c>
      <c r="U50">
        <v>39</v>
      </c>
      <c r="V50">
        <v>39</v>
      </c>
      <c r="W50">
        <f>IF(COUNT($T50:$V50)=0,"",SUM($T50:$V50))</f>
        <v>114</v>
      </c>
      <c r="X50">
        <f>IF(ISERROR(IF($W50="","",ROUND(($W50/$W$10)*$X$10,2))),"",IF($W50="","",ROUND(($W50/$W$10)*$X$10,2)))</f>
        <v>95</v>
      </c>
      <c r="Y50">
        <f>IF($X50="","",ROUND($X50*$Y$10,2))</f>
        <v>28.5</v>
      </c>
      <c r="Z50">
        <f>IF(ISERROR(IF($V50="","",ROUND(SUM($M50,$S50,$Y50),2))),"",IF($V50="","",ROUND(SUM($M50,$S50,$Y50),2)))</f>
        <v>98.5</v>
      </c>
      <c r="AA50">
        <f>IF(ISERROR(IF($V50="","",VLOOKUP(Z50,NewTransmu,4,TRUE))),"",IF($V50="","",VLOOKUP(Z50,NewTransmu,4,TRUE)))</f>
        <v>99</v>
      </c>
      <c r="AB50" t="str">
        <f>IF(ISERROR(IF(AA50="","",VLOOKUP(AA50,DESCRIPTORS,4,TRUE))),"",IF(AA50="","",VLOOKUP(AA50,DESCRIPTORS,4,TRUE)))</f>
        <v>Advancing</v>
      </c>
      <c r="AV50">
        <f>(T50/$T$10)*100</f>
        <v>90</v>
      </c>
      <c r="AW50">
        <f>(U50/$U$10)*100</f>
        <v>97.5</v>
      </c>
      <c r="AX50">
        <f>(V50/$V$10)*100</f>
        <v>97.5</v>
      </c>
    </row>
    <row r="51">
      <c r="A51">
        <v>40</v>
      </c>
      <c r="B51" t="str">
        <f>INPUT!B51</f>
        <v>Zuniga, Vincent</v>
      </c>
      <c r="F51">
        <v>20</v>
      </c>
      <c r="G51">
        <v>20</v>
      </c>
      <c r="H51">
        <v>20</v>
      </c>
      <c r="I51">
        <v>20</v>
      </c>
      <c r="J51">
        <v>20</v>
      </c>
      <c r="K51">
        <f>IF(COUNT($F51:$J51)=0,"",SUM($F51:$J51))</f>
        <v>100</v>
      </c>
      <c r="L51">
        <f>IF(ISERROR(IF($K51="","",ROUND(($K51/$K$10)*$L$10,2))),"",IF($K51="","",ROUND(($K51/$K$10)*$L$10,2)))</f>
        <v>100</v>
      </c>
      <c r="M51">
        <f>IF($L51="","",ROUND($L51*$M$10,2))</f>
        <v>20</v>
      </c>
      <c r="N51">
        <v>50</v>
      </c>
      <c r="O51">
        <v>50</v>
      </c>
      <c r="P51">
        <v>50</v>
      </c>
      <c r="Q51">
        <f>IF(COUNT($N51:$P51)=0,"",SUM($N51:$P51))</f>
        <v>150</v>
      </c>
      <c r="R51">
        <f>IF(ISERROR(IF($Q51="","",ROUND(($Q51/$Q$10)*$R$10,2))),"",IF($Q51="","",ROUND(($Q51/$Q$10)*$R$10,2)))</f>
        <v>100</v>
      </c>
      <c r="S51">
        <f>IF($R51="","",ROUND($R51*$S$10,2))</f>
        <v>50</v>
      </c>
      <c r="T51">
        <v>37</v>
      </c>
      <c r="U51">
        <v>27</v>
      </c>
      <c r="V51">
        <v>32</v>
      </c>
      <c r="W51">
        <f>IF(COUNT($T51:$V51)=0,"",SUM($T51:$V51))</f>
        <v>96</v>
      </c>
      <c r="X51">
        <f>IF(ISERROR(IF($W51="","",ROUND(($W51/$W$10)*$X$10,2))),"",IF($W51="","",ROUND(($W51/$W$10)*$X$10,2)))</f>
        <v>80</v>
      </c>
      <c r="Y51">
        <f>IF($X51="","",ROUND($X51*$Y$10,2))</f>
        <v>24</v>
      </c>
      <c r="Z51">
        <f>IF(ISERROR(IF($V51="","",ROUND(SUM($M51,$S51,$Y51),2))),"",IF($V51="","",ROUND(SUM($M51,$S51,$Y51),2)))</f>
        <v>94</v>
      </c>
      <c r="AA51">
        <f>IF(ISERROR(IF($V51="","",VLOOKUP(Z51,NewTransmu,4,TRUE))),"",IF($V51="","",VLOOKUP(Z51,NewTransmu,4,TRUE)))</f>
        <v>96</v>
      </c>
      <c r="AB51" t="str">
        <f>IF(ISERROR(IF(AA51="","",VLOOKUP(AA51,DESCRIPTORS,4,TRUE))),"",IF(AA51="","",VLOOKUP(AA51,DESCRIPTORS,4,TRUE)))</f>
        <v>Advancing</v>
      </c>
      <c r="AV51">
        <f>(T51/$T$10)*100</f>
        <v>92.5</v>
      </c>
      <c r="AW51">
        <f>(U51/$U$10)*100</f>
        <v>67.5</v>
      </c>
      <c r="AX51">
        <f>(V51/$V$10)*100</f>
        <v>80</v>
      </c>
    </row>
    <row r="52">
      <c r="A52">
        <v>41</v>
      </c>
      <c r="B52" t="str">
        <f>INPUT!B52</f>
        <v>Abad, Xavier</v>
      </c>
      <c r="F52">
        <v>20</v>
      </c>
      <c r="G52">
        <v>20</v>
      </c>
      <c r="H52">
        <v>20</v>
      </c>
      <c r="I52">
        <v>20</v>
      </c>
      <c r="J52">
        <v>20</v>
      </c>
      <c r="K52">
        <f>IF(COUNT($F52:$J52)=0,"",SUM($F52:$J52))</f>
        <v>100</v>
      </c>
      <c r="L52">
        <f>IF(ISERROR(IF($K52="","",ROUND(($K52/$K$10)*$L$10,2))),"",IF($K52="","",ROUND(($K52/$K$10)*$L$10,2)))</f>
        <v>100</v>
      </c>
      <c r="M52">
        <f>IF($L52="","",ROUND($L52*$M$10,2))</f>
        <v>20</v>
      </c>
      <c r="N52">
        <v>50</v>
      </c>
      <c r="O52">
        <v>50</v>
      </c>
      <c r="P52">
        <v>50</v>
      </c>
      <c r="Q52">
        <f>IF(COUNT($N52:$P52)=0,"",SUM($N52:$P52))</f>
        <v>150</v>
      </c>
      <c r="R52">
        <f>IF(ISERROR(IF($Q52="","",ROUND(($Q52/$Q$10)*$R$10,2))),"",IF($Q52="","",ROUND(($Q52/$Q$10)*$R$10,2)))</f>
        <v>100</v>
      </c>
      <c r="S52">
        <f>IF($R52="","",ROUND($R52*$S$10,2))</f>
        <v>50</v>
      </c>
      <c r="T52">
        <v>30</v>
      </c>
      <c r="U52">
        <v>32</v>
      </c>
      <c r="V52">
        <v>32</v>
      </c>
      <c r="W52">
        <f>IF(COUNT($T52:$V52)=0,"",SUM($T52:$V52))</f>
        <v>94</v>
      </c>
      <c r="X52">
        <f>IF(ISERROR(IF($W52="","",ROUND(($W52/$W$10)*$X$10,2))),"",IF($W52="","",ROUND(($W52/$W$10)*$X$10,2)))</f>
        <v>78.33</v>
      </c>
      <c r="Y52">
        <f>IF($X52="","",ROUND($X52*$Y$10,2))</f>
        <v>23.5</v>
      </c>
      <c r="Z52">
        <f>IF(ISERROR(IF($V52="","",ROUND(SUM($M52,$S52,$Y52),2))),"",IF($V52="","",ROUND(SUM($M52,$S52,$Y52),2)))</f>
        <v>93.5</v>
      </c>
      <c r="AA52">
        <f>IF(ISERROR(IF($V52="","",VLOOKUP(Z52,NewTransmu,4,TRUE))),"",IF($V52="","",VLOOKUP(Z52,NewTransmu,4,TRUE)))</f>
        <v>95</v>
      </c>
      <c r="AB52" t="str">
        <f>IF(ISERROR(IF(AA52="","",VLOOKUP(AA52,DESCRIPTORS,4,TRUE))),"",IF(AA52="","",VLOOKUP(AA52,DESCRIPTORS,4,TRUE)))</f>
        <v>Advancing</v>
      </c>
      <c r="AV52">
        <f>(T52/$T$10)*100</f>
        <v>75</v>
      </c>
      <c r="AW52">
        <f>(U52/$U$10)*100</f>
        <v>80</v>
      </c>
      <c r="AX52">
        <f>(V52/$V$10)*100</f>
        <v>80</v>
      </c>
    </row>
    <row r="53">
      <c r="A53">
        <v>42</v>
      </c>
      <c r="B53" t="str">
        <f>INPUT!B53</f>
        <v>Agustin, Zachary</v>
      </c>
      <c r="F53">
        <v>20</v>
      </c>
      <c r="G53">
        <v>20</v>
      </c>
      <c r="H53">
        <v>20</v>
      </c>
      <c r="I53">
        <v>20</v>
      </c>
      <c r="J53">
        <v>20</v>
      </c>
      <c r="K53">
        <f>IF(COUNT($F53:$J53)=0,"",SUM($F53:$J53))</f>
        <v>100</v>
      </c>
      <c r="L53">
        <f>IF(ISERROR(IF($K53="","",ROUND(($K53/$K$10)*$L$10,2))),"",IF($K53="","",ROUND(($K53/$K$10)*$L$10,2)))</f>
        <v>100</v>
      </c>
      <c r="M53">
        <f>IF($L53="","",ROUND($L53*$M$10,2))</f>
        <v>20</v>
      </c>
      <c r="N53">
        <v>50</v>
      </c>
      <c r="O53">
        <v>50</v>
      </c>
      <c r="P53">
        <v>50</v>
      </c>
      <c r="Q53">
        <f>IF(COUNT($N53:$P53)=0,"",SUM($N53:$P53))</f>
        <v>150</v>
      </c>
      <c r="R53">
        <f>IF(ISERROR(IF($Q53="","",ROUND(($Q53/$Q$10)*$R$10,2))),"",IF($Q53="","",ROUND(($Q53/$Q$10)*$R$10,2)))</f>
        <v>100</v>
      </c>
      <c r="S53">
        <f>IF($R53="","",ROUND($R53*$S$10,2))</f>
        <v>50</v>
      </c>
      <c r="T53">
        <v>33</v>
      </c>
      <c r="U53">
        <v>36</v>
      </c>
      <c r="V53">
        <v>34</v>
      </c>
      <c r="W53">
        <f>IF(COUNT($T53:$V53)=0,"",SUM($T53:$V53))</f>
        <v>103</v>
      </c>
      <c r="X53">
        <f>IF(ISERROR(IF($W53="","",ROUND(($W53/$W$10)*$X$10,2))),"",IF($W53="","",ROUND(($W53/$W$10)*$X$10,2)))</f>
        <v>85.83</v>
      </c>
      <c r="Y53">
        <f>IF($X53="","",ROUND($X53*$Y$10,2))</f>
        <v>25.75</v>
      </c>
      <c r="Z53">
        <f>IF(ISERROR(IF($V53="","",ROUND(SUM($M53,$S53,$Y53),2))),"",IF($V53="","",ROUND(SUM($M53,$S53,$Y53),2)))</f>
        <v>95.75</v>
      </c>
      <c r="AA53">
        <f>IF(ISERROR(IF($V53="","",VLOOKUP(Z53,NewTransmu,4,TRUE))),"",IF($V53="","",VLOOKUP(Z53,NewTransmu,4,TRUE)))</f>
        <v>97</v>
      </c>
      <c r="AB53" t="str">
        <f>IF(ISERROR(IF(AA53="","",VLOOKUP(AA53,DESCRIPTORS,4,TRUE))),"",IF(AA53="","",VLOOKUP(AA53,DESCRIPTORS,4,TRUE)))</f>
        <v>Advancing</v>
      </c>
      <c r="AV53">
        <f>(T53/$T$10)*100</f>
        <v>82.5</v>
      </c>
      <c r="AW53">
        <f>(U53/$U$10)*100</f>
        <v>90</v>
      </c>
      <c r="AX53">
        <f>(V53/$V$10)*100</f>
        <v>85</v>
      </c>
    </row>
    <row r="54">
      <c r="A54">
        <v>43</v>
      </c>
      <c r="B54" t="str">
        <f>INPUT!B54</f>
        <v>Alvarez, Alvin</v>
      </c>
      <c r="F54">
        <v>20</v>
      </c>
      <c r="G54">
        <v>20</v>
      </c>
      <c r="H54">
        <v>20</v>
      </c>
      <c r="I54">
        <v>20</v>
      </c>
      <c r="J54">
        <v>20</v>
      </c>
      <c r="K54">
        <f>IF(COUNT($F54:$J54)=0,"",SUM($F54:$J54))</f>
        <v>100</v>
      </c>
      <c r="L54">
        <f>IF(ISERROR(IF($K54="","",ROUND(($K54/$K$10)*$L$10,2))),"",IF($K54="","",ROUND(($K54/$K$10)*$L$10,2)))</f>
        <v>100</v>
      </c>
      <c r="M54">
        <f>IF($L54="","",ROUND($L54*$M$10,2))</f>
        <v>20</v>
      </c>
      <c r="N54">
        <v>50</v>
      </c>
      <c r="O54">
        <v>50</v>
      </c>
      <c r="P54">
        <v>50</v>
      </c>
      <c r="Q54">
        <f>IF(COUNT($N54:$P54)=0,"",SUM($N54:$P54))</f>
        <v>150</v>
      </c>
      <c r="R54">
        <f>IF(ISERROR(IF($Q54="","",ROUND(($Q54/$Q$10)*$R$10,2))),"",IF($Q54="","",ROUND(($Q54/$Q$10)*$R$10,2)))</f>
        <v>100</v>
      </c>
      <c r="S54">
        <f>IF($R54="","",ROUND($R54*$S$10,2))</f>
        <v>50</v>
      </c>
      <c r="T54">
        <v>32</v>
      </c>
      <c r="U54">
        <v>32</v>
      </c>
      <c r="V54">
        <v>31</v>
      </c>
      <c r="W54">
        <f>IF(COUNT($T54:$V54)=0,"",SUM($T54:$V54))</f>
        <v>95</v>
      </c>
      <c r="X54">
        <f>IF(ISERROR(IF($W54="","",ROUND(($W54/$W$10)*$X$10,2))),"",IF($W54="","",ROUND(($W54/$W$10)*$X$10,2)))</f>
        <v>79.17</v>
      </c>
      <c r="Y54">
        <f>IF($X54="","",ROUND($X54*$Y$10,2))</f>
        <v>23.75</v>
      </c>
      <c r="Z54">
        <f>IF(ISERROR(IF($V54="","",ROUND(SUM($M54,$S54,$Y54),2))),"",IF($V54="","",ROUND(SUM($M54,$S54,$Y54),2)))</f>
        <v>93.75</v>
      </c>
      <c r="AA54">
        <f>IF(ISERROR(IF($V54="","",VLOOKUP(Z54,NewTransmu,4,TRUE))),"",IF($V54="","",VLOOKUP(Z54,NewTransmu,4,TRUE)))</f>
        <v>95</v>
      </c>
      <c r="AB54" t="str">
        <f>IF(ISERROR(IF(AA54="","",VLOOKUP(AA54,DESCRIPTORS,4,TRUE))),"",IF(AA54="","",VLOOKUP(AA54,DESCRIPTORS,4,TRUE)))</f>
        <v>Advancing</v>
      </c>
      <c r="AV54">
        <f>(T54/$T$10)*100</f>
        <v>80</v>
      </c>
      <c r="AW54">
        <f>(U54/$U$10)*100</f>
        <v>80</v>
      </c>
      <c r="AX54">
        <f>(V54/$V$10)*100</f>
        <v>77.5</v>
      </c>
    </row>
    <row r="55">
      <c r="A55">
        <v>44</v>
      </c>
      <c r="B55" t="str">
        <f>INPUT!B55</f>
        <v>Aquino, Andre</v>
      </c>
      <c r="F55">
        <v>20</v>
      </c>
      <c r="G55">
        <v>20</v>
      </c>
      <c r="H55">
        <v>20</v>
      </c>
      <c r="I55">
        <v>20</v>
      </c>
      <c r="J55">
        <v>20</v>
      </c>
      <c r="K55">
        <f>IF(COUNT($F55:$J55)=0,"",SUM($F55:$J55))</f>
        <v>100</v>
      </c>
      <c r="L55">
        <f>IF(ISERROR(IF($K55="","",ROUND(($K55/$K$10)*$L$10,2))),"",IF($K55="","",ROUND(($K55/$K$10)*$L$10,2)))</f>
        <v>100</v>
      </c>
      <c r="M55">
        <f>IF($L55="","",ROUND($L55*$M$10,2))</f>
        <v>20</v>
      </c>
      <c r="N55">
        <v>50</v>
      </c>
      <c r="O55">
        <v>50</v>
      </c>
      <c r="P55">
        <v>50</v>
      </c>
      <c r="Q55">
        <f>IF(COUNT($N55:$P55)=0,"",SUM($N55:$P55))</f>
        <v>150</v>
      </c>
      <c r="R55">
        <f>IF(ISERROR(IF($Q55="","",ROUND(($Q55/$Q$10)*$R$10,2))),"",IF($Q55="","",ROUND(($Q55/$Q$10)*$R$10,2)))</f>
        <v>100</v>
      </c>
      <c r="S55">
        <f>IF($R55="","",ROUND($R55*$S$10,2))</f>
        <v>50</v>
      </c>
      <c r="T55">
        <v>39</v>
      </c>
      <c r="U55">
        <v>40</v>
      </c>
      <c r="V55">
        <v>40</v>
      </c>
      <c r="W55">
        <f>IF(COUNT($T55:$V55)=0,"",SUM($T55:$V55))</f>
        <v>119</v>
      </c>
      <c r="X55">
        <f>IF(ISERROR(IF($W55="","",ROUND(($W55/$W$10)*$X$10,2))),"",IF($W55="","",ROUND(($W55/$W$10)*$X$10,2)))</f>
        <v>99.17</v>
      </c>
      <c r="Y55">
        <f>IF($X55="","",ROUND($X55*$Y$10,2))</f>
        <v>29.75</v>
      </c>
      <c r="Z55">
        <f>IF(ISERROR(IF($V55="","",ROUND(SUM($M55,$S55,$Y55),2))),"",IF($V55="","",ROUND(SUM($M55,$S55,$Y55),2)))</f>
        <v>99.75</v>
      </c>
      <c r="AA55">
        <f>IF(ISERROR(IF($V55="","",VLOOKUP(Z55,NewTransmu,4,TRUE))),"",IF($V55="","",VLOOKUP(Z55,NewTransmu,4,TRUE)))</f>
        <v>100</v>
      </c>
      <c r="AB55" t="str">
        <f>IF(ISERROR(IF(AA55="","",VLOOKUP(AA55,DESCRIPTORS,4,TRUE))),"",IF(AA55="","",VLOOKUP(AA55,DESCRIPTORS,4,TRUE)))</f>
        <v>Advancing</v>
      </c>
      <c r="AV55">
        <f>(T55/$T$10)*100</f>
        <v>97.5</v>
      </c>
      <c r="AW55">
        <f>(U55/$U$10)*100</f>
        <v>100</v>
      </c>
      <c r="AX55">
        <f>(V55/$V$10)*100</f>
        <v>100</v>
      </c>
    </row>
    <row r="56">
      <c r="A56">
        <v>45</v>
      </c>
      <c r="B56" t="str">
        <f>INPUT!B56</f>
        <v>Arceo, Benedict</v>
      </c>
      <c r="F56">
        <v>20</v>
      </c>
      <c r="G56">
        <v>20</v>
      </c>
      <c r="H56">
        <v>20</v>
      </c>
      <c r="I56">
        <v>20</v>
      </c>
      <c r="J56">
        <v>20</v>
      </c>
      <c r="K56">
        <f>IF(COUNT($F56:$J56)=0,"",SUM($F56:$J56))</f>
        <v>100</v>
      </c>
      <c r="L56">
        <f>IF(ISERROR(IF($K56="","",ROUND(($K56/$K$10)*$L$10,2))),"",IF($K56="","",ROUND(($K56/$K$10)*$L$10,2)))</f>
        <v>100</v>
      </c>
      <c r="M56">
        <f>IF($L56="","",ROUND($L56*$M$10,2))</f>
        <v>20</v>
      </c>
      <c r="N56">
        <v>50</v>
      </c>
      <c r="O56">
        <v>50</v>
      </c>
      <c r="P56">
        <v>50</v>
      </c>
      <c r="Q56">
        <f>IF(COUNT($N56:$P56)=0,"",SUM($N56:$P56))</f>
        <v>150</v>
      </c>
      <c r="R56">
        <f>IF(ISERROR(IF($Q56="","",ROUND(($Q56/$Q$10)*$R$10,2))),"",IF($Q56="","",ROUND(($Q56/$Q$10)*$R$10,2)))</f>
        <v>100</v>
      </c>
      <c r="S56">
        <f>IF($R56="","",ROUND($R56*$S$10,2))</f>
        <v>50</v>
      </c>
      <c r="T56">
        <v>24</v>
      </c>
      <c r="U56">
        <v>24</v>
      </c>
      <c r="V56">
        <v>28</v>
      </c>
      <c r="W56">
        <f>IF(COUNT($T56:$V56)=0,"",SUM($T56:$V56))</f>
        <v>76</v>
      </c>
      <c r="X56">
        <f>IF(ISERROR(IF($W56="","",ROUND(($W56/$W$10)*$X$10,2))),"",IF($W56="","",ROUND(($W56/$W$10)*$X$10,2)))</f>
        <v>63.33</v>
      </c>
      <c r="Y56">
        <f>IF($X56="","",ROUND($X56*$Y$10,2))</f>
        <v>19</v>
      </c>
      <c r="Z56">
        <f>IF(ISERROR(IF($V56="","",ROUND(SUM($M56,$S56,$Y56),2))),"",IF($V56="","",ROUND(SUM($M56,$S56,$Y56),2)))</f>
        <v>89</v>
      </c>
      <c r="AA56">
        <f>IF(ISERROR(IF($V56="","",VLOOKUP(Z56,NewTransmu,4,TRUE))),"",IF($V56="","",VLOOKUP(Z56,NewTransmu,4,TRUE)))</f>
        <v>91</v>
      </c>
      <c r="AB56" t="str">
        <f>IF(ISERROR(IF(AA56="","",VLOOKUP(AA56,DESCRIPTORS,4,TRUE))),"",IF(AA56="","",VLOOKUP(AA56,DESCRIPTORS,4,TRUE)))</f>
        <v>Advancing</v>
      </c>
      <c r="AV56">
        <f>(T56/$T$10)*100</f>
        <v>60</v>
      </c>
      <c r="AW56">
        <f>(U56/$U$10)*100</f>
        <v>60</v>
      </c>
      <c r="AX56">
        <f>(V56/$V$10)*100</f>
        <v>70</v>
      </c>
    </row>
    <row r="57">
      <c r="A57">
        <v>46</v>
      </c>
      <c r="B57" t="str">
        <f>INPUT!B57</f>
        <v>Arellano, Cyrus</v>
      </c>
      <c r="F57">
        <v>20</v>
      </c>
      <c r="G57">
        <v>20</v>
      </c>
      <c r="H57">
        <v>20</v>
      </c>
      <c r="I57">
        <v>20</v>
      </c>
      <c r="J57">
        <v>20</v>
      </c>
      <c r="K57">
        <f>IF(COUNT($F57:$J57)=0,"",SUM($F57:$J57))</f>
        <v>100</v>
      </c>
      <c r="L57">
        <f>IF(ISERROR(IF($K57="","",ROUND(($K57/$K$10)*$L$10,2))),"",IF($K57="","",ROUND(($K57/$K$10)*$L$10,2)))</f>
        <v>100</v>
      </c>
      <c r="M57">
        <f>IF($L57="","",ROUND($L57*$M$10,2))</f>
        <v>20</v>
      </c>
      <c r="N57">
        <v>50</v>
      </c>
      <c r="O57">
        <v>50</v>
      </c>
      <c r="P57">
        <v>50</v>
      </c>
      <c r="Q57">
        <f>IF(COUNT($N57:$P57)=0,"",SUM($N57:$P57))</f>
        <v>150</v>
      </c>
      <c r="R57">
        <f>IF(ISERROR(IF($Q57="","",ROUND(($Q57/$Q$10)*$R$10,2))),"",IF($Q57="","",ROUND(($Q57/$Q$10)*$R$10,2)))</f>
        <v>100</v>
      </c>
      <c r="S57">
        <f>IF($R57="","",ROUND($R57*$S$10,2))</f>
        <v>50</v>
      </c>
      <c r="T57">
        <v>37</v>
      </c>
      <c r="U57">
        <v>33</v>
      </c>
      <c r="V57">
        <v>34</v>
      </c>
      <c r="W57">
        <f>IF(COUNT($T57:$V57)=0,"",SUM($T57:$V57))</f>
        <v>104</v>
      </c>
      <c r="X57">
        <f>IF(ISERROR(IF($W57="","",ROUND(($W57/$W$10)*$X$10,2))),"",IF($W57="","",ROUND(($W57/$W$10)*$X$10,2)))</f>
        <v>86.67</v>
      </c>
      <c r="Y57">
        <f>IF($X57="","",ROUND($X57*$Y$10,2))</f>
        <v>26</v>
      </c>
      <c r="Z57">
        <f>IF(ISERROR(IF($V57="","",ROUND(SUM($M57,$S57,$Y57),2))),"",IF($V57="","",ROUND(SUM($M57,$S57,$Y57),2)))</f>
        <v>96</v>
      </c>
      <c r="AA57">
        <f>IF(ISERROR(IF($V57="","",VLOOKUP(Z57,NewTransmu,4,TRUE))),"",IF($V57="","",VLOOKUP(Z57,NewTransmu,4,TRUE)))</f>
        <v>98</v>
      </c>
      <c r="AB57" t="str">
        <f>IF(ISERROR(IF(AA57="","",VLOOKUP(AA57,DESCRIPTORS,4,TRUE))),"",IF(AA57="","",VLOOKUP(AA57,DESCRIPTORS,4,TRUE)))</f>
        <v>Advancing</v>
      </c>
      <c r="AV57">
        <f>(T57/$T$10)*100</f>
        <v>92.5</v>
      </c>
      <c r="AW57">
        <f>(U57/$U$10)*100</f>
        <v>82.5</v>
      </c>
      <c r="AX57">
        <f>(V57/$V$10)*100</f>
        <v>85</v>
      </c>
    </row>
    <row r="58">
      <c r="A58">
        <v>47</v>
      </c>
      <c r="B58" t="str">
        <f>INPUT!B58</f>
        <v>Barrera, Dominic</v>
      </c>
      <c r="F58">
        <v>20</v>
      </c>
      <c r="G58">
        <v>20</v>
      </c>
      <c r="H58">
        <v>20</v>
      </c>
      <c r="I58">
        <v>20</v>
      </c>
      <c r="J58">
        <v>20</v>
      </c>
      <c r="K58">
        <f>IF(COUNT($F58:$J58)=0,"",SUM($F58:$J58))</f>
        <v>100</v>
      </c>
      <c r="L58">
        <f>IF(ISERROR(IF($K58="","",ROUND(($K58/$K$10)*$L$10,2))),"",IF($K58="","",ROUND(($K58/$K$10)*$L$10,2)))</f>
        <v>100</v>
      </c>
      <c r="M58">
        <f>IF($L58="","",ROUND($L58*$M$10,2))</f>
        <v>20</v>
      </c>
      <c r="N58">
        <v>50</v>
      </c>
      <c r="O58">
        <v>50</v>
      </c>
      <c r="P58">
        <v>50</v>
      </c>
      <c r="Q58">
        <f>IF(COUNT($N58:$P58)=0,"",SUM($N58:$P58))</f>
        <v>150</v>
      </c>
      <c r="R58">
        <f>IF(ISERROR(IF($Q58="","",ROUND(($Q58/$Q$10)*$R$10,2))),"",IF($Q58="","",ROUND(($Q58/$Q$10)*$R$10,2)))</f>
        <v>100</v>
      </c>
      <c r="S58">
        <f>IF($R58="","",ROUND($R58*$S$10,2))</f>
        <v>50</v>
      </c>
      <c r="T58">
        <v>34</v>
      </c>
      <c r="U58">
        <v>32</v>
      </c>
      <c r="V58">
        <v>33</v>
      </c>
      <c r="W58">
        <f>IF(COUNT($T58:$V58)=0,"",SUM($T58:$V58))</f>
        <v>99</v>
      </c>
      <c r="X58">
        <f>IF(ISERROR(IF($W58="","",ROUND(($W58/$W$10)*$X$10,2))),"",IF($W58="","",ROUND(($W58/$W$10)*$X$10,2)))</f>
        <v>82.5</v>
      </c>
      <c r="Y58">
        <f>IF($X58="","",ROUND($X58*$Y$10,2))</f>
        <v>24.75</v>
      </c>
      <c r="Z58">
        <f>IF(ISERROR(IF($V58="","",ROUND(SUM($M58,$S58,$Y58),2))),"",IF($V58="","",ROUND(SUM($M58,$S58,$Y58),2)))</f>
        <v>94.75</v>
      </c>
      <c r="AA58">
        <f>IF(ISERROR(IF($V58="","",VLOOKUP(Z58,NewTransmu,4,TRUE))),"",IF($V58="","",VLOOKUP(Z58,NewTransmu,4,TRUE)))</f>
        <v>96</v>
      </c>
      <c r="AB58" t="str">
        <f>IF(ISERROR(IF(AA58="","",VLOOKUP(AA58,DESCRIPTORS,4,TRUE))),"",IF(AA58="","",VLOOKUP(AA58,DESCRIPTORS,4,TRUE)))</f>
        <v>Advancing</v>
      </c>
      <c r="AV58">
        <f>(T58/$T$10)*100</f>
        <v>85</v>
      </c>
      <c r="AW58">
        <f>(U58/$U$10)*100</f>
        <v>80</v>
      </c>
      <c r="AX58">
        <f>(V58/$V$10)*100</f>
        <v>82.5</v>
      </c>
    </row>
    <row r="59">
      <c r="A59">
        <v>48</v>
      </c>
      <c r="B59" t="str">
        <f>INPUT!B59</f>
        <v>Cabral, Emmanuel</v>
      </c>
      <c r="F59">
        <v>20</v>
      </c>
      <c r="G59">
        <v>20</v>
      </c>
      <c r="H59">
        <v>20</v>
      </c>
      <c r="I59">
        <v>20</v>
      </c>
      <c r="J59">
        <v>20</v>
      </c>
      <c r="K59">
        <f>IF(COUNT($F59:$J59)=0,"",SUM($F59:$J59))</f>
        <v>100</v>
      </c>
      <c r="L59">
        <f>IF(ISERROR(IF($K59="","",ROUND(($K59/$K$10)*$L$10,2))),"",IF($K59="","",ROUND(($K59/$K$10)*$L$10,2)))</f>
        <v>100</v>
      </c>
      <c r="M59">
        <f>IF($L59="","",ROUND($L59*$M$10,2))</f>
        <v>20</v>
      </c>
      <c r="N59">
        <v>50</v>
      </c>
      <c r="O59">
        <v>50</v>
      </c>
      <c r="P59">
        <v>50</v>
      </c>
      <c r="Q59">
        <f>IF(COUNT($N59:$P59)=0,"",SUM($N59:$P59))</f>
        <v>150</v>
      </c>
      <c r="R59">
        <f>IF(ISERROR(IF($Q59="","",ROUND(($Q59/$Q$10)*$R$10,2))),"",IF($Q59="","",ROUND(($Q59/$Q$10)*$R$10,2)))</f>
        <v>100</v>
      </c>
      <c r="S59">
        <f>IF($R59="","",ROUND($R59*$S$10,2))</f>
        <v>50</v>
      </c>
      <c r="T59">
        <v>39</v>
      </c>
      <c r="U59">
        <v>37</v>
      </c>
      <c r="V59">
        <v>40</v>
      </c>
      <c r="W59">
        <f>IF(COUNT($T59:$V59)=0,"",SUM($T59:$V59))</f>
        <v>116</v>
      </c>
      <c r="X59">
        <f>IF(ISERROR(IF($W59="","",ROUND(($W59/$W$10)*$X$10,2))),"",IF($W59="","",ROUND(($W59/$W$10)*$X$10,2)))</f>
        <v>96.67</v>
      </c>
      <c r="Y59">
        <f>IF($X59="","",ROUND($X59*$Y$10,2))</f>
        <v>29</v>
      </c>
      <c r="Z59">
        <f>IF(ISERROR(IF($V59="","",ROUND(SUM($M59,$S59,$Y59),2))),"",IF($V59="","",ROUND(SUM($M59,$S59,$Y59),2)))</f>
        <v>99</v>
      </c>
      <c r="AA59">
        <f>IF(ISERROR(IF($V59="","",VLOOKUP(Z59,NewTransmu,4,TRUE))),"",IF($V59="","",VLOOKUP(Z59,NewTransmu,4,TRUE)))</f>
        <v>99</v>
      </c>
      <c r="AB59" t="str">
        <f>IF(ISERROR(IF(AA59="","",VLOOKUP(AA59,DESCRIPTORS,4,TRUE))),"",IF(AA59="","",VLOOKUP(AA59,DESCRIPTORS,4,TRUE)))</f>
        <v>Advancing</v>
      </c>
      <c r="AV59">
        <f>(T59/$T$10)*100</f>
        <v>97.5</v>
      </c>
      <c r="AW59">
        <f>(U59/$U$10)*100</f>
        <v>92.5</v>
      </c>
      <c r="AX59">
        <f>(V59/$V$10)*100</f>
        <v>100</v>
      </c>
    </row>
    <row r="60">
      <c r="A60">
        <v>49</v>
      </c>
      <c r="B60" t="str">
        <f>INPUT!B60</f>
        <v>David, Francis</v>
      </c>
      <c r="F60">
        <v>20</v>
      </c>
      <c r="G60">
        <v>20</v>
      </c>
      <c r="H60">
        <v>20</v>
      </c>
      <c r="I60">
        <v>20</v>
      </c>
      <c r="J60">
        <v>20</v>
      </c>
      <c r="K60">
        <f>IF(COUNT($F60:$J60)=0,"",SUM($F60:$J60))</f>
        <v>100</v>
      </c>
      <c r="L60">
        <f>IF(ISERROR(IF($K60="","",ROUND(($K60/$K$10)*$L$10,2))),"",IF($K60="","",ROUND(($K60/$K$10)*$L$10,2)))</f>
        <v>100</v>
      </c>
      <c r="M60">
        <f>IF($L60="","",ROUND($L60*$M$10,2))</f>
        <v>20</v>
      </c>
      <c r="N60">
        <v>50</v>
      </c>
      <c r="O60">
        <v>50</v>
      </c>
      <c r="P60">
        <v>50</v>
      </c>
      <c r="Q60">
        <f>IF(COUNT($N60:$P60)=0,"",SUM($N60:$P60))</f>
        <v>150</v>
      </c>
      <c r="R60">
        <f>IF(ISERROR(IF($Q60="","",ROUND(($Q60/$Q$10)*$R$10,2))),"",IF($Q60="","",ROUND(($Q60/$Q$10)*$R$10,2)))</f>
        <v>100</v>
      </c>
      <c r="S60">
        <f>IF($R60="","",ROUND($R60*$S$10,2))</f>
        <v>50</v>
      </c>
      <c r="T60">
        <v>31</v>
      </c>
      <c r="U60">
        <v>33</v>
      </c>
      <c r="V60">
        <v>32</v>
      </c>
      <c r="W60">
        <f>IF(COUNT($T60:$V60)=0,"",SUM($T60:$V60))</f>
        <v>96</v>
      </c>
      <c r="X60">
        <f>IF(ISERROR(IF($W60="","",ROUND(($W60/$W$10)*$X$10,2))),"",IF($W60="","",ROUND(($W60/$W$10)*$X$10,2)))</f>
        <v>80</v>
      </c>
      <c r="Y60">
        <f>IF($X60="","",ROUND($X60*$Y$10,2))</f>
        <v>24</v>
      </c>
      <c r="Z60">
        <f>IF(ISERROR(IF($V60="","",ROUND(SUM($M60,$S60,$Y60),2))),"",IF($V60="","",ROUND(SUM($M60,$S60,$Y60),2)))</f>
        <v>94</v>
      </c>
      <c r="AA60">
        <f>IF(ISERROR(IF($V60="","",VLOOKUP(Z60,NewTransmu,4,TRUE))),"",IF($V60="","",VLOOKUP(Z60,NewTransmu,4,TRUE)))</f>
        <v>96</v>
      </c>
      <c r="AB60" t="str">
        <f>IF(ISERROR(IF(AA60="","",VLOOKUP(AA60,DESCRIPTORS,4,TRUE))),"",IF(AA60="","",VLOOKUP(AA60,DESCRIPTORS,4,TRUE)))</f>
        <v>Advancing</v>
      </c>
      <c r="AV60">
        <f>(T60/$T$10)*100</f>
        <v>77.5</v>
      </c>
      <c r="AW60">
        <f>(U60/$U$10)*100</f>
        <v>82.5</v>
      </c>
      <c r="AX60">
        <f>(V60/$V$10)*100</f>
        <v>80</v>
      </c>
    </row>
    <row r="61">
      <c r="A61">
        <v>50</v>
      </c>
      <c r="B61" t="str">
        <f>INPUT!B61</f>
        <v>Escobar, Gian</v>
      </c>
      <c r="F61">
        <v>20</v>
      </c>
      <c r="G61">
        <v>20</v>
      </c>
      <c r="H61">
        <v>20</v>
      </c>
      <c r="I61">
        <v>20</v>
      </c>
      <c r="J61">
        <v>20</v>
      </c>
      <c r="K61">
        <f>IF(COUNT($F61:$J61)=0,"",SUM($F61:$J61))</f>
        <v>100</v>
      </c>
      <c r="L61">
        <f>IF(ISERROR(IF($K61="","",ROUND(($K61/$K$10)*$L$10,2))),"",IF($K61="","",ROUND(($K61/$K$10)*$L$10,2)))</f>
        <v>100</v>
      </c>
      <c r="M61">
        <f>IF($L61="","",ROUND($L61*$M$10,2))</f>
        <v>20</v>
      </c>
      <c r="N61">
        <v>50</v>
      </c>
      <c r="O61">
        <v>50</v>
      </c>
      <c r="P61">
        <v>50</v>
      </c>
      <c r="Q61">
        <f>IF(COUNT($N61:$P61)=0,"",SUM($N61:$P61))</f>
        <v>150</v>
      </c>
      <c r="R61">
        <f>IF(ISERROR(IF($Q61="","",ROUND(($Q61/$Q$10)*$R$10,2))),"",IF($Q61="","",ROUND(($Q61/$Q$10)*$R$10,2)))</f>
        <v>100</v>
      </c>
      <c r="S61">
        <f>IF($R61="","",ROUND($R61*$S$10,2))</f>
        <v>50</v>
      </c>
      <c r="T61">
        <v>35</v>
      </c>
      <c r="U61">
        <v>40</v>
      </c>
      <c r="V61">
        <v>35</v>
      </c>
      <c r="W61">
        <f>IF(COUNT($T61:$V61)=0,"",SUM($T61:$V61))</f>
        <v>110</v>
      </c>
      <c r="X61">
        <f>IF(ISERROR(IF($W61="","",ROUND(($W61/$W$10)*$X$10,2))),"",IF($W61="","",ROUND(($W61/$W$10)*$X$10,2)))</f>
        <v>91.67</v>
      </c>
      <c r="Y61">
        <f>IF($X61="","",ROUND($X61*$Y$10,2))</f>
        <v>27.5</v>
      </c>
      <c r="Z61">
        <f>IF(ISERROR(IF($V61="","",ROUND(SUM($M61,$S61,$Y61),2))),"",IF($V61="","",ROUND(SUM($M61,$S61,$Y61),2)))</f>
        <v>97.5</v>
      </c>
      <c r="AA61">
        <f>IF(ISERROR(IF($V61="","",VLOOKUP(Z61,NewTransmu,4,TRUE))),"",IF($V61="","",VLOOKUP(Z61,NewTransmu,4,TRUE)))</f>
        <v>99</v>
      </c>
      <c r="AB61" t="str">
        <f>IF(ISERROR(IF(AA61="","",VLOOKUP(AA61,DESCRIPTORS,4,TRUE))),"",IF(AA61="","",VLOOKUP(AA61,DESCRIPTORS,4,TRUE)))</f>
        <v>Advancing</v>
      </c>
      <c r="AV61">
        <f>(T61/$T$10)*100</f>
        <v>87.5</v>
      </c>
      <c r="AW61">
        <f>(U61/$U$10)*100</f>
        <v>100</v>
      </c>
      <c r="AX61">
        <f>(V61/$V$10)*100</f>
        <v>87.5</v>
      </c>
    </row>
    <row r="62">
      <c r="B62" t="str">
        <v xml:space="preserve">FEMALE </v>
      </c>
      <c r="AV62">
        <f>(T62/$T$10)*100</f>
        <v>0</v>
      </c>
      <c r="AW62">
        <f>(U62/$U$10)*100</f>
        <v>0</v>
      </c>
      <c r="AX62">
        <f>(V62/$V$10)*100</f>
        <v>0</v>
      </c>
    </row>
    <row r="63">
      <c r="A63">
        <v>1</v>
      </c>
      <c r="B63" t="str">
        <f>INPUT!B63</f>
        <v>Fernandez, Alyssa</v>
      </c>
      <c r="F63">
        <v>20</v>
      </c>
      <c r="G63">
        <v>20</v>
      </c>
      <c r="H63">
        <v>20</v>
      </c>
      <c r="I63">
        <v>20</v>
      </c>
      <c r="J63">
        <v>20</v>
      </c>
      <c r="K63">
        <f>IF(COUNT($F63:$J63)=0,"",SUM($F63:$J63))</f>
        <v>100</v>
      </c>
      <c r="L63">
        <f>IF(ISERROR(IF($K63="","",ROUND(($K63/$K$10)*$L$10,2))),"",IF($K63="","",ROUND(($K63/$K$10)*$L$10,2)))</f>
        <v>100</v>
      </c>
      <c r="M63">
        <f>IF($L63="","",ROUND($L63*$M$10,2))</f>
        <v>20</v>
      </c>
      <c r="N63">
        <v>50</v>
      </c>
      <c r="O63">
        <v>50</v>
      </c>
      <c r="P63">
        <v>50</v>
      </c>
      <c r="Q63">
        <f>IF(COUNT($N63:$P63)=0,"",SUM($N63:$P63))</f>
        <v>150</v>
      </c>
      <c r="R63">
        <f>IF(ISERROR(IF($Q63="","",ROUND(($Q63/$Q$10)*$R$10,2))),"",IF($Q63="","",ROUND(($Q63/$Q$10)*$R$10,2)))</f>
        <v>100</v>
      </c>
      <c r="S63">
        <f>IF($R63="","",ROUND($R63*$S$10,2))</f>
        <v>50</v>
      </c>
      <c r="T63">
        <v>40</v>
      </c>
      <c r="U63">
        <v>40</v>
      </c>
      <c r="V63">
        <v>36</v>
      </c>
      <c r="W63">
        <f>IF(COUNT($T63:$V63)=0,"",SUM($T63:$V63))</f>
        <v>116</v>
      </c>
      <c r="X63">
        <f>IF(ISERROR(IF($W63="","",ROUND(($W63/$W$10)*$X$10,2))),"",IF($W63="","",ROUND(($W63/$W$10)*$X$10,2)))</f>
        <v>96.67</v>
      </c>
      <c r="Y63">
        <f>IF($X63="","",ROUND($X63*$Y$10,2))</f>
        <v>29</v>
      </c>
      <c r="Z63">
        <f>IF(ISERROR(IF($V63="","",ROUND(SUM($M63,$S63,$Y63),2))),"",IF($V63="","",ROUND(SUM($M63,$S63,$Y63),2)))</f>
        <v>99</v>
      </c>
      <c r="AA63">
        <f>IF(ISERROR(IF($V63="","",VLOOKUP(Z63,NewTransmu,4,TRUE))),"",IF($V63="","",VLOOKUP(Z63,NewTransmu,4,TRUE)))</f>
        <v>99</v>
      </c>
      <c r="AB63" t="str">
        <f>IF(ISERROR(IF(AA63="","",VLOOKUP(AA63,DESCRIPTORS,4,TRUE))),"",IF(AA63="","",VLOOKUP(AA63,DESCRIPTORS,4,TRUE)))</f>
        <v>Advancing</v>
      </c>
      <c r="AV63">
        <f>(T63/$T$10)*100</f>
        <v>100</v>
      </c>
      <c r="AW63">
        <f>(U63/$U$10)*100</f>
        <v>100</v>
      </c>
      <c r="AX63">
        <f>(V63/$V$10)*100</f>
        <v>90</v>
      </c>
    </row>
    <row r="64">
      <c r="A64">
        <v>2</v>
      </c>
      <c r="B64" t="str">
        <f>INPUT!B64</f>
        <v>Garcia, Angela</v>
      </c>
      <c r="F64">
        <v>20</v>
      </c>
      <c r="G64">
        <v>20</v>
      </c>
      <c r="H64">
        <v>20</v>
      </c>
      <c r="I64">
        <v>20</v>
      </c>
      <c r="J64">
        <v>20</v>
      </c>
      <c r="K64">
        <f>IF(COUNT($F64:$J64)=0,"",SUM($F64:$J64))</f>
        <v>100</v>
      </c>
      <c r="L64">
        <f>IF(ISERROR(IF($K64="","",ROUND(($K64/$K$10)*$L$10,2))),"",IF($K64="","",ROUND(($K64/$K$10)*$L$10,2)))</f>
        <v>100</v>
      </c>
      <c r="M64">
        <f>IF($L64="","",ROUND($L64*$M$10,2))</f>
        <v>20</v>
      </c>
      <c r="N64">
        <v>50</v>
      </c>
      <c r="O64">
        <v>50</v>
      </c>
      <c r="P64">
        <v>50</v>
      </c>
      <c r="Q64">
        <f>IF(COUNT($N64:$P64)=0,"",SUM($N64:$P64))</f>
        <v>150</v>
      </c>
      <c r="R64">
        <f>IF(ISERROR(IF($Q64="","",ROUND(($Q64/$Q$10)*$R$10,2))),"",IF($Q64="","",ROUND(($Q64/$Q$10)*$R$10,2)))</f>
        <v>100</v>
      </c>
      <c r="S64">
        <f>IF($R64="","",ROUND($R64*$S$10,2))</f>
        <v>50</v>
      </c>
      <c r="T64">
        <v>29</v>
      </c>
      <c r="U64">
        <v>30</v>
      </c>
      <c r="V64">
        <v>33</v>
      </c>
      <c r="W64">
        <f>IF(COUNT($T64:$V64)=0,"",SUM($T64:$V64))</f>
        <v>92</v>
      </c>
      <c r="X64">
        <f>IF(ISERROR(IF($W64="","",ROUND(($W64/$W$10)*$X$10,2))),"",IF($W64="","",ROUND(($W64/$W$10)*$X$10,2)))</f>
        <v>76.67</v>
      </c>
      <c r="Y64">
        <f>IF($X64="","",ROUND($X64*$Y$10,2))</f>
        <v>23</v>
      </c>
      <c r="Z64">
        <f>IF(ISERROR(IF($V64="","",ROUND(SUM($M64,$S64,$Y64),2))),"",IF($V64="","",ROUND(SUM($M64,$S64,$Y64),2)))</f>
        <v>93</v>
      </c>
      <c r="AA64">
        <f>IF(ISERROR(IF($V64="","",VLOOKUP(Z64,NewTransmu,4,TRUE))),"",IF($V64="","",VLOOKUP(Z64,NewTransmu,4,TRUE)))</f>
        <v>95</v>
      </c>
      <c r="AB64" t="str">
        <f>IF(ISERROR(IF(AA64="","",VLOOKUP(AA64,DESCRIPTORS,4,TRUE))),"",IF(AA64="","",VLOOKUP(AA64,DESCRIPTORS,4,TRUE)))</f>
        <v>Advancing</v>
      </c>
      <c r="AV64">
        <f>(T64/$T$10)*100</f>
        <v>72.5</v>
      </c>
      <c r="AW64">
        <f>(U64/$U$10)*100</f>
        <v>75</v>
      </c>
      <c r="AX64">
        <f>(V64/$V$10)*100</f>
        <v>82.5</v>
      </c>
    </row>
    <row r="65">
      <c r="A65">
        <v>3</v>
      </c>
      <c r="B65" t="str">
        <f>INPUT!B65</f>
        <v>Gonzales, Bea</v>
      </c>
      <c r="F65">
        <v>20</v>
      </c>
      <c r="G65">
        <v>20</v>
      </c>
      <c r="H65">
        <v>20</v>
      </c>
      <c r="I65">
        <v>20</v>
      </c>
      <c r="J65">
        <v>20</v>
      </c>
      <c r="K65">
        <f>IF(COUNT($F65:$J65)=0,"",SUM($F65:$J65))</f>
        <v>100</v>
      </c>
      <c r="L65">
        <f>IF(ISERROR(IF($K65="","",ROUND(($K65/$K$10)*$L$10,2))),"",IF($K65="","",ROUND(($K65/$K$10)*$L$10,2)))</f>
        <v>100</v>
      </c>
      <c r="M65">
        <f>IF($L65="","",ROUND($L65*$M$10,2))</f>
        <v>20</v>
      </c>
      <c r="N65">
        <v>50</v>
      </c>
      <c r="O65">
        <v>50</v>
      </c>
      <c r="P65">
        <v>50</v>
      </c>
      <c r="Q65">
        <f>IF(COUNT($N65:$P65)=0,"",SUM($N65:$P65))</f>
        <v>150</v>
      </c>
      <c r="R65">
        <f>IF(ISERROR(IF($Q65="","",ROUND(($Q65/$Q$10)*$R$10,2))),"",IF($Q65="","",ROUND(($Q65/$Q$10)*$R$10,2)))</f>
        <v>100</v>
      </c>
      <c r="S65">
        <f>IF($R65="","",ROUND($R65*$S$10,2))</f>
        <v>50</v>
      </c>
      <c r="T65">
        <v>31</v>
      </c>
      <c r="U65">
        <v>27</v>
      </c>
      <c r="V65">
        <v>27</v>
      </c>
      <c r="W65">
        <f>IF(COUNT($T65:$V65)=0,"",SUM($T65:$V65))</f>
        <v>85</v>
      </c>
      <c r="X65">
        <f>IF(ISERROR(IF($W65="","",ROUND(($W65/$W$10)*$X$10,2))),"",IF($W65="","",ROUND(($W65/$W$10)*$X$10,2)))</f>
        <v>70.83</v>
      </c>
      <c r="Y65">
        <f>IF($X65="","",ROUND($X65*$Y$10,2))</f>
        <v>21.25</v>
      </c>
      <c r="Z65">
        <f>IF(ISERROR(IF($V65="","",ROUND(SUM($M65,$S65,$Y65),2))),"",IF($V65="","",ROUND(SUM($M65,$S65,$Y65),2)))</f>
        <v>91.25</v>
      </c>
      <c r="AA65">
        <f>IF(ISERROR(IF($V65="","",VLOOKUP(Z65,NewTransmu,4,TRUE))),"",IF($V65="","",VLOOKUP(Z65,NewTransmu,4,TRUE)))</f>
        <v>93</v>
      </c>
      <c r="AB65" t="str">
        <f>IF(ISERROR(IF(AA65="","",VLOOKUP(AA65,DESCRIPTORS,4,TRUE))),"",IF(AA65="","",VLOOKUP(AA65,DESCRIPTORS,4,TRUE)))</f>
        <v>Advancing</v>
      </c>
      <c r="AV65">
        <f>(T65/$T$10)*100</f>
        <v>77.5</v>
      </c>
      <c r="AW65">
        <f>(U65/$U$10)*100</f>
        <v>67.5</v>
      </c>
      <c r="AX65">
        <f>(V65/$V$10)*100</f>
        <v>67.5</v>
      </c>
    </row>
    <row r="66">
      <c r="A66">
        <v>4</v>
      </c>
      <c r="B66" t="str">
        <f>INPUT!B66</f>
        <v>Hernandez, Bianca</v>
      </c>
      <c r="F66">
        <v>20</v>
      </c>
      <c r="G66">
        <v>20</v>
      </c>
      <c r="H66">
        <v>20</v>
      </c>
      <c r="I66">
        <v>20</v>
      </c>
      <c r="J66">
        <v>20</v>
      </c>
      <c r="K66">
        <f>IF(COUNT($F66:$J66)=0,"",SUM($F66:$J66))</f>
        <v>100</v>
      </c>
      <c r="L66">
        <f>IF(ISERROR(IF($K66="","",ROUND(($K66/$K$10)*$L$10,2))),"",IF($K66="","",ROUND(($K66/$K$10)*$L$10,2)))</f>
        <v>100</v>
      </c>
      <c r="M66">
        <f>IF($L66="","",ROUND($L66*$M$10,2))</f>
        <v>20</v>
      </c>
      <c r="N66">
        <v>50</v>
      </c>
      <c r="O66">
        <v>50</v>
      </c>
      <c r="P66">
        <v>50</v>
      </c>
      <c r="Q66">
        <f>IF(COUNT($N66:$P66)=0,"",SUM($N66:$P66))</f>
        <v>150</v>
      </c>
      <c r="R66">
        <f>IF(ISERROR(IF($Q66="","",ROUND(($Q66/$Q$10)*$R$10,2))),"",IF($Q66="","",ROUND(($Q66/$Q$10)*$R$10,2)))</f>
        <v>100</v>
      </c>
      <c r="S66">
        <f>IF($R66="","",ROUND($R66*$S$10,2))</f>
        <v>50</v>
      </c>
      <c r="T66">
        <v>30</v>
      </c>
      <c r="U66">
        <v>35</v>
      </c>
      <c r="V66">
        <v>32</v>
      </c>
      <c r="W66">
        <f>IF(COUNT($T66:$V66)=0,"",SUM($T66:$V66))</f>
        <v>97</v>
      </c>
      <c r="X66">
        <f>IF(ISERROR(IF($W66="","",ROUND(($W66/$W$10)*$X$10,2))),"",IF($W66="","",ROUND(($W66/$W$10)*$X$10,2)))</f>
        <v>80.83</v>
      </c>
      <c r="Y66">
        <f>IF($X66="","",ROUND($X66*$Y$10,2))</f>
        <v>24.25</v>
      </c>
      <c r="Z66">
        <f>IF(ISERROR(IF($V66="","",ROUND(SUM($M66,$S66,$Y66),2))),"",IF($V66="","",ROUND(SUM($M66,$S66,$Y66),2)))</f>
        <v>94.25</v>
      </c>
      <c r="AA66">
        <f>IF(ISERROR(IF($V66="","",VLOOKUP(Z66,NewTransmu,4,TRUE))),"",IF($V66="","",VLOOKUP(Z66,NewTransmu,4,TRUE)))</f>
        <v>96</v>
      </c>
      <c r="AB66" t="str">
        <f>IF(ISERROR(IF(AA66="","",VLOOKUP(AA66,DESCRIPTORS,4,TRUE))),"",IF(AA66="","",VLOOKUP(AA66,DESCRIPTORS,4,TRUE)))</f>
        <v>Advancing</v>
      </c>
      <c r="AV66">
        <f>(T66/$T$10)*100</f>
        <v>75</v>
      </c>
      <c r="AW66">
        <f>(U66/$U$10)*100</f>
        <v>87.5</v>
      </c>
      <c r="AX66">
        <f>(V66/$V$10)*100</f>
        <v>80</v>
      </c>
    </row>
    <row r="67">
      <c r="A67">
        <v>5</v>
      </c>
      <c r="B67" t="str">
        <f>INPUT!B67</f>
        <v>Ilagan, Camille</v>
      </c>
      <c r="F67">
        <v>20</v>
      </c>
      <c r="G67">
        <v>20</v>
      </c>
      <c r="H67">
        <v>20</v>
      </c>
      <c r="I67">
        <v>20</v>
      </c>
      <c r="J67">
        <v>20</v>
      </c>
      <c r="K67">
        <f>IF(COUNT($F67:$J67)=0,"",SUM($F67:$J67))</f>
        <v>100</v>
      </c>
      <c r="L67">
        <f>IF(ISERROR(IF($K67="","",ROUND(($K67/$K$10)*$L$10,2))),"",IF($K67="","",ROUND(($K67/$K$10)*$L$10,2)))</f>
        <v>100</v>
      </c>
      <c r="M67">
        <f>IF($L67="","",ROUND($L67*$M$10,2))</f>
        <v>20</v>
      </c>
      <c r="N67">
        <v>50</v>
      </c>
      <c r="O67">
        <v>50</v>
      </c>
      <c r="P67">
        <v>50</v>
      </c>
      <c r="Q67">
        <f>IF(COUNT($N67:$P67)=0,"",SUM($N67:$P67))</f>
        <v>150</v>
      </c>
      <c r="R67">
        <f>IF(ISERROR(IF($Q67="","",ROUND(($Q67/$Q$10)*$R$10,2))),"",IF($Q67="","",ROUND(($Q67/$Q$10)*$R$10,2)))</f>
        <v>100</v>
      </c>
      <c r="S67">
        <f>IF($R67="","",ROUND($R67*$S$10,2))</f>
        <v>50</v>
      </c>
      <c r="T67">
        <v>35</v>
      </c>
      <c r="U67">
        <v>34</v>
      </c>
      <c r="V67">
        <v>34</v>
      </c>
      <c r="W67">
        <f>IF(COUNT($T67:$V67)=0,"",SUM($T67:$V67))</f>
        <v>103</v>
      </c>
      <c r="X67">
        <f>IF(ISERROR(IF($W67="","",ROUND(($W67/$W$10)*$X$10,2))),"",IF($W67="","",ROUND(($W67/$W$10)*$X$10,2)))</f>
        <v>85.83</v>
      </c>
      <c r="Y67">
        <f>IF($X67="","",ROUND($X67*$Y$10,2))</f>
        <v>25.75</v>
      </c>
      <c r="Z67">
        <f>IF(ISERROR(IF($V67="","",ROUND(SUM($M67,$S67,$Y67),2))),"",IF($V67="","",ROUND(SUM($M67,$S67,$Y67),2)))</f>
        <v>95.75</v>
      </c>
      <c r="AA67">
        <f>IF(ISERROR(IF($V67="","",VLOOKUP(Z67,NewTransmu,4,TRUE))),"",IF($V67="","",VLOOKUP(Z67,NewTransmu,4,TRUE)))</f>
        <v>97</v>
      </c>
      <c r="AB67" t="str">
        <f>IF(ISERROR(IF(AA67="","",VLOOKUP(AA67,DESCRIPTORS,4,TRUE))),"",IF(AA67="","",VLOOKUP(AA67,DESCRIPTORS,4,TRUE)))</f>
        <v>Advancing</v>
      </c>
      <c r="AV67">
        <f>(T67/$T$10)*100</f>
        <v>87.5</v>
      </c>
      <c r="AW67">
        <f>(U67/$U$10)*100</f>
        <v>85</v>
      </c>
      <c r="AX67">
        <f>(V67/$V$10)*100</f>
        <v>85</v>
      </c>
    </row>
    <row r="68">
      <c r="A68">
        <v>6</v>
      </c>
      <c r="B68" t="str">
        <f>INPUT!B68</f>
        <v>Jimenez, Carla</v>
      </c>
      <c r="F68">
        <v>20</v>
      </c>
      <c r="G68">
        <v>20</v>
      </c>
      <c r="H68">
        <v>20</v>
      </c>
      <c r="I68">
        <v>20</v>
      </c>
      <c r="J68">
        <v>20</v>
      </c>
      <c r="K68">
        <f>IF(COUNT($F68:$J68)=0,"",SUM($F68:$J68))</f>
        <v>100</v>
      </c>
      <c r="L68">
        <f>IF(ISERROR(IF($K68="","",ROUND(($K68/$K$10)*$L$10,2))),"",IF($K68="","",ROUND(($K68/$K$10)*$L$10,2)))</f>
        <v>100</v>
      </c>
      <c r="M68">
        <f>IF($L68="","",ROUND($L68*$M$10,2))</f>
        <v>20</v>
      </c>
      <c r="N68">
        <v>50</v>
      </c>
      <c r="O68">
        <v>50</v>
      </c>
      <c r="P68">
        <v>50</v>
      </c>
      <c r="Q68">
        <f>IF(COUNT($N68:$P68)=0,"",SUM($N68:$P68))</f>
        <v>150</v>
      </c>
      <c r="R68">
        <f>IF(ISERROR(IF($Q68="","",ROUND(($Q68/$Q$10)*$R$10,2))),"",IF($Q68="","",ROUND(($Q68/$Q$10)*$R$10,2)))</f>
        <v>100</v>
      </c>
      <c r="S68">
        <f>IF($R68="","",ROUND($R68*$S$10,2))</f>
        <v>50</v>
      </c>
      <c r="T68">
        <v>31</v>
      </c>
      <c r="U68">
        <v>30</v>
      </c>
      <c r="V68">
        <v>32</v>
      </c>
      <c r="W68">
        <f>IF(COUNT($T68:$V68)=0,"",SUM($T68:$V68))</f>
        <v>93</v>
      </c>
      <c r="X68">
        <f>IF(ISERROR(IF($W68="","",ROUND(($W68/$W$10)*$X$10,2))),"",IF($W68="","",ROUND(($W68/$W$10)*$X$10,2)))</f>
        <v>77.5</v>
      </c>
      <c r="Y68">
        <f>IF($X68="","",ROUND($X68*$Y$10,2))</f>
        <v>23.25</v>
      </c>
      <c r="Z68">
        <f>IF(ISERROR(IF($V68="","",ROUND(SUM($M68,$S68,$Y68),2))),"",IF($V68="","",ROUND(SUM($M68,$S68,$Y68),2)))</f>
        <v>93.25</v>
      </c>
      <c r="AA68">
        <f>IF(ISERROR(IF($V68="","",VLOOKUP(Z68,NewTransmu,4,TRUE))),"",IF($V68="","",VLOOKUP(Z68,NewTransmu,4,TRUE)))</f>
        <v>95</v>
      </c>
      <c r="AB68" t="str">
        <f>IF(ISERROR(IF(AA68="","",VLOOKUP(AA68,DESCRIPTORS,4,TRUE))),"",IF(AA68="","",VLOOKUP(AA68,DESCRIPTORS,4,TRUE)))</f>
        <v>Advancing</v>
      </c>
      <c r="AV68">
        <f>(T68/$T$10)*100</f>
        <v>77.5</v>
      </c>
      <c r="AW68">
        <f>(U68/$U$10)*100</f>
        <v>75</v>
      </c>
      <c r="AX68">
        <f>(V68/$V$10)*100</f>
        <v>80</v>
      </c>
    </row>
    <row r="69">
      <c r="A69">
        <v>7</v>
      </c>
      <c r="B69" t="str">
        <f>INPUT!B69</f>
        <v>Lacson, Chloe</v>
      </c>
      <c r="F69">
        <v>20</v>
      </c>
      <c r="G69">
        <v>20</v>
      </c>
      <c r="H69">
        <v>20</v>
      </c>
      <c r="I69">
        <v>20</v>
      </c>
      <c r="J69">
        <v>20</v>
      </c>
      <c r="K69">
        <f>IF(COUNT($F69:$J69)=0,"",SUM($F69:$J69))</f>
        <v>100</v>
      </c>
      <c r="L69">
        <f>IF(ISERROR(IF($K69="","",ROUND(($K69/$K$10)*$L$10,2))),"",IF($K69="","",ROUND(($K69/$K$10)*$L$10,2)))</f>
        <v>100</v>
      </c>
      <c r="M69">
        <f>IF($L69="","",ROUND($L69*$M$10,2))</f>
        <v>20</v>
      </c>
      <c r="N69">
        <v>50</v>
      </c>
      <c r="O69">
        <v>50</v>
      </c>
      <c r="P69">
        <v>50</v>
      </c>
      <c r="Q69">
        <f>IF(COUNT($N69:$P69)=0,"",SUM($N69:$P69))</f>
        <v>150</v>
      </c>
      <c r="R69">
        <f>IF(ISERROR(IF($Q69="","",ROUND(($Q69/$Q$10)*$R$10,2))),"",IF($Q69="","",ROUND(($Q69/$Q$10)*$R$10,2)))</f>
        <v>100</v>
      </c>
      <c r="S69">
        <f>IF($R69="","",ROUND($R69*$S$10,2))</f>
        <v>50</v>
      </c>
      <c r="T69">
        <v>34</v>
      </c>
      <c r="U69">
        <v>33</v>
      </c>
      <c r="V69">
        <v>37</v>
      </c>
      <c r="W69">
        <f>IF(COUNT($T69:$V69)=0,"",SUM($T69:$V69))</f>
        <v>104</v>
      </c>
      <c r="X69">
        <f>IF(ISERROR(IF($W69="","",ROUND(($W69/$W$10)*$X$10,2))),"",IF($W69="","",ROUND(($W69/$W$10)*$X$10,2)))</f>
        <v>86.67</v>
      </c>
      <c r="Y69">
        <f>IF($X69="","",ROUND($X69*$Y$10,2))</f>
        <v>26</v>
      </c>
      <c r="Z69">
        <f>IF(ISERROR(IF($V69="","",ROUND(SUM($M69,$S69,$Y69),2))),"",IF($V69="","",ROUND(SUM($M69,$S69,$Y69),2)))</f>
        <v>96</v>
      </c>
      <c r="AA69">
        <f>IF(ISERROR(IF($V69="","",VLOOKUP(Z69,NewTransmu,4,TRUE))),"",IF($V69="","",VLOOKUP(Z69,NewTransmu,4,TRUE)))</f>
        <v>98</v>
      </c>
      <c r="AB69" t="str">
        <f>IF(ISERROR(IF(AA69="","",VLOOKUP(AA69,DESCRIPTORS,4,TRUE))),"",IF(AA69="","",VLOOKUP(AA69,DESCRIPTORS,4,TRUE)))</f>
        <v>Advancing</v>
      </c>
      <c r="AV69">
        <f>(T69/$T$10)*100</f>
        <v>85</v>
      </c>
      <c r="AW69">
        <f>(U69/$U$10)*100</f>
        <v>82.5</v>
      </c>
      <c r="AX69">
        <f>(V69/$V$10)*100</f>
        <v>92.5</v>
      </c>
    </row>
    <row r="70">
      <c r="A70">
        <v>8</v>
      </c>
      <c r="B70" t="str">
        <f>INPUT!B70</f>
        <v>Lim, Clarisse</v>
      </c>
      <c r="F70">
        <v>20</v>
      </c>
      <c r="G70">
        <v>20</v>
      </c>
      <c r="H70">
        <v>20</v>
      </c>
      <c r="I70">
        <v>20</v>
      </c>
      <c r="J70">
        <v>20</v>
      </c>
      <c r="K70">
        <f>IF(COUNT($F70:$J70)=0,"",SUM($F70:$J70))</f>
        <v>100</v>
      </c>
      <c r="L70">
        <f>IF(ISERROR(IF($K70="","",ROUND(($K70/$K$10)*$L$10,2))),"",IF($K70="","",ROUND(($K70/$K$10)*$L$10,2)))</f>
        <v>100</v>
      </c>
      <c r="M70">
        <f>IF($L70="","",ROUND($L70*$M$10,2))</f>
        <v>20</v>
      </c>
      <c r="N70">
        <v>50</v>
      </c>
      <c r="O70">
        <v>50</v>
      </c>
      <c r="P70">
        <v>50</v>
      </c>
      <c r="Q70">
        <f>IF(COUNT($N70:$P70)=0,"",SUM($N70:$P70))</f>
        <v>150</v>
      </c>
      <c r="R70">
        <f>IF(ISERROR(IF($Q70="","",ROUND(($Q70/$Q$10)*$R$10,2))),"",IF($Q70="","",ROUND(($Q70/$Q$10)*$R$10,2)))</f>
        <v>100</v>
      </c>
      <c r="S70">
        <f>IF($R70="","",ROUND($R70*$S$10,2))</f>
        <v>50</v>
      </c>
      <c r="T70">
        <v>37</v>
      </c>
      <c r="U70">
        <v>40</v>
      </c>
      <c r="V70">
        <v>37</v>
      </c>
      <c r="W70">
        <f>IF(COUNT($T70:$V70)=0,"",SUM($T70:$V70))</f>
        <v>114</v>
      </c>
      <c r="X70">
        <f>IF(ISERROR(IF($W70="","",ROUND(($W70/$W$10)*$X$10,2))),"",IF($W70="","",ROUND(($W70/$W$10)*$X$10,2)))</f>
        <v>95</v>
      </c>
      <c r="Y70">
        <f>IF($X70="","",ROUND($X70*$Y$10,2))</f>
        <v>28.5</v>
      </c>
      <c r="Z70">
        <f>IF(ISERROR(IF($V70="","",ROUND(SUM($M70,$S70,$Y70),2))),"",IF($V70="","",ROUND(SUM($M70,$S70,$Y70),2)))</f>
        <v>98.5</v>
      </c>
      <c r="AA70">
        <f>IF(ISERROR(IF($V70="","",VLOOKUP(Z70,NewTransmu,4,TRUE))),"",IF($V70="","",VLOOKUP(Z70,NewTransmu,4,TRUE)))</f>
        <v>99</v>
      </c>
      <c r="AB70" t="str">
        <f>IF(ISERROR(IF(AA70="","",VLOOKUP(AA70,DESCRIPTORS,4,TRUE))),"",IF(AA70="","",VLOOKUP(AA70,DESCRIPTORS,4,TRUE)))</f>
        <v>Advancing</v>
      </c>
      <c r="AV70">
        <f>(T70/$T$10)*100</f>
        <v>92.5</v>
      </c>
      <c r="AW70">
        <f>(U70/$U$10)*100</f>
        <v>100</v>
      </c>
      <c r="AX70">
        <f>(V70/$V$10)*100</f>
        <v>92.5</v>
      </c>
    </row>
    <row r="71">
      <c r="A71">
        <v>9</v>
      </c>
      <c r="B71" t="str">
        <f>INPUT!B71</f>
        <v>Manalo, Danica</v>
      </c>
      <c r="F71">
        <v>20</v>
      </c>
      <c r="G71">
        <v>20</v>
      </c>
      <c r="H71">
        <v>20</v>
      </c>
      <c r="I71">
        <v>20</v>
      </c>
      <c r="J71">
        <v>20</v>
      </c>
      <c r="K71">
        <f>IF(COUNT($F71:$J71)=0,"",SUM($F71:$J71))</f>
        <v>100</v>
      </c>
      <c r="L71">
        <f>IF(ISERROR(IF($K71="","",ROUND(($K71/$K$10)*$L$10,2))),"",IF($K71="","",ROUND(($K71/$K$10)*$L$10,2)))</f>
        <v>100</v>
      </c>
      <c r="M71">
        <f>IF($L71="","",ROUND($L71*$M$10,2))</f>
        <v>20</v>
      </c>
      <c r="N71">
        <v>50</v>
      </c>
      <c r="O71">
        <v>50</v>
      </c>
      <c r="P71">
        <v>50</v>
      </c>
      <c r="Q71">
        <f>IF(COUNT($N71:$P71)=0,"",SUM($N71:$P71))</f>
        <v>150</v>
      </c>
      <c r="R71">
        <f>IF(ISERROR(IF($Q71="","",ROUND(($Q71/$Q$10)*$R$10,2))),"",IF($Q71="","",ROUND(($Q71/$Q$10)*$R$10,2)))</f>
        <v>100</v>
      </c>
      <c r="S71">
        <f>IF($R71="","",ROUND($R71*$S$10,2))</f>
        <v>50</v>
      </c>
      <c r="T71">
        <v>38</v>
      </c>
      <c r="U71">
        <v>35</v>
      </c>
      <c r="V71">
        <v>35</v>
      </c>
      <c r="W71">
        <f>IF(COUNT($T71:$V71)=0,"",SUM($T71:$V71))</f>
        <v>108</v>
      </c>
      <c r="X71">
        <f>IF(ISERROR(IF($W71="","",ROUND(($W71/$W$10)*$X$10,2))),"",IF($W71="","",ROUND(($W71/$W$10)*$X$10,2)))</f>
        <v>90</v>
      </c>
      <c r="Y71">
        <f>IF($X71="","",ROUND($X71*$Y$10,2))</f>
        <v>27</v>
      </c>
      <c r="Z71">
        <f>IF(ISERROR(IF($V71="","",ROUND(SUM($M71,$S71,$Y71),2))),"",IF($V71="","",ROUND(SUM($M71,$S71,$Y71),2)))</f>
        <v>97</v>
      </c>
      <c r="AA71">
        <f>IF(ISERROR(IF($V71="","",VLOOKUP(Z71,NewTransmu,4,TRUE))),"",IF($V71="","",VLOOKUP(Z71,NewTransmu,4,TRUE)))</f>
        <v>98</v>
      </c>
      <c r="AB71" t="str">
        <f>IF(ISERROR(IF(AA71="","",VLOOKUP(AA71,DESCRIPTORS,4,TRUE))),"",IF(AA71="","",VLOOKUP(AA71,DESCRIPTORS,4,TRUE)))</f>
        <v>Advancing</v>
      </c>
      <c r="AV71">
        <f>(T71/$T$10)*100</f>
        <v>95</v>
      </c>
      <c r="AW71">
        <f>(U71/$U$10)*100</f>
        <v>87.5</v>
      </c>
      <c r="AX71">
        <f>(V71/$V$10)*100</f>
        <v>87.5</v>
      </c>
    </row>
    <row r="72">
      <c r="A72">
        <v>10</v>
      </c>
      <c r="B72" t="str">
        <f>INPUT!B72</f>
        <v>Mendoza, Diana</v>
      </c>
      <c r="F72">
        <v>20</v>
      </c>
      <c r="G72">
        <v>20</v>
      </c>
      <c r="H72">
        <v>20</v>
      </c>
      <c r="I72">
        <v>20</v>
      </c>
      <c r="J72">
        <v>20</v>
      </c>
      <c r="K72">
        <f>IF(COUNT($F72:$J72)=0,"",SUM($F72:$J72))</f>
        <v>100</v>
      </c>
      <c r="L72">
        <f>IF(ISERROR(IF($K72="","",ROUND(($K72/$K$10)*$L$10,2))),"",IF($K72="","",ROUND(($K72/$K$10)*$L$10,2)))</f>
        <v>100</v>
      </c>
      <c r="M72">
        <f>IF($L72="","",ROUND($L72*$M$10,2))</f>
        <v>20</v>
      </c>
      <c r="N72">
        <v>50</v>
      </c>
      <c r="O72">
        <v>50</v>
      </c>
      <c r="P72">
        <v>50</v>
      </c>
      <c r="Q72">
        <f>IF(COUNT($N72:$P72)=0,"",SUM($N72:$P72))</f>
        <v>150</v>
      </c>
      <c r="R72">
        <f>IF(ISERROR(IF($Q72="","",ROUND(($Q72/$Q$10)*$R$10,2))),"",IF($Q72="","",ROUND(($Q72/$Q$10)*$R$10,2)))</f>
        <v>100</v>
      </c>
      <c r="S72">
        <f>IF($R72="","",ROUND($R72*$S$10,2))</f>
        <v>50</v>
      </c>
      <c r="T72">
        <v>32</v>
      </c>
      <c r="U72">
        <v>28</v>
      </c>
      <c r="V72">
        <v>31</v>
      </c>
      <c r="W72">
        <f>IF(COUNT($T72:$V72)=0,"",SUM($T72:$V72))</f>
        <v>91</v>
      </c>
      <c r="X72">
        <f>IF(ISERROR(IF($W72="","",ROUND(($W72/$W$10)*$X$10,2))),"",IF($W72="","",ROUND(($W72/$W$10)*$X$10,2)))</f>
        <v>75.83</v>
      </c>
      <c r="Y72">
        <f>IF($X72="","",ROUND($X72*$Y$10,2))</f>
        <v>22.75</v>
      </c>
      <c r="Z72">
        <f>IF(ISERROR(IF($V72="","",ROUND(SUM($M72,$S72,$Y72),2))),"",IF($V72="","",ROUND(SUM($M72,$S72,$Y72),2)))</f>
        <v>92.75</v>
      </c>
      <c r="AA72">
        <f>IF(ISERROR(IF($V72="","",VLOOKUP(Z72,NewTransmu,4,TRUE))),"",IF($V72="","",VLOOKUP(Z72,NewTransmu,4,TRUE)))</f>
        <v>94</v>
      </c>
      <c r="AB72" t="str">
        <f>IF(ISERROR(IF(AA72="","",VLOOKUP(AA72,DESCRIPTORS,4,TRUE))),"",IF(AA72="","",VLOOKUP(AA72,DESCRIPTORS,4,TRUE)))</f>
        <v>Advancing</v>
      </c>
      <c r="AV72">
        <f>(T72/$T$10)*100</f>
        <v>80</v>
      </c>
      <c r="AW72">
        <f>(U72/$U$10)*100</f>
        <v>70</v>
      </c>
      <c r="AX72">
        <f>(V72/$V$10)*100</f>
        <v>77.5</v>
      </c>
    </row>
    <row r="73">
      <c r="A73">
        <v>11</v>
      </c>
      <c r="B73" t="str">
        <f>INPUT!B73</f>
        <v>Navarro, Elena</v>
      </c>
      <c r="F73">
        <v>20</v>
      </c>
      <c r="G73">
        <v>20</v>
      </c>
      <c r="H73">
        <v>20</v>
      </c>
      <c r="I73">
        <v>20</v>
      </c>
      <c r="J73">
        <v>20</v>
      </c>
      <c r="K73">
        <f>IF(COUNT($F73:$J73)=0,"",SUM($F73:$J73))</f>
        <v>100</v>
      </c>
      <c r="L73">
        <f>IF(ISERROR(IF($K73="","",ROUND(($K73/$K$10)*$L$10,2))),"",IF($K73="","",ROUND(($K73/$K$10)*$L$10,2)))</f>
        <v>100</v>
      </c>
      <c r="M73">
        <f>IF($L73="","",ROUND($L73*$M$10,2))</f>
        <v>20</v>
      </c>
      <c r="N73">
        <v>50</v>
      </c>
      <c r="O73">
        <v>50</v>
      </c>
      <c r="P73">
        <v>50</v>
      </c>
      <c r="Q73">
        <f>IF(COUNT($N73:$P73)=0,"",SUM($N73:$P73))</f>
        <v>150</v>
      </c>
      <c r="R73">
        <f>IF(ISERROR(IF($Q73="","",ROUND(($Q73/$Q$10)*$R$10,2))),"",IF($Q73="","",ROUND(($Q73/$Q$10)*$R$10,2)))</f>
        <v>100</v>
      </c>
      <c r="S73">
        <f>IF($R73="","",ROUND($R73*$S$10,2))</f>
        <v>50</v>
      </c>
      <c r="T73">
        <v>34</v>
      </c>
      <c r="U73">
        <v>34</v>
      </c>
      <c r="V73">
        <v>32</v>
      </c>
      <c r="W73">
        <f>IF(COUNT($T73:$V73)=0,"",SUM($T73:$V73))</f>
        <v>100</v>
      </c>
      <c r="X73">
        <f>IF(ISERROR(IF($W73="","",ROUND(($W73/$W$10)*$X$10,2))),"",IF($W73="","",ROUND(($W73/$W$10)*$X$10,2)))</f>
        <v>83.33</v>
      </c>
      <c r="Y73">
        <f>IF($X73="","",ROUND($X73*$Y$10,2))</f>
        <v>25</v>
      </c>
      <c r="Z73">
        <f>IF(ISERROR(IF($V73="","",ROUND(SUM($M73,$S73,$Y73),2))),"",IF($V73="","",ROUND(SUM($M73,$S73,$Y73),2)))</f>
        <v>95</v>
      </c>
      <c r="AA73">
        <f>IF(ISERROR(IF($V73="","",VLOOKUP(Z73,NewTransmu,4,TRUE))),"",IF($V73="","",VLOOKUP(Z73,NewTransmu,4,TRUE)))</f>
        <v>97</v>
      </c>
      <c r="AB73" t="str">
        <f>IF(ISERROR(IF(AA73="","",VLOOKUP(AA73,DESCRIPTORS,4,TRUE))),"",IF(AA73="","",VLOOKUP(AA73,DESCRIPTORS,4,TRUE)))</f>
        <v>Advancing</v>
      </c>
      <c r="AV73">
        <f>(T73/$T$10)*100</f>
        <v>85</v>
      </c>
      <c r="AW73">
        <f>(U73/$U$10)*100</f>
        <v>85</v>
      </c>
      <c r="AX73">
        <f>(V73/$V$10)*100</f>
        <v>80</v>
      </c>
    </row>
    <row r="74">
      <c r="A74">
        <v>12</v>
      </c>
      <c r="B74" t="str">
        <f>INPUT!B74</f>
        <v>Ocampo, Ella</v>
      </c>
      <c r="F74">
        <v>20</v>
      </c>
      <c r="G74">
        <v>20</v>
      </c>
      <c r="H74">
        <v>20</v>
      </c>
      <c r="I74">
        <v>20</v>
      </c>
      <c r="J74">
        <v>20</v>
      </c>
      <c r="K74">
        <f>IF(COUNT($F74:$J74)=0,"",SUM($F74:$J74))</f>
        <v>100</v>
      </c>
      <c r="L74">
        <f>IF(ISERROR(IF($K74="","",ROUND(($K74/$K$10)*$L$10,2))),"",IF($K74="","",ROUND(($K74/$K$10)*$L$10,2)))</f>
        <v>100</v>
      </c>
      <c r="M74">
        <f>IF($L74="","",ROUND($L74*$M$10,2))</f>
        <v>20</v>
      </c>
      <c r="N74">
        <v>50</v>
      </c>
      <c r="O74">
        <v>50</v>
      </c>
      <c r="P74">
        <v>50</v>
      </c>
      <c r="Q74">
        <f>IF(COUNT($N74:$P74)=0,"",SUM($N74:$P74))</f>
        <v>150</v>
      </c>
      <c r="R74">
        <f>IF(ISERROR(IF($Q74="","",ROUND(($Q74/$Q$10)*$R$10,2))),"",IF($Q74="","",ROUND(($Q74/$Q$10)*$R$10,2)))</f>
        <v>100</v>
      </c>
      <c r="S74">
        <f>IF($R74="","",ROUND($R74*$S$10,2))</f>
        <v>50</v>
      </c>
      <c r="T74">
        <v>31</v>
      </c>
      <c r="U74">
        <v>30</v>
      </c>
      <c r="V74">
        <v>30</v>
      </c>
      <c r="W74">
        <f>IF(COUNT($T74:$V74)=0,"",SUM($T74:$V74))</f>
        <v>91</v>
      </c>
      <c r="X74">
        <f>IF(ISERROR(IF($W74="","",ROUND(($W74/$W$10)*$X$10,2))),"",IF($W74="","",ROUND(($W74/$W$10)*$X$10,2)))</f>
        <v>75.83</v>
      </c>
      <c r="Y74">
        <f>IF($X74="","",ROUND($X74*$Y$10,2))</f>
        <v>22.75</v>
      </c>
      <c r="Z74">
        <f>IF(ISERROR(IF($V74="","",ROUND(SUM($M74,$S74,$Y74),2))),"",IF($V74="","",ROUND(SUM($M74,$S74,$Y74),2)))</f>
        <v>92.75</v>
      </c>
      <c r="AA74">
        <f>IF(ISERROR(IF($V74="","",VLOOKUP(Z74,NewTransmu,4,TRUE))),"",IF($V74="","",VLOOKUP(Z74,NewTransmu,4,TRUE)))</f>
        <v>94</v>
      </c>
      <c r="AB74" t="str">
        <f>IF(ISERROR(IF(AA74="","",VLOOKUP(AA74,DESCRIPTORS,4,TRUE))),"",IF(AA74="","",VLOOKUP(AA74,DESCRIPTORS,4,TRUE)))</f>
        <v>Advancing</v>
      </c>
      <c r="AV74">
        <f>(T74/$T$10)*100</f>
        <v>77.5</v>
      </c>
      <c r="AW74">
        <f>(U74/$U$10)*100</f>
        <v>75</v>
      </c>
      <c r="AX74">
        <f>(V74/$V$10)*100</f>
        <v>75</v>
      </c>
    </row>
    <row r="75">
      <c r="A75">
        <v>13</v>
      </c>
      <c r="B75" t="str">
        <f>INPUT!B75</f>
        <v>Ortega, Erika</v>
      </c>
      <c r="F75">
        <v>20</v>
      </c>
      <c r="G75">
        <v>20</v>
      </c>
      <c r="H75">
        <v>20</v>
      </c>
      <c r="I75">
        <v>20</v>
      </c>
      <c r="J75">
        <v>20</v>
      </c>
      <c r="K75">
        <f>IF(COUNT($F75:$J75)=0,"",SUM($F75:$J75))</f>
        <v>100</v>
      </c>
      <c r="L75">
        <f>IF(ISERROR(IF($K75="","",ROUND(($K75/$K$10)*$L$10,2))),"",IF($K75="","",ROUND(($K75/$K$10)*$L$10,2)))</f>
        <v>100</v>
      </c>
      <c r="M75">
        <f>IF($L75="","",ROUND($L75*$M$10,2))</f>
        <v>20</v>
      </c>
      <c r="N75">
        <v>50</v>
      </c>
      <c r="O75">
        <v>50</v>
      </c>
      <c r="P75">
        <v>50</v>
      </c>
      <c r="Q75">
        <f>IF(COUNT($N75:$P75)=0,"",SUM($N75:$P75))</f>
        <v>150</v>
      </c>
      <c r="R75">
        <f>IF(ISERROR(IF($Q75="","",ROUND(($Q75/$Q$10)*$R$10,2))),"",IF($Q75="","",ROUND(($Q75/$Q$10)*$R$10,2)))</f>
        <v>100</v>
      </c>
      <c r="S75">
        <f>IF($R75="","",ROUND($R75*$S$10,2))</f>
        <v>50</v>
      </c>
      <c r="T75">
        <v>40</v>
      </c>
      <c r="U75">
        <v>40</v>
      </c>
      <c r="V75">
        <v>36</v>
      </c>
      <c r="W75">
        <f>IF(COUNT($T75:$V75)=0,"",SUM($T75:$V75))</f>
        <v>116</v>
      </c>
      <c r="X75">
        <f>IF(ISERROR(IF($W75="","",ROUND(($W75/$W$10)*$X$10,2))),"",IF($W75="","",ROUND(($W75/$W$10)*$X$10,2)))</f>
        <v>96.67</v>
      </c>
      <c r="Y75">
        <f>IF($X75="","",ROUND($X75*$Y$10,2))</f>
        <v>29</v>
      </c>
      <c r="Z75">
        <f>IF(ISERROR(IF($V75="","",ROUND(SUM($M75,$S75,$Y75),2))),"",IF($V75="","",ROUND(SUM($M75,$S75,$Y75),2)))</f>
        <v>99</v>
      </c>
      <c r="AA75">
        <f>IF(ISERROR(IF($V75="","",VLOOKUP(Z75,NewTransmu,4,TRUE))),"",IF($V75="","",VLOOKUP(Z75,NewTransmu,4,TRUE)))</f>
        <v>99</v>
      </c>
      <c r="AB75" t="str">
        <f>IF(ISERROR(IF(AA75="","",VLOOKUP(AA75,DESCRIPTORS,4,TRUE))),"",IF(AA75="","",VLOOKUP(AA75,DESCRIPTORS,4,TRUE)))</f>
        <v>Advancing</v>
      </c>
      <c r="AV75">
        <f>(T75/$T$10)*100</f>
        <v>100</v>
      </c>
      <c r="AW75">
        <f>(U75/$U$10)*100</f>
        <v>100</v>
      </c>
      <c r="AX75">
        <f>(V75/$V$10)*100</f>
        <v>90</v>
      </c>
    </row>
    <row r="76">
      <c r="A76">
        <v>14</v>
      </c>
      <c r="B76" t="str">
        <f>INPUT!B76</f>
        <v>Pascual, Faith</v>
      </c>
      <c r="F76">
        <v>20</v>
      </c>
      <c r="G76">
        <v>20</v>
      </c>
      <c r="H76">
        <v>20</v>
      </c>
      <c r="I76">
        <v>20</v>
      </c>
      <c r="J76">
        <v>20</v>
      </c>
      <c r="K76">
        <f>IF(COUNT($F76:$J76)=0,"",SUM($F76:$J76))</f>
        <v>100</v>
      </c>
      <c r="L76">
        <f>IF(ISERROR(IF($K76="","",ROUND(($K76/$K$10)*$L$10,2))),"",IF($K76="","",ROUND(($K76/$K$10)*$L$10,2)))</f>
        <v>100</v>
      </c>
      <c r="M76">
        <f>IF($L76="","",ROUND($L76*$M$10,2))</f>
        <v>20</v>
      </c>
      <c r="N76">
        <v>50</v>
      </c>
      <c r="O76">
        <v>50</v>
      </c>
      <c r="P76">
        <v>50</v>
      </c>
      <c r="Q76">
        <f>IF(COUNT($N76:$P76)=0,"",SUM($N76:$P76))</f>
        <v>150</v>
      </c>
      <c r="R76">
        <f>IF(ISERROR(IF($Q76="","",ROUND(($Q76/$Q$10)*$R$10,2))),"",IF($Q76="","",ROUND(($Q76/$Q$10)*$R$10,2)))</f>
        <v>100</v>
      </c>
      <c r="S76">
        <f>IF($R76="","",ROUND($R76*$S$10,2))</f>
        <v>50</v>
      </c>
      <c r="T76">
        <v>35</v>
      </c>
      <c r="U76">
        <v>35</v>
      </c>
      <c r="V76">
        <v>30</v>
      </c>
      <c r="W76">
        <f>IF(COUNT($T76:$V76)=0,"",SUM($T76:$V76))</f>
        <v>100</v>
      </c>
      <c r="X76">
        <f>IF(ISERROR(IF($W76="","",ROUND(($W76/$W$10)*$X$10,2))),"",IF($W76="","",ROUND(($W76/$W$10)*$X$10,2)))</f>
        <v>83.33</v>
      </c>
      <c r="Y76">
        <f>IF($X76="","",ROUND($X76*$Y$10,2))</f>
        <v>25</v>
      </c>
      <c r="Z76">
        <f>IF(ISERROR(IF($V76="","",ROUND(SUM($M76,$S76,$Y76),2))),"",IF($V76="","",ROUND(SUM($M76,$S76,$Y76),2)))</f>
        <v>95</v>
      </c>
      <c r="AA76">
        <f>IF(ISERROR(IF($V76="","",VLOOKUP(Z76,NewTransmu,4,TRUE))),"",IF($V76="","",VLOOKUP(Z76,NewTransmu,4,TRUE)))</f>
        <v>97</v>
      </c>
      <c r="AB76" t="str">
        <f>IF(ISERROR(IF(AA76="","",VLOOKUP(AA76,DESCRIPTORS,4,TRUE))),"",IF(AA76="","",VLOOKUP(AA76,DESCRIPTORS,4,TRUE)))</f>
        <v>Advancing</v>
      </c>
      <c r="AV76">
        <f>(T76/$T$10)*100</f>
        <v>87.5</v>
      </c>
      <c r="AW76">
        <f>(U76/$U$10)*100</f>
        <v>87.5</v>
      </c>
      <c r="AX76">
        <f>(V76/$V$10)*100</f>
        <v>75</v>
      </c>
    </row>
    <row r="77">
      <c r="A77">
        <v>15</v>
      </c>
      <c r="B77" t="str">
        <f>INPUT!B77</f>
        <v>Quizon, Gabrielle</v>
      </c>
      <c r="F77">
        <v>20</v>
      </c>
      <c r="G77">
        <v>20</v>
      </c>
      <c r="H77">
        <v>20</v>
      </c>
      <c r="I77">
        <v>20</v>
      </c>
      <c r="J77">
        <v>20</v>
      </c>
      <c r="K77">
        <f>IF(COUNT($F77:$J77)=0,"",SUM($F77:$J77))</f>
        <v>100</v>
      </c>
      <c r="L77">
        <f>IF(ISERROR(IF($K77="","",ROUND(($K77/$K$10)*$L$10,2))),"",IF($K77="","",ROUND(($K77/$K$10)*$L$10,2)))</f>
        <v>100</v>
      </c>
      <c r="M77">
        <f>IF($L77="","",ROUND($L77*$M$10,2))</f>
        <v>20</v>
      </c>
      <c r="N77">
        <v>50</v>
      </c>
      <c r="O77">
        <v>50</v>
      </c>
      <c r="P77">
        <v>50</v>
      </c>
      <c r="Q77">
        <f>IF(COUNT($N77:$P77)=0,"",SUM($N77:$P77))</f>
        <v>150</v>
      </c>
      <c r="R77">
        <f>IF(ISERROR(IF($Q77="","",ROUND(($Q77/$Q$10)*$R$10,2))),"",IF($Q77="","",ROUND(($Q77/$Q$10)*$R$10,2)))</f>
        <v>100</v>
      </c>
      <c r="S77">
        <f>IF($R77="","",ROUND($R77*$S$10,2))</f>
        <v>50</v>
      </c>
      <c r="T77">
        <v>36</v>
      </c>
      <c r="U77">
        <v>40</v>
      </c>
      <c r="V77">
        <v>40</v>
      </c>
      <c r="W77">
        <f>IF(COUNT($T77:$V77)=0,"",SUM($T77:$V77))</f>
        <v>116</v>
      </c>
      <c r="X77">
        <f>IF(ISERROR(IF($W77="","",ROUND(($W77/$W$10)*$X$10,2))),"",IF($W77="","",ROUND(($W77/$W$10)*$X$10,2)))</f>
        <v>96.67</v>
      </c>
      <c r="Y77">
        <f>IF($X77="","",ROUND($X77*$Y$10,2))</f>
        <v>29</v>
      </c>
      <c r="Z77">
        <f>IF(ISERROR(IF($V77="","",ROUND(SUM($M77,$S77,$Y77),2))),"",IF($V77="","",ROUND(SUM($M77,$S77,$Y77),2)))</f>
        <v>99</v>
      </c>
      <c r="AA77">
        <f>IF(ISERROR(IF($V77="","",VLOOKUP(Z77,NewTransmu,4,TRUE))),"",IF($V77="","",VLOOKUP(Z77,NewTransmu,4,TRUE)))</f>
        <v>99</v>
      </c>
      <c r="AB77" t="str">
        <f>IF(ISERROR(IF(AA77="","",VLOOKUP(AA77,DESCRIPTORS,4,TRUE))),"",IF(AA77="","",VLOOKUP(AA77,DESCRIPTORS,4,TRUE)))</f>
        <v>Advancing</v>
      </c>
      <c r="AV77">
        <f>(T77/$T$10)*100</f>
        <v>90</v>
      </c>
      <c r="AW77">
        <f>(U77/$U$10)*100</f>
        <v>100</v>
      </c>
      <c r="AX77">
        <f>(V77/$V$10)*100</f>
        <v>100</v>
      </c>
    </row>
    <row r="78">
      <c r="A78">
        <v>16</v>
      </c>
      <c r="B78" t="str">
        <f>INPUT!B78</f>
        <v>Ramos, Hannah</v>
      </c>
      <c r="F78">
        <v>20</v>
      </c>
      <c r="G78">
        <v>20</v>
      </c>
      <c r="H78">
        <v>20</v>
      </c>
      <c r="I78">
        <v>20</v>
      </c>
      <c r="J78">
        <v>20</v>
      </c>
      <c r="K78">
        <f>IF(COUNT($F78:$J78)=0,"",SUM($F78:$J78))</f>
        <v>100</v>
      </c>
      <c r="L78">
        <f>IF(ISERROR(IF($K78="","",ROUND(($K78/$K$10)*$L$10,2))),"",IF($K78="","",ROUND(($K78/$K$10)*$L$10,2)))</f>
        <v>100</v>
      </c>
      <c r="M78">
        <f>IF($L78="","",ROUND($L78*$M$10,2))</f>
        <v>20</v>
      </c>
      <c r="N78">
        <v>50</v>
      </c>
      <c r="O78">
        <v>50</v>
      </c>
      <c r="P78">
        <v>50</v>
      </c>
      <c r="Q78">
        <f>IF(COUNT($N78:$P78)=0,"",SUM($N78:$P78))</f>
        <v>150</v>
      </c>
      <c r="R78">
        <f>IF(ISERROR(IF($Q78="","",ROUND(($Q78/$Q$10)*$R$10,2))),"",IF($Q78="","",ROUND(($Q78/$Q$10)*$R$10,2)))</f>
        <v>100</v>
      </c>
      <c r="S78">
        <f>IF($R78="","",ROUND($R78*$S$10,2))</f>
        <v>50</v>
      </c>
      <c r="T78">
        <v>32</v>
      </c>
      <c r="U78">
        <v>34</v>
      </c>
      <c r="V78">
        <v>33</v>
      </c>
      <c r="W78">
        <f>IF(COUNT($T78:$V78)=0,"",SUM($T78:$V78))</f>
        <v>99</v>
      </c>
      <c r="X78">
        <f>IF(ISERROR(IF($W78="","",ROUND(($W78/$W$10)*$X$10,2))),"",IF($W78="","",ROUND(($W78/$W$10)*$X$10,2)))</f>
        <v>82.5</v>
      </c>
      <c r="Y78">
        <f>IF($X78="","",ROUND($X78*$Y$10,2))</f>
        <v>24.75</v>
      </c>
      <c r="Z78">
        <f>IF(ISERROR(IF($V78="","",ROUND(SUM($M78,$S78,$Y78),2))),"",IF($V78="","",ROUND(SUM($M78,$S78,$Y78),2)))</f>
        <v>94.75</v>
      </c>
      <c r="AA78">
        <f>IF(ISERROR(IF($V78="","",VLOOKUP(Z78,NewTransmu,4,TRUE))),"",IF($V78="","",VLOOKUP(Z78,NewTransmu,4,TRUE)))</f>
        <v>96</v>
      </c>
      <c r="AB78" t="str">
        <f>IF(ISERROR(IF(AA78="","",VLOOKUP(AA78,DESCRIPTORS,4,TRUE))),"",IF(AA78="","",VLOOKUP(AA78,DESCRIPTORS,4,TRUE)))</f>
        <v>Advancing</v>
      </c>
      <c r="AV78">
        <f>(T78/$T$10)*100</f>
        <v>80</v>
      </c>
      <c r="AW78">
        <f>(U78/$U$10)*100</f>
        <v>85</v>
      </c>
      <c r="AX78">
        <f>(V78/$V$10)*100</f>
        <v>82.5</v>
      </c>
    </row>
    <row r="79">
      <c r="A79">
        <v>17</v>
      </c>
      <c r="B79" t="str">
        <f>INPUT!B79</f>
        <v>Reyes, Isabelle</v>
      </c>
      <c r="F79">
        <v>20</v>
      </c>
      <c r="G79">
        <v>20</v>
      </c>
      <c r="H79">
        <v>20</v>
      </c>
      <c r="I79">
        <v>20</v>
      </c>
      <c r="J79">
        <v>20</v>
      </c>
      <c r="K79">
        <f>IF(COUNT($F79:$J79)=0,"",SUM($F79:$J79))</f>
        <v>100</v>
      </c>
      <c r="L79">
        <f>IF(ISERROR(IF($K79="","",ROUND(($K79/$K$10)*$L$10,2))),"",IF($K79="","",ROUND(($K79/$K$10)*$L$10,2)))</f>
        <v>100</v>
      </c>
      <c r="M79">
        <f>IF($L79="","",ROUND($L79*$M$10,2))</f>
        <v>20</v>
      </c>
      <c r="N79">
        <v>50</v>
      </c>
      <c r="O79">
        <v>50</v>
      </c>
      <c r="P79">
        <v>50</v>
      </c>
      <c r="Q79">
        <f>IF(COUNT($N79:$P79)=0,"",SUM($N79:$P79))</f>
        <v>150</v>
      </c>
      <c r="R79">
        <f>IF(ISERROR(IF($Q79="","",ROUND(($Q79/$Q$10)*$R$10,2))),"",IF($Q79="","",ROUND(($Q79/$Q$10)*$R$10,2)))</f>
        <v>100</v>
      </c>
      <c r="S79">
        <f>IF($R79="","",ROUND($R79*$S$10,2))</f>
        <v>50</v>
      </c>
      <c r="T79">
        <v>35</v>
      </c>
      <c r="U79">
        <v>33</v>
      </c>
      <c r="V79">
        <v>34</v>
      </c>
      <c r="W79">
        <f>IF(COUNT($T79:$V79)=0,"",SUM($T79:$V79))</f>
        <v>102</v>
      </c>
      <c r="X79">
        <f>IF(ISERROR(IF($W79="","",ROUND(($W79/$W$10)*$X$10,2))),"",IF($W79="","",ROUND(($W79/$W$10)*$X$10,2)))</f>
        <v>85</v>
      </c>
      <c r="Y79">
        <f>IF($X79="","",ROUND($X79*$Y$10,2))</f>
        <v>25.5</v>
      </c>
      <c r="Z79">
        <f>IF(ISERROR(IF($V79="","",ROUND(SUM($M79,$S79,$Y79),2))),"",IF($V79="","",ROUND(SUM($M79,$S79,$Y79),2)))</f>
        <v>95.5</v>
      </c>
      <c r="AA79">
        <f>IF(ISERROR(IF($V79="","",VLOOKUP(Z79,NewTransmu,4,TRUE))),"",IF($V79="","",VLOOKUP(Z79,NewTransmu,4,TRUE)))</f>
        <v>97</v>
      </c>
      <c r="AB79" t="str">
        <f>IF(ISERROR(IF(AA79="","",VLOOKUP(AA79,DESCRIPTORS,4,TRUE))),"",IF(AA79="","",VLOOKUP(AA79,DESCRIPTORS,4,TRUE)))</f>
        <v>Advancing</v>
      </c>
      <c r="AV79">
        <f>(T79/$T$10)*100</f>
        <v>87.5</v>
      </c>
      <c r="AW79">
        <f>(U79/$U$10)*100</f>
        <v>82.5</v>
      </c>
      <c r="AX79">
        <f>(V79/$V$10)*100</f>
        <v>85</v>
      </c>
    </row>
    <row r="80">
      <c r="A80">
        <v>18</v>
      </c>
      <c r="B80" t="str">
        <f>INPUT!B80</f>
        <v>Rivera, Jasmine</v>
      </c>
      <c r="F80">
        <v>20</v>
      </c>
      <c r="G80">
        <v>20</v>
      </c>
      <c r="H80">
        <v>20</v>
      </c>
      <c r="I80">
        <v>20</v>
      </c>
      <c r="J80">
        <v>20</v>
      </c>
      <c r="K80">
        <f>IF(COUNT($F80:$J80)=0,"",SUM($F80:$J80))</f>
        <v>100</v>
      </c>
      <c r="L80">
        <f>IF(ISERROR(IF($K80="","",ROUND(($K80/$K$10)*$L$10,2))),"",IF($K80="","",ROUND(($K80/$K$10)*$L$10,2)))</f>
        <v>100</v>
      </c>
      <c r="M80">
        <f>IF($L80="","",ROUND($L80*$M$10,2))</f>
        <v>20</v>
      </c>
      <c r="N80">
        <v>50</v>
      </c>
      <c r="O80">
        <v>50</v>
      </c>
      <c r="P80">
        <v>50</v>
      </c>
      <c r="Q80">
        <f>IF(COUNT($N80:$P80)=0,"",SUM($N80:$P80))</f>
        <v>150</v>
      </c>
      <c r="R80">
        <f>IF(ISERROR(IF($Q80="","",ROUND(($Q80/$Q$10)*$R$10,2))),"",IF($Q80="","",ROUND(($Q80/$Q$10)*$R$10,2)))</f>
        <v>100</v>
      </c>
      <c r="S80">
        <f>IF($R80="","",ROUND($R80*$S$10,2))</f>
        <v>50</v>
      </c>
      <c r="T80">
        <v>37</v>
      </c>
      <c r="U80">
        <v>38</v>
      </c>
      <c r="V80">
        <v>34</v>
      </c>
      <c r="W80">
        <f>IF(COUNT($T80:$V80)=0,"",SUM($T80:$V80))</f>
        <v>109</v>
      </c>
      <c r="X80">
        <f>IF(ISERROR(IF($W80="","",ROUND(($W80/$W$10)*$X$10,2))),"",IF($W80="","",ROUND(($W80/$W$10)*$X$10,2)))</f>
        <v>90.83</v>
      </c>
      <c r="Y80">
        <f>IF($X80="","",ROUND($X80*$Y$10,2))</f>
        <v>27.25</v>
      </c>
      <c r="Z80">
        <f>IF(ISERROR(IF($V80="","",ROUND(SUM($M80,$S80,$Y80),2))),"",IF($V80="","",ROUND(SUM($M80,$S80,$Y80),2)))</f>
        <v>97.25</v>
      </c>
      <c r="AA80">
        <f>IF(ISERROR(IF($V80="","",VLOOKUP(Z80,NewTransmu,4,TRUE))),"",IF($V80="","",VLOOKUP(Z80,NewTransmu,4,TRUE)))</f>
        <v>98</v>
      </c>
      <c r="AB80" t="str">
        <f>IF(ISERROR(IF(AA80="","",VLOOKUP(AA80,DESCRIPTORS,4,TRUE))),"",IF(AA80="","",VLOOKUP(AA80,DESCRIPTORS,4,TRUE)))</f>
        <v>Advancing</v>
      </c>
      <c r="AV80">
        <f>(T80/$T$10)*100</f>
        <v>92.5</v>
      </c>
      <c r="AW80">
        <f>(U80/$U$10)*100</f>
        <v>95</v>
      </c>
      <c r="AX80">
        <f>(V80/$V$10)*100</f>
        <v>85</v>
      </c>
    </row>
    <row r="81">
      <c r="A81">
        <v>19</v>
      </c>
      <c r="B81" t="str">
        <f>INPUT!B81</f>
        <v>Rosales, Jillian</v>
      </c>
      <c r="F81">
        <v>20</v>
      </c>
      <c r="G81">
        <v>20</v>
      </c>
      <c r="H81">
        <v>20</v>
      </c>
      <c r="I81">
        <v>20</v>
      </c>
      <c r="J81">
        <v>20</v>
      </c>
      <c r="K81">
        <f>IF(COUNT($F81:$J81)=0,"",SUM($F81:$J81))</f>
        <v>100</v>
      </c>
      <c r="L81">
        <f>IF(ISERROR(IF($K81="","",ROUND(($K81/$K$10)*$L$10,2))),"",IF($K81="","",ROUND(($K81/$K$10)*$L$10,2)))</f>
        <v>100</v>
      </c>
      <c r="M81">
        <f>IF($L81="","",ROUND($L81*$M$10,2))</f>
        <v>20</v>
      </c>
      <c r="N81">
        <v>50</v>
      </c>
      <c r="O81">
        <v>50</v>
      </c>
      <c r="P81">
        <v>50</v>
      </c>
      <c r="Q81">
        <f>IF(COUNT($N81:$P81)=0,"",SUM($N81:$P81))</f>
        <v>150</v>
      </c>
      <c r="R81">
        <f>IF(ISERROR(IF($Q81="","",ROUND(($Q81/$Q$10)*$R$10,2))),"",IF($Q81="","",ROUND(($Q81/$Q$10)*$R$10,2)))</f>
        <v>100</v>
      </c>
      <c r="S81">
        <f>IF($R81="","",ROUND($R81*$S$10,2))</f>
        <v>50</v>
      </c>
      <c r="T81">
        <v>34</v>
      </c>
      <c r="U81">
        <v>33</v>
      </c>
      <c r="V81">
        <v>29</v>
      </c>
      <c r="W81">
        <f>IF(COUNT($T81:$V81)=0,"",SUM($T81:$V81))</f>
        <v>96</v>
      </c>
      <c r="X81">
        <f>IF(ISERROR(IF($W81="","",ROUND(($W81/$W$10)*$X$10,2))),"",IF($W81="","",ROUND(($W81/$W$10)*$X$10,2)))</f>
        <v>80</v>
      </c>
      <c r="Y81">
        <f>IF($X81="","",ROUND($X81*$Y$10,2))</f>
        <v>24</v>
      </c>
      <c r="Z81">
        <f>IF(ISERROR(IF($V81="","",ROUND(SUM($M81,$S81,$Y81),2))),"",IF($V81="","",ROUND(SUM($M81,$S81,$Y81),2)))</f>
        <v>94</v>
      </c>
      <c r="AA81">
        <f>IF(ISERROR(IF($V81="","",VLOOKUP(Z81,NewTransmu,4,TRUE))),"",IF($V81="","",VLOOKUP(Z81,NewTransmu,4,TRUE)))</f>
        <v>96</v>
      </c>
      <c r="AB81" t="str">
        <f>IF(ISERROR(IF(AA81="","",VLOOKUP(AA81,DESCRIPTORS,4,TRUE))),"",IF(AA81="","",VLOOKUP(AA81,DESCRIPTORS,4,TRUE)))</f>
        <v>Advancing</v>
      </c>
      <c r="AV81">
        <f>(T81/$T$10)*100</f>
        <v>85</v>
      </c>
      <c r="AW81">
        <f>(U81/$U$10)*100</f>
        <v>82.5</v>
      </c>
      <c r="AX81">
        <f>(V81/$V$10)*100</f>
        <v>72.5</v>
      </c>
    </row>
    <row r="82">
      <c r="A82">
        <v>20</v>
      </c>
      <c r="B82" t="str">
        <f>INPUT!B82</f>
        <v>Salazar, Julia</v>
      </c>
      <c r="F82">
        <v>20</v>
      </c>
      <c r="G82">
        <v>20</v>
      </c>
      <c r="H82">
        <v>20</v>
      </c>
      <c r="I82">
        <v>20</v>
      </c>
      <c r="J82">
        <v>20</v>
      </c>
      <c r="K82">
        <f>IF(COUNT($F82:$J82)=0,"",SUM($F82:$J82))</f>
        <v>100</v>
      </c>
      <c r="L82">
        <f>IF(ISERROR(IF($K82="","",ROUND(($K82/$K$10)*$L$10,2))),"",IF($K82="","",ROUND(($K82/$K$10)*$L$10,2)))</f>
        <v>100</v>
      </c>
      <c r="M82">
        <f>IF($L82="","",ROUND($L82*$M$10,2))</f>
        <v>20</v>
      </c>
      <c r="N82">
        <v>50</v>
      </c>
      <c r="O82">
        <v>50</v>
      </c>
      <c r="P82">
        <v>50</v>
      </c>
      <c r="Q82">
        <f>IF(COUNT($N82:$P82)=0,"",SUM($N82:$P82))</f>
        <v>150</v>
      </c>
      <c r="R82">
        <f>IF(ISERROR(IF($Q82="","",ROUND(($Q82/$Q$10)*$R$10,2))),"",IF($Q82="","",ROUND(($Q82/$Q$10)*$R$10,2)))</f>
        <v>100</v>
      </c>
      <c r="S82">
        <f>IF($R82="","",ROUND($R82*$S$10,2))</f>
        <v>50</v>
      </c>
      <c r="T82">
        <v>34</v>
      </c>
      <c r="U82">
        <v>35</v>
      </c>
      <c r="V82">
        <v>36</v>
      </c>
      <c r="W82">
        <f>IF(COUNT($T82:$V82)=0,"",SUM($T82:$V82))</f>
        <v>105</v>
      </c>
      <c r="X82">
        <f>IF(ISERROR(IF($W82="","",ROUND(($W82/$W$10)*$X$10,2))),"",IF($W82="","",ROUND(($W82/$W$10)*$X$10,2)))</f>
        <v>87.5</v>
      </c>
      <c r="Y82">
        <f>IF($X82="","",ROUND($X82*$Y$10,2))</f>
        <v>26.25</v>
      </c>
      <c r="Z82">
        <f>IF(ISERROR(IF($V82="","",ROUND(SUM($M82,$S82,$Y82),2))),"",IF($V82="","",ROUND(SUM($M82,$S82,$Y82),2)))</f>
        <v>96.25</v>
      </c>
      <c r="AA82">
        <f>IF(ISERROR(IF($V82="","",VLOOKUP(Z82,NewTransmu,4,TRUE))),"",IF($V82="","",VLOOKUP(Z82,NewTransmu,4,TRUE)))</f>
        <v>98</v>
      </c>
      <c r="AB82" t="str">
        <f>IF(ISERROR(IF(AA82="","",VLOOKUP(AA82,DESCRIPTORS,4,TRUE))),"",IF(AA82="","",VLOOKUP(AA82,DESCRIPTORS,4,TRUE)))</f>
        <v>Advancing</v>
      </c>
      <c r="AV82">
        <f>(T82/$T$10)*100</f>
        <v>85</v>
      </c>
      <c r="AW82">
        <f>(U82/$U$10)*100</f>
        <v>87.5</v>
      </c>
      <c r="AX82">
        <f>(V82/$V$10)*100</f>
        <v>90</v>
      </c>
    </row>
    <row r="83">
      <c r="A83">
        <v>21</v>
      </c>
      <c r="B83" t="str">
        <f>INPUT!B83</f>
        <v>Santiago, Katrina</v>
      </c>
      <c r="F83">
        <v>20</v>
      </c>
      <c r="G83">
        <v>20</v>
      </c>
      <c r="H83">
        <v>20</v>
      </c>
      <c r="I83">
        <v>20</v>
      </c>
      <c r="J83">
        <v>20</v>
      </c>
      <c r="K83">
        <f>IF(COUNT($F83:$J83)=0,"",SUM($F83:$J83))</f>
        <v>100</v>
      </c>
      <c r="L83">
        <f>IF(ISERROR(IF($K83="","",ROUND(($K83/$K$10)*$L$10,2))),"",IF($K83="","",ROUND(($K83/$K$10)*$L$10,2)))</f>
        <v>100</v>
      </c>
      <c r="M83">
        <f>IF($L83="","",ROUND($L83*$M$10,2))</f>
        <v>20</v>
      </c>
      <c r="N83">
        <v>50</v>
      </c>
      <c r="O83">
        <v>50</v>
      </c>
      <c r="P83">
        <v>50</v>
      </c>
      <c r="Q83">
        <f>IF(COUNT($N83:$P83)=0,"",SUM($N83:$P83))</f>
        <v>150</v>
      </c>
      <c r="R83">
        <f>IF(ISERROR(IF($Q83="","",ROUND(($Q83/$Q$10)*$R$10,2))),"",IF($Q83="","",ROUND(($Q83/$Q$10)*$R$10,2)))</f>
        <v>100</v>
      </c>
      <c r="S83">
        <f>IF($R83="","",ROUND($R83*$S$10,2))</f>
        <v>50</v>
      </c>
      <c r="T83">
        <v>36</v>
      </c>
      <c r="U83">
        <v>36</v>
      </c>
      <c r="V83">
        <v>39</v>
      </c>
      <c r="W83">
        <f>IF(COUNT($T83:$V83)=0,"",SUM($T83:$V83))</f>
        <v>111</v>
      </c>
      <c r="X83">
        <f>IF(ISERROR(IF($W83="","",ROUND(($W83/$W$10)*$X$10,2))),"",IF($W83="","",ROUND(($W83/$W$10)*$X$10,2)))</f>
        <v>92.5</v>
      </c>
      <c r="Y83">
        <f>IF($X83="","",ROUND($X83*$Y$10,2))</f>
        <v>27.75</v>
      </c>
      <c r="Z83">
        <f>IF(ISERROR(IF($V83="","",ROUND(SUM($M83,$S83,$Y83),2))),"",IF($V83="","",ROUND(SUM($M83,$S83,$Y83),2)))</f>
        <v>97.75</v>
      </c>
      <c r="AA83">
        <f>IF(ISERROR(IF($V83="","",VLOOKUP(Z83,NewTransmu,4,TRUE))),"",IF($V83="","",VLOOKUP(Z83,NewTransmu,4,TRUE)))</f>
        <v>99</v>
      </c>
      <c r="AB83" t="str">
        <f>IF(ISERROR(IF(AA83="","",VLOOKUP(AA83,DESCRIPTORS,4,TRUE))),"",IF(AA83="","",VLOOKUP(AA83,DESCRIPTORS,4,TRUE)))</f>
        <v>Advancing</v>
      </c>
      <c r="AV83">
        <f>(T83/$T$10)*100</f>
        <v>90</v>
      </c>
      <c r="AW83">
        <f>(U83/$U$10)*100</f>
        <v>90</v>
      </c>
      <c r="AX83">
        <f>(V83/$V$10)*100</f>
        <v>97.5</v>
      </c>
    </row>
    <row r="84">
      <c r="A84">
        <v>22</v>
      </c>
      <c r="B84" t="str">
        <f>INPUT!B84</f>
        <v>Santos, Kayla</v>
      </c>
      <c r="F84">
        <v>20</v>
      </c>
      <c r="G84">
        <v>20</v>
      </c>
      <c r="H84">
        <v>20</v>
      </c>
      <c r="I84">
        <v>20</v>
      </c>
      <c r="J84">
        <v>20</v>
      </c>
      <c r="K84">
        <f>IF(COUNT($F84:$J84)=0,"",SUM($F84:$J84))</f>
        <v>100</v>
      </c>
      <c r="L84">
        <f>IF(ISERROR(IF($K84="","",ROUND(($K84/$K$10)*$L$10,2))),"",IF($K84="","",ROUND(($K84/$K$10)*$L$10,2)))</f>
        <v>100</v>
      </c>
      <c r="M84">
        <f>IF($L84="","",ROUND($L84*$M$10,2))</f>
        <v>20</v>
      </c>
      <c r="N84">
        <v>50</v>
      </c>
      <c r="O84">
        <v>50</v>
      </c>
      <c r="P84">
        <v>50</v>
      </c>
      <c r="Q84">
        <f>IF(COUNT($N84:$P84)=0,"",SUM($N84:$P84))</f>
        <v>150</v>
      </c>
      <c r="R84">
        <f>IF(ISERROR(IF($Q84="","",ROUND(($Q84/$Q$10)*$R$10,2))),"",IF($Q84="","",ROUND(($Q84/$Q$10)*$R$10,2)))</f>
        <v>100</v>
      </c>
      <c r="S84">
        <f>IF($R84="","",ROUND($R84*$S$10,2))</f>
        <v>50</v>
      </c>
      <c r="T84">
        <v>32</v>
      </c>
      <c r="U84">
        <v>29</v>
      </c>
      <c r="V84">
        <v>29</v>
      </c>
      <c r="W84">
        <f>IF(COUNT($T84:$V84)=0,"",SUM($T84:$V84))</f>
        <v>90</v>
      </c>
      <c r="X84">
        <f>IF(ISERROR(IF($W84="","",ROUND(($W84/$W$10)*$X$10,2))),"",IF($W84="","",ROUND(($W84/$W$10)*$X$10,2)))</f>
        <v>75</v>
      </c>
      <c r="Y84">
        <f>IF($X84="","",ROUND($X84*$Y$10,2))</f>
        <v>22.5</v>
      </c>
      <c r="Z84">
        <f>IF(ISERROR(IF($V84="","",ROUND(SUM($M84,$S84,$Y84),2))),"",IF($V84="","",ROUND(SUM($M84,$S84,$Y84),2)))</f>
        <v>92.5</v>
      </c>
      <c r="AA84">
        <f>IF(ISERROR(IF($V84="","",VLOOKUP(Z84,NewTransmu,4,TRUE))),"",IF($V84="","",VLOOKUP(Z84,NewTransmu,4,TRUE)))</f>
        <v>94</v>
      </c>
      <c r="AB84" t="str">
        <f>IF(ISERROR(IF(AA84="","",VLOOKUP(AA84,DESCRIPTORS,4,TRUE))),"",IF(AA84="","",VLOOKUP(AA84,DESCRIPTORS,4,TRUE)))</f>
        <v>Advancing</v>
      </c>
      <c r="AV84">
        <f>(T84/$T$10)*100</f>
        <v>80</v>
      </c>
      <c r="AW84">
        <f>(U84/$U$10)*100</f>
        <v>72.5</v>
      </c>
      <c r="AX84">
        <f>(V84/$V$10)*100</f>
        <v>72.5</v>
      </c>
    </row>
    <row r="85">
      <c r="A85">
        <v>23</v>
      </c>
      <c r="B85" t="str">
        <f>INPUT!B85</f>
        <v>Soriano, Kiana</v>
      </c>
      <c r="F85">
        <v>20</v>
      </c>
      <c r="G85">
        <v>20</v>
      </c>
      <c r="H85">
        <v>20</v>
      </c>
      <c r="I85">
        <v>20</v>
      </c>
      <c r="J85">
        <v>20</v>
      </c>
      <c r="K85">
        <f>IF(COUNT($F85:$J85)=0,"",SUM($F85:$J85))</f>
        <v>100</v>
      </c>
      <c r="L85">
        <f>IF(ISERROR(IF($K85="","",ROUND(($K85/$K$10)*$L$10,2))),"",IF($K85="","",ROUND(($K85/$K$10)*$L$10,2)))</f>
        <v>100</v>
      </c>
      <c r="M85">
        <f>IF($L85="","",ROUND($L85*$M$10,2))</f>
        <v>20</v>
      </c>
      <c r="N85">
        <v>50</v>
      </c>
      <c r="O85">
        <v>50</v>
      </c>
      <c r="P85">
        <v>50</v>
      </c>
      <c r="Q85">
        <f>IF(COUNT($N85:$P85)=0,"",SUM($N85:$P85))</f>
        <v>150</v>
      </c>
      <c r="R85">
        <f>IF(ISERROR(IF($Q85="","",ROUND(($Q85/$Q$10)*$R$10,2))),"",IF($Q85="","",ROUND(($Q85/$Q$10)*$R$10,2)))</f>
        <v>100</v>
      </c>
      <c r="S85">
        <f>IF($R85="","",ROUND($R85*$S$10,2))</f>
        <v>50</v>
      </c>
      <c r="T85">
        <v>36</v>
      </c>
      <c r="U85">
        <v>36</v>
      </c>
      <c r="V85">
        <v>34</v>
      </c>
      <c r="W85">
        <f>IF(COUNT($T85:$V85)=0,"",SUM($T85:$V85))</f>
        <v>106</v>
      </c>
      <c r="X85">
        <f>IF(ISERROR(IF($W85="","",ROUND(($W85/$W$10)*$X$10,2))),"",IF($W85="","",ROUND(($W85/$W$10)*$X$10,2)))</f>
        <v>88.33</v>
      </c>
      <c r="Y85">
        <f>IF($X85="","",ROUND($X85*$Y$10,2))</f>
        <v>26.5</v>
      </c>
      <c r="Z85">
        <f>IF(ISERROR(IF($V85="","",ROUND(SUM($M85,$S85,$Y85),2))),"",IF($V85="","",ROUND(SUM($M85,$S85,$Y85),2)))</f>
        <v>96.5</v>
      </c>
      <c r="AA85">
        <f>IF(ISERROR(IF($V85="","",VLOOKUP(Z85,NewTransmu,4,TRUE))),"",IF($V85="","",VLOOKUP(Z85,NewTransmu,4,TRUE)))</f>
        <v>98</v>
      </c>
      <c r="AB85" t="str">
        <f>IF(ISERROR(IF(AA85="","",VLOOKUP(AA85,DESCRIPTORS,4,TRUE))),"",IF(AA85="","",VLOOKUP(AA85,DESCRIPTORS,4,TRUE)))</f>
        <v>Advancing</v>
      </c>
      <c r="AV85">
        <f>(T85/$T$10)*100</f>
        <v>90</v>
      </c>
      <c r="AW85">
        <f>(U85/$U$10)*100</f>
        <v>90</v>
      </c>
      <c r="AX85">
        <f>(V85/$V$10)*100</f>
        <v>85</v>
      </c>
    </row>
    <row r="86">
      <c r="A86">
        <v>24</v>
      </c>
      <c r="B86" t="str">
        <f>INPUT!B86</f>
        <v>Torres, Leah</v>
      </c>
      <c r="F86">
        <v>20</v>
      </c>
      <c r="G86">
        <v>20</v>
      </c>
      <c r="H86">
        <v>20</v>
      </c>
      <c r="I86">
        <v>20</v>
      </c>
      <c r="J86">
        <v>20</v>
      </c>
      <c r="K86">
        <f>IF(COUNT($F86:$J86)=0,"",SUM($F86:$J86))</f>
        <v>100</v>
      </c>
      <c r="L86">
        <f>IF(ISERROR(IF($K86="","",ROUND(($K86/$K$10)*$L$10,2))),"",IF($K86="","",ROUND(($K86/$K$10)*$L$10,2)))</f>
        <v>100</v>
      </c>
      <c r="M86">
        <f>IF($L86="","",ROUND($L86*$M$10,2))</f>
        <v>20</v>
      </c>
      <c r="N86">
        <v>50</v>
      </c>
      <c r="O86">
        <v>50</v>
      </c>
      <c r="P86">
        <v>50</v>
      </c>
      <c r="Q86">
        <f>IF(COUNT($N86:$P86)=0,"",SUM($N86:$P86))</f>
        <v>150</v>
      </c>
      <c r="R86">
        <f>IF(ISERROR(IF($Q86="","",ROUND(($Q86/$Q$10)*$R$10,2))),"",IF($Q86="","",ROUND(($Q86/$Q$10)*$R$10,2)))</f>
        <v>100</v>
      </c>
      <c r="S86">
        <f>IF($R86="","",ROUND($R86*$S$10,2))</f>
        <v>50</v>
      </c>
      <c r="T86">
        <v>37</v>
      </c>
      <c r="U86">
        <v>35</v>
      </c>
      <c r="V86">
        <v>36</v>
      </c>
      <c r="W86">
        <f>IF(COUNT($T86:$V86)=0,"",SUM($T86:$V86))</f>
        <v>108</v>
      </c>
      <c r="X86">
        <f>IF(ISERROR(IF($W86="","",ROUND(($W86/$W$10)*$X$10,2))),"",IF($W86="","",ROUND(($W86/$W$10)*$X$10,2)))</f>
        <v>90</v>
      </c>
      <c r="Y86">
        <f>IF($X86="","",ROUND($X86*$Y$10,2))</f>
        <v>27</v>
      </c>
      <c r="Z86">
        <f>IF(ISERROR(IF($V86="","",ROUND(SUM($M86,$S86,$Y86),2))),"",IF($V86="","",ROUND(SUM($M86,$S86,$Y86),2)))</f>
        <v>97</v>
      </c>
      <c r="AA86">
        <f>IF(ISERROR(IF($V86="","",VLOOKUP(Z86,NewTransmu,4,TRUE))),"",IF($V86="","",VLOOKUP(Z86,NewTransmu,4,TRUE)))</f>
        <v>98</v>
      </c>
      <c r="AB86" t="str">
        <f>IF(ISERROR(IF(AA86="","",VLOOKUP(AA86,DESCRIPTORS,4,TRUE))),"",IF(AA86="","",VLOOKUP(AA86,DESCRIPTORS,4,TRUE)))</f>
        <v>Advancing</v>
      </c>
      <c r="AV86">
        <f>(T86/$T$10)*100</f>
        <v>92.5</v>
      </c>
      <c r="AW86">
        <f>(U86/$U$10)*100</f>
        <v>87.5</v>
      </c>
      <c r="AX86">
        <f>(V86/$V$10)*100</f>
        <v>90</v>
      </c>
    </row>
    <row r="87">
      <c r="A87">
        <v>25</v>
      </c>
      <c r="B87" t="str">
        <f>INPUT!B87</f>
        <v>Valdez, Liana</v>
      </c>
      <c r="F87">
        <v>20</v>
      </c>
      <c r="G87">
        <v>20</v>
      </c>
      <c r="H87">
        <v>20</v>
      </c>
      <c r="I87">
        <v>20</v>
      </c>
      <c r="J87">
        <v>20</v>
      </c>
      <c r="K87">
        <f>IF(COUNT($F87:$J87)=0,"",SUM($F87:$J87))</f>
        <v>100</v>
      </c>
      <c r="L87">
        <f>IF(ISERROR(IF($K87="","",ROUND(($K87/$K$10)*$L$10,2))),"",IF($K87="","",ROUND(($K87/$K$10)*$L$10,2)))</f>
        <v>100</v>
      </c>
      <c r="M87">
        <f>IF($L87="","",ROUND($L87*$M$10,2))</f>
        <v>20</v>
      </c>
      <c r="N87">
        <v>50</v>
      </c>
      <c r="O87">
        <v>50</v>
      </c>
      <c r="P87">
        <v>50</v>
      </c>
      <c r="Q87">
        <f>IF(COUNT($N87:$P87)=0,"",SUM($N87:$P87))</f>
        <v>150</v>
      </c>
      <c r="R87">
        <f>IF(ISERROR(IF($Q87="","",ROUND(($Q87/$Q$10)*$R$10,2))),"",IF($Q87="","",ROUND(($Q87/$Q$10)*$R$10,2)))</f>
        <v>100</v>
      </c>
      <c r="S87">
        <f>IF($R87="","",ROUND($R87*$S$10,2))</f>
        <v>50</v>
      </c>
      <c r="T87">
        <v>34</v>
      </c>
      <c r="U87">
        <v>34</v>
      </c>
      <c r="V87">
        <v>36</v>
      </c>
      <c r="W87">
        <f>IF(COUNT($T87:$V87)=0,"",SUM($T87:$V87))</f>
        <v>104</v>
      </c>
      <c r="X87">
        <f>IF(ISERROR(IF($W87="","",ROUND(($W87/$W$10)*$X$10,2))),"",IF($W87="","",ROUND(($W87/$W$10)*$X$10,2)))</f>
        <v>86.67</v>
      </c>
      <c r="Y87">
        <f>IF($X87="","",ROUND($X87*$Y$10,2))</f>
        <v>26</v>
      </c>
      <c r="Z87">
        <f>IF(ISERROR(IF($V87="","",ROUND(SUM($M87,$S87,$Y87),2))),"",IF($V87="","",ROUND(SUM($M87,$S87,$Y87),2)))</f>
        <v>96</v>
      </c>
      <c r="AA87">
        <f>IF(ISERROR(IF($V87="","",VLOOKUP(Z87,NewTransmu,4,TRUE))),"",IF($V87="","",VLOOKUP(Z87,NewTransmu,4,TRUE)))</f>
        <v>98</v>
      </c>
      <c r="AB87" t="str">
        <f>IF(ISERROR(IF(AA87="","",VLOOKUP(AA87,DESCRIPTORS,4,TRUE))),"",IF(AA87="","",VLOOKUP(AA87,DESCRIPTORS,4,TRUE)))</f>
        <v>Advancing</v>
      </c>
      <c r="AV87">
        <f>(T87/$T$10)*100</f>
        <v>85</v>
      </c>
      <c r="AW87">
        <f>(U87/$U$10)*100</f>
        <v>85</v>
      </c>
      <c r="AX87">
        <f>(V87/$V$10)*100</f>
        <v>90</v>
      </c>
    </row>
    <row r="88">
      <c r="A88">
        <v>26</v>
      </c>
      <c r="B88" t="str">
        <f>INPUT!B88</f>
        <v>Velasco, Lia</v>
      </c>
      <c r="F88">
        <v>20</v>
      </c>
      <c r="G88">
        <v>20</v>
      </c>
      <c r="H88">
        <v>20</v>
      </c>
      <c r="I88">
        <v>20</v>
      </c>
      <c r="J88">
        <v>20</v>
      </c>
      <c r="K88">
        <f>IF(COUNT($F88:$J88)=0,"",SUM($F88:$J88))</f>
        <v>100</v>
      </c>
      <c r="L88">
        <f>IF(ISERROR(IF($K88="","",ROUND(($K88/$K$10)*$L$10,2))),"",IF($K88="","",ROUND(($K88/$K$10)*$L$10,2)))</f>
        <v>100</v>
      </c>
      <c r="M88">
        <f>IF($L88="","",ROUND($L88*$M$10,2))</f>
        <v>20</v>
      </c>
      <c r="N88">
        <v>50</v>
      </c>
      <c r="O88">
        <v>50</v>
      </c>
      <c r="P88">
        <v>50</v>
      </c>
      <c r="Q88">
        <f>IF(COUNT($N88:$P88)=0,"",SUM($N88:$P88))</f>
        <v>150</v>
      </c>
      <c r="R88">
        <f>IF(ISERROR(IF($Q88="","",ROUND(($Q88/$Q$10)*$R$10,2))),"",IF($Q88="","",ROUND(($Q88/$Q$10)*$R$10,2)))</f>
        <v>100</v>
      </c>
      <c r="S88">
        <f>IF($R88="","",ROUND($R88*$S$10,2))</f>
        <v>50</v>
      </c>
      <c r="T88">
        <v>36</v>
      </c>
      <c r="U88">
        <v>34</v>
      </c>
      <c r="V88">
        <v>37</v>
      </c>
      <c r="W88">
        <f>IF(COUNT($T88:$V88)=0,"",SUM($T88:$V88))</f>
        <v>107</v>
      </c>
      <c r="X88">
        <f>IF(ISERROR(IF($W88="","",ROUND(($W88/$W$10)*$X$10,2))),"",IF($W88="","",ROUND(($W88/$W$10)*$X$10,2)))</f>
        <v>89.17</v>
      </c>
      <c r="Y88">
        <f>IF($X88="","",ROUND($X88*$Y$10,2))</f>
        <v>26.75</v>
      </c>
      <c r="Z88">
        <f>IF(ISERROR(IF($V88="","",ROUND(SUM($M88,$S88,$Y88),2))),"",IF($V88="","",ROUND(SUM($M88,$S88,$Y88),2)))</f>
        <v>96.75</v>
      </c>
      <c r="AA88">
        <f>IF(ISERROR(IF($V88="","",VLOOKUP(Z88,NewTransmu,4,TRUE))),"",IF($V88="","",VLOOKUP(Z88,NewTransmu,4,TRUE)))</f>
        <v>98</v>
      </c>
      <c r="AB88" t="str">
        <f>IF(ISERROR(IF(AA88="","",VLOOKUP(AA88,DESCRIPTORS,4,TRUE))),"",IF(AA88="","",VLOOKUP(AA88,DESCRIPTORS,4,TRUE)))</f>
        <v>Advancing</v>
      </c>
      <c r="AV88">
        <f>(T88/$T$10)*100</f>
        <v>90</v>
      </c>
      <c r="AW88">
        <f>(U88/$U$10)*100</f>
        <v>85</v>
      </c>
      <c r="AX88">
        <f>(V88/$V$10)*100</f>
        <v>92.5</v>
      </c>
    </row>
    <row r="89">
      <c r="A89">
        <v>27</v>
      </c>
      <c r="B89" t="str">
        <f>INPUT!B89</f>
        <v>Villanueva, Mara</v>
      </c>
      <c r="F89">
        <v>20</v>
      </c>
      <c r="G89">
        <v>20</v>
      </c>
      <c r="H89">
        <v>20</v>
      </c>
      <c r="I89">
        <v>20</v>
      </c>
      <c r="J89">
        <v>20</v>
      </c>
      <c r="K89">
        <f>IF(COUNT($F89:$J89)=0,"",SUM($F89:$J89))</f>
        <v>100</v>
      </c>
      <c r="L89">
        <f>IF(ISERROR(IF($K89="","",ROUND(($K89/$K$10)*$L$10,2))),"",IF($K89="","",ROUND(($K89/$K$10)*$L$10,2)))</f>
        <v>100</v>
      </c>
      <c r="M89">
        <f>IF($L89="","",ROUND($L89*$M$10,2))</f>
        <v>20</v>
      </c>
      <c r="N89">
        <v>50</v>
      </c>
      <c r="O89">
        <v>50</v>
      </c>
      <c r="P89">
        <v>50</v>
      </c>
      <c r="Q89">
        <f>IF(COUNT($N89:$P89)=0,"",SUM($N89:$P89))</f>
        <v>150</v>
      </c>
      <c r="R89">
        <f>IF(ISERROR(IF($Q89="","",ROUND(($Q89/$Q$10)*$R$10,2))),"",IF($Q89="","",ROUND(($Q89/$Q$10)*$R$10,2)))</f>
        <v>100</v>
      </c>
      <c r="S89">
        <f>IF($R89="","",ROUND($R89*$S$10,2))</f>
        <v>50</v>
      </c>
      <c r="T89">
        <v>39</v>
      </c>
      <c r="U89">
        <v>40</v>
      </c>
      <c r="V89">
        <v>40</v>
      </c>
      <c r="W89">
        <f>IF(COUNT($T89:$V89)=0,"",SUM($T89:$V89))</f>
        <v>119</v>
      </c>
      <c r="X89">
        <f>IF(ISERROR(IF($W89="","",ROUND(($W89/$W$10)*$X$10,2))),"",IF($W89="","",ROUND(($W89/$W$10)*$X$10,2)))</f>
        <v>99.17</v>
      </c>
      <c r="Y89">
        <f>IF($X89="","",ROUND($X89*$Y$10,2))</f>
        <v>29.75</v>
      </c>
      <c r="Z89">
        <f>IF(ISERROR(IF($V89="","",ROUND(SUM($M89,$S89,$Y89),2))),"",IF($V89="","",ROUND(SUM($M89,$S89,$Y89),2)))</f>
        <v>99.75</v>
      </c>
      <c r="AA89">
        <f>IF(ISERROR(IF($V89="","",VLOOKUP(Z89,NewTransmu,4,TRUE))),"",IF($V89="","",VLOOKUP(Z89,NewTransmu,4,TRUE)))</f>
        <v>100</v>
      </c>
      <c r="AB89" t="str">
        <f>IF(ISERROR(IF(AA89="","",VLOOKUP(AA89,DESCRIPTORS,4,TRUE))),"",IF(AA89="","",VLOOKUP(AA89,DESCRIPTORS,4,TRUE)))</f>
        <v>Advancing</v>
      </c>
      <c r="AV89">
        <f>(T89/$T$10)*100</f>
        <v>97.5</v>
      </c>
      <c r="AW89">
        <f>(U89/$U$10)*100</f>
        <v>100</v>
      </c>
      <c r="AX89">
        <f>(V89/$V$10)*100</f>
        <v>100</v>
      </c>
    </row>
    <row r="90">
      <c r="A90">
        <v>28</v>
      </c>
      <c r="B90" t="str">
        <f>INPUT!B90</f>
        <v>Yap, Maria</v>
      </c>
      <c r="F90">
        <v>20</v>
      </c>
      <c r="G90">
        <v>20</v>
      </c>
      <c r="H90">
        <v>20</v>
      </c>
      <c r="I90">
        <v>20</v>
      </c>
      <c r="J90">
        <v>20</v>
      </c>
      <c r="K90">
        <f>IF(COUNT($F90:$J90)=0,"",SUM($F90:$J90))</f>
        <v>100</v>
      </c>
      <c r="L90">
        <f>IF(ISERROR(IF($K90="","",ROUND(($K90/$K$10)*$L$10,2))),"",IF($K90="","",ROUND(($K90/$K$10)*$L$10,2)))</f>
        <v>100</v>
      </c>
      <c r="M90">
        <f>IF($L90="","",ROUND($L90*$M$10,2))</f>
        <v>20</v>
      </c>
      <c r="N90">
        <v>50</v>
      </c>
      <c r="O90">
        <v>50</v>
      </c>
      <c r="P90">
        <v>50</v>
      </c>
      <c r="Q90">
        <f>IF(COUNT($N90:$P90)=0,"",SUM($N90:$P90))</f>
        <v>150</v>
      </c>
      <c r="R90">
        <f>IF(ISERROR(IF($Q90="","",ROUND(($Q90/$Q$10)*$R$10,2))),"",IF($Q90="","",ROUND(($Q90/$Q$10)*$R$10,2)))</f>
        <v>100</v>
      </c>
      <c r="S90">
        <f>IF($R90="","",ROUND($R90*$S$10,2))</f>
        <v>50</v>
      </c>
      <c r="T90">
        <v>29</v>
      </c>
      <c r="U90">
        <v>26</v>
      </c>
      <c r="V90">
        <v>31</v>
      </c>
      <c r="W90">
        <f>IF(COUNT($T90:$V90)=0,"",SUM($T90:$V90))</f>
        <v>86</v>
      </c>
      <c r="X90">
        <f>IF(ISERROR(IF($W90="","",ROUND(($W90/$W$10)*$X$10,2))),"",IF($W90="","",ROUND(($W90/$W$10)*$X$10,2)))</f>
        <v>71.67</v>
      </c>
      <c r="Y90">
        <f>IF($X90="","",ROUND($X90*$Y$10,2))</f>
        <v>21.5</v>
      </c>
      <c r="Z90">
        <f>IF(ISERROR(IF($V90="","",ROUND(SUM($M90,$S90,$Y90),2))),"",IF($V90="","",ROUND(SUM($M90,$S90,$Y90),2)))</f>
        <v>91.5</v>
      </c>
      <c r="AA90">
        <f>IF(ISERROR(IF($V90="","",VLOOKUP(Z90,NewTransmu,4,TRUE))),"",IF($V90="","",VLOOKUP(Z90,NewTransmu,4,TRUE)))</f>
        <v>93</v>
      </c>
      <c r="AB90" t="str">
        <f>IF(ISERROR(IF(AA90="","",VLOOKUP(AA90,DESCRIPTORS,4,TRUE))),"",IF(AA90="","",VLOOKUP(AA90,DESCRIPTORS,4,TRUE)))</f>
        <v>Advancing</v>
      </c>
      <c r="AV90">
        <f>(T90/$T$10)*100</f>
        <v>72.5</v>
      </c>
      <c r="AW90">
        <f>(U90/$U$10)*100</f>
        <v>65</v>
      </c>
      <c r="AX90">
        <f>(V90/$V$10)*100</f>
        <v>77.5</v>
      </c>
    </row>
    <row r="91">
      <c r="A91">
        <v>29</v>
      </c>
      <c r="B91" t="str">
        <f>INPUT!B91</f>
        <v>Zamora, Mika</v>
      </c>
      <c r="F91">
        <v>20</v>
      </c>
      <c r="G91">
        <v>20</v>
      </c>
      <c r="H91">
        <v>20</v>
      </c>
      <c r="I91">
        <v>20</v>
      </c>
      <c r="J91">
        <v>20</v>
      </c>
      <c r="K91">
        <f>IF(COUNT($F91:$J91)=0,"",SUM($F91:$J91))</f>
        <v>100</v>
      </c>
      <c r="L91">
        <f>IF(ISERROR(IF($K91="","",ROUND(($K91/$K$10)*$L$10,2))),"",IF($K91="","",ROUND(($K91/$K$10)*$L$10,2)))</f>
        <v>100</v>
      </c>
      <c r="M91">
        <f>IF($L91="","",ROUND($L91*$M$10,2))</f>
        <v>20</v>
      </c>
      <c r="N91">
        <v>50</v>
      </c>
      <c r="O91">
        <v>50</v>
      </c>
      <c r="P91">
        <v>50</v>
      </c>
      <c r="Q91">
        <f>IF(COUNT($N91:$P91)=0,"",SUM($N91:$P91))</f>
        <v>150</v>
      </c>
      <c r="R91">
        <f>IF(ISERROR(IF($Q91="","",ROUND(($Q91/$Q$10)*$R$10,2))),"",IF($Q91="","",ROUND(($Q91/$Q$10)*$R$10,2)))</f>
        <v>100</v>
      </c>
      <c r="S91">
        <f>IF($R91="","",ROUND($R91*$S$10,2))</f>
        <v>50</v>
      </c>
      <c r="T91">
        <v>33</v>
      </c>
      <c r="U91">
        <v>32</v>
      </c>
      <c r="V91">
        <v>34</v>
      </c>
      <c r="W91">
        <f>IF(COUNT($T91:$V91)=0,"",SUM($T91:$V91))</f>
        <v>99</v>
      </c>
      <c r="X91">
        <f>IF(ISERROR(IF($W91="","",ROUND(($W91/$W$10)*$X$10,2))),"",IF($W91="","",ROUND(($W91/$W$10)*$X$10,2)))</f>
        <v>82.5</v>
      </c>
      <c r="Y91">
        <f>IF($X91="","",ROUND($X91*$Y$10,2))</f>
        <v>24.75</v>
      </c>
      <c r="Z91">
        <f>IF(ISERROR(IF($V91="","",ROUND(SUM($M91,$S91,$Y91),2))),"",IF($V91="","",ROUND(SUM($M91,$S91,$Y91),2)))</f>
        <v>94.75</v>
      </c>
      <c r="AA91">
        <f>IF(ISERROR(IF($V91="","",VLOOKUP(Z91,NewTransmu,4,TRUE))),"",IF($V91="","",VLOOKUP(Z91,NewTransmu,4,TRUE)))</f>
        <v>96</v>
      </c>
      <c r="AB91" t="str">
        <f>IF(ISERROR(IF(AA91="","",VLOOKUP(AA91,DESCRIPTORS,4,TRUE))),"",IF(AA91="","",VLOOKUP(AA91,DESCRIPTORS,4,TRUE)))</f>
        <v>Advancing</v>
      </c>
      <c r="AV91">
        <f>(T91/$T$10)*100</f>
        <v>82.5</v>
      </c>
      <c r="AW91">
        <f>(U91/$U$10)*100</f>
        <v>80</v>
      </c>
      <c r="AX91">
        <f>(V91/$V$10)*100</f>
        <v>85</v>
      </c>
    </row>
    <row r="92">
      <c r="A92">
        <v>30</v>
      </c>
      <c r="B92" t="str">
        <f>INPUT!B92</f>
        <v>Zuniga, Nicole</v>
      </c>
      <c r="F92">
        <v>20</v>
      </c>
      <c r="G92">
        <v>20</v>
      </c>
      <c r="H92">
        <v>20</v>
      </c>
      <c r="I92">
        <v>20</v>
      </c>
      <c r="J92">
        <v>20</v>
      </c>
      <c r="K92">
        <f>IF(COUNT($F92:$J92)=0,"",SUM($F92:$J92))</f>
        <v>100</v>
      </c>
      <c r="L92">
        <f>IF(ISERROR(IF($K92="","",ROUND(($K92/$K$10)*$L$10,2))),"",IF($K92="","",ROUND(($K92/$K$10)*$L$10,2)))</f>
        <v>100</v>
      </c>
      <c r="M92">
        <f>IF($L92="","",ROUND($L92*$M$10,2))</f>
        <v>20</v>
      </c>
      <c r="N92">
        <v>50</v>
      </c>
      <c r="O92">
        <v>50</v>
      </c>
      <c r="P92">
        <v>50</v>
      </c>
      <c r="Q92">
        <f>IF(COUNT($N92:$P92)=0,"",SUM($N92:$P92))</f>
        <v>150</v>
      </c>
      <c r="R92">
        <f>IF(ISERROR(IF($Q92="","",ROUND(($Q92/$Q$10)*$R$10,2))),"",IF($Q92="","",ROUND(($Q92/$Q$10)*$R$10,2)))</f>
        <v>100</v>
      </c>
      <c r="S92">
        <f>IF($R92="","",ROUND($R92*$S$10,2))</f>
        <v>50</v>
      </c>
      <c r="T92">
        <v>36</v>
      </c>
      <c r="U92">
        <v>39</v>
      </c>
      <c r="V92">
        <v>40</v>
      </c>
      <c r="W92">
        <f>IF(COUNT($T92:$V92)=0,"",SUM($T92:$V92))</f>
        <v>115</v>
      </c>
      <c r="X92">
        <f>IF(ISERROR(IF($W92="","",ROUND(($W92/$W$10)*$X$10,2))),"",IF($W92="","",ROUND(($W92/$W$10)*$X$10,2)))</f>
        <v>95.83</v>
      </c>
      <c r="Y92">
        <f>IF($X92="","",ROUND($X92*$Y$10,2))</f>
        <v>28.75</v>
      </c>
      <c r="Z92">
        <f>IF(ISERROR(IF($V92="","",ROUND(SUM($M92,$S92,$Y92),2))),"",IF($V92="","",ROUND(SUM($M92,$S92,$Y92),2)))</f>
        <v>98.75</v>
      </c>
      <c r="AA92">
        <f>IF(ISERROR(IF($V92="","",VLOOKUP(Z92,NewTransmu,4,TRUE))),"",IF($V92="","",VLOOKUP(Z92,NewTransmu,4,TRUE)))</f>
        <v>99</v>
      </c>
      <c r="AB92" t="str">
        <f>IF(ISERROR(IF(AA92="","",VLOOKUP(AA92,DESCRIPTORS,4,TRUE))),"",IF(AA92="","",VLOOKUP(AA92,DESCRIPTORS,4,TRUE)))</f>
        <v>Advancing</v>
      </c>
      <c r="AV92">
        <f>(T92/$T$10)*100</f>
        <v>90</v>
      </c>
      <c r="AW92">
        <f>(U92/$U$10)*100</f>
        <v>97.5</v>
      </c>
      <c r="AX92">
        <f>(V92/$V$10)*100</f>
        <v>100</v>
      </c>
    </row>
    <row r="93">
      <c r="A93">
        <v>31</v>
      </c>
      <c r="B93" t="str">
        <f>INPUT!B93</f>
        <v>Abad, Patricia</v>
      </c>
      <c r="F93">
        <v>20</v>
      </c>
      <c r="G93">
        <v>20</v>
      </c>
      <c r="H93">
        <v>20</v>
      </c>
      <c r="I93">
        <v>20</v>
      </c>
      <c r="J93">
        <v>20</v>
      </c>
      <c r="K93">
        <f>IF(COUNT($F93:$J93)=0,"",SUM($F93:$J93))</f>
        <v>100</v>
      </c>
      <c r="L93">
        <f>IF(ISERROR(IF($K93="","",ROUND(($K93/$K$10)*$L$10,2))),"",IF($K93="","",ROUND(($K93/$K$10)*$L$10,2)))</f>
        <v>100</v>
      </c>
      <c r="M93">
        <f>IF($L93="","",ROUND($L93*$M$10,2))</f>
        <v>20</v>
      </c>
      <c r="N93">
        <v>50</v>
      </c>
      <c r="O93">
        <v>50</v>
      </c>
      <c r="P93">
        <v>50</v>
      </c>
      <c r="Q93">
        <f>IF(COUNT($N93:$P93)=0,"",SUM($N93:$P93))</f>
        <v>150</v>
      </c>
      <c r="R93">
        <f>IF(ISERROR(IF($Q93="","",ROUND(($Q93/$Q$10)*$R$10,2))),"",IF($Q93="","",ROUND(($Q93/$Q$10)*$R$10,2)))</f>
        <v>100</v>
      </c>
      <c r="S93">
        <f>IF($R93="","",ROUND($R93*$S$10,2))</f>
        <v>50</v>
      </c>
      <c r="T93">
        <v>35</v>
      </c>
      <c r="U93">
        <v>33</v>
      </c>
      <c r="V93">
        <v>34</v>
      </c>
      <c r="W93">
        <f>IF(COUNT($T93:$V93)=0,"",SUM($T93:$V93))</f>
        <v>102</v>
      </c>
      <c r="X93">
        <f>IF(ISERROR(IF($W93="","",ROUND(($W93/$W$10)*$X$10,2))),"",IF($W93="","",ROUND(($W93/$W$10)*$X$10,2)))</f>
        <v>85</v>
      </c>
      <c r="Y93">
        <f>IF($X93="","",ROUND($X93*$Y$10,2))</f>
        <v>25.5</v>
      </c>
      <c r="Z93">
        <f>IF(ISERROR(IF($V93="","",ROUND(SUM($M93,$S93,$Y93),2))),"",IF($V93="","",ROUND(SUM($M93,$S93,$Y93),2)))</f>
        <v>95.5</v>
      </c>
      <c r="AA93">
        <f>IF(ISERROR(IF($V93="","",VLOOKUP(Z93,NewTransmu,4,TRUE))),"",IF($V93="","",VLOOKUP(Z93,NewTransmu,4,TRUE)))</f>
        <v>97</v>
      </c>
      <c r="AB93" t="str">
        <f>IF(ISERROR(IF(AA93="","",VLOOKUP(AA93,DESCRIPTORS,4,TRUE))),"",IF(AA93="","",VLOOKUP(AA93,DESCRIPTORS,4,TRUE)))</f>
        <v>Advancing</v>
      </c>
      <c r="AV93">
        <f>(T93/$T$10)*100</f>
        <v>87.5</v>
      </c>
      <c r="AW93">
        <f>(U93/$U$10)*100</f>
        <v>82.5</v>
      </c>
      <c r="AX93">
        <f>(V93/$V$10)*100</f>
        <v>85</v>
      </c>
    </row>
    <row r="94">
      <c r="A94">
        <v>32</v>
      </c>
      <c r="B94" t="str">
        <f>INPUT!B94</f>
        <v>Agustin, Rachel</v>
      </c>
      <c r="F94">
        <v>20</v>
      </c>
      <c r="G94">
        <v>20</v>
      </c>
      <c r="H94">
        <v>20</v>
      </c>
      <c r="I94">
        <v>20</v>
      </c>
      <c r="J94">
        <v>20</v>
      </c>
      <c r="K94">
        <f>IF(COUNT($F94:$J94)=0,"",SUM($F94:$J94))</f>
        <v>100</v>
      </c>
      <c r="L94">
        <f>IF(ISERROR(IF($K94="","",ROUND(($K94/$K$10)*$L$10,2))),"",IF($K94="","",ROUND(($K94/$K$10)*$L$10,2)))</f>
        <v>100</v>
      </c>
      <c r="M94">
        <f>IF($L94="","",ROUND($L94*$M$10,2))</f>
        <v>20</v>
      </c>
      <c r="N94">
        <v>50</v>
      </c>
      <c r="O94">
        <v>50</v>
      </c>
      <c r="P94">
        <v>50</v>
      </c>
      <c r="Q94">
        <f>IF(COUNT($N94:$P94)=0,"",SUM($N94:$P94))</f>
        <v>150</v>
      </c>
      <c r="R94">
        <f>IF(ISERROR(IF($Q94="","",ROUND(($Q94/$Q$10)*$R$10,2))),"",IF($Q94="","",ROUND(($Q94/$Q$10)*$R$10,2)))</f>
        <v>100</v>
      </c>
      <c r="S94">
        <f>IF($R94="","",ROUND($R94*$S$10,2))</f>
        <v>50</v>
      </c>
      <c r="T94">
        <v>36</v>
      </c>
      <c r="U94">
        <v>39</v>
      </c>
      <c r="V94">
        <v>37</v>
      </c>
      <c r="W94">
        <f>IF(COUNT($T94:$V94)=0,"",SUM($T94:$V94))</f>
        <v>112</v>
      </c>
      <c r="X94">
        <f>IF(ISERROR(IF($W94="","",ROUND(($W94/$W$10)*$X$10,2))),"",IF($W94="","",ROUND(($W94/$W$10)*$X$10,2)))</f>
        <v>93.33</v>
      </c>
      <c r="Y94">
        <f>IF($X94="","",ROUND($X94*$Y$10,2))</f>
        <v>28</v>
      </c>
      <c r="Z94">
        <f>IF(ISERROR(IF($V94="","",ROUND(SUM($M94,$S94,$Y94),2))),"",IF($V94="","",ROUND(SUM($M94,$S94,$Y94),2)))</f>
        <v>98</v>
      </c>
      <c r="AA94">
        <f>IF(ISERROR(IF($V94="","",VLOOKUP(Z94,NewTransmu,4,TRUE))),"",IF($V94="","",VLOOKUP(Z94,NewTransmu,4,TRUE)))</f>
        <v>99</v>
      </c>
      <c r="AB94" t="str">
        <f>IF(ISERROR(IF(AA94="","",VLOOKUP(AA94,DESCRIPTORS,4,TRUE))),"",IF(AA94="","",VLOOKUP(AA94,DESCRIPTORS,4,TRUE)))</f>
        <v>Advancing</v>
      </c>
      <c r="AV94">
        <f>(T94/$T$10)*100</f>
        <v>90</v>
      </c>
      <c r="AW94">
        <f>(U94/$U$10)*100</f>
        <v>97.5</v>
      </c>
      <c r="AX94">
        <f>(V94/$V$10)*100</f>
        <v>92.5</v>
      </c>
    </row>
    <row r="95">
      <c r="A95">
        <v>33</v>
      </c>
      <c r="B95" t="str">
        <f>INPUT!B95</f>
        <v>Alvarez, Rebecca</v>
      </c>
      <c r="F95">
        <v>20</v>
      </c>
      <c r="G95">
        <v>20</v>
      </c>
      <c r="H95">
        <v>20</v>
      </c>
      <c r="I95">
        <v>20</v>
      </c>
      <c r="J95">
        <v>20</v>
      </c>
      <c r="K95">
        <f>IF(COUNT($F95:$J95)=0,"",SUM($F95:$J95))</f>
        <v>100</v>
      </c>
      <c r="L95">
        <f>IF(ISERROR(IF($K95="","",ROUND(($K95/$K$10)*$L$10,2))),"",IF($K95="","",ROUND(($K95/$K$10)*$L$10,2)))</f>
        <v>100</v>
      </c>
      <c r="M95">
        <f>IF($L95="","",ROUND($L95*$M$10,2))</f>
        <v>20</v>
      </c>
      <c r="N95">
        <v>50</v>
      </c>
      <c r="O95">
        <v>50</v>
      </c>
      <c r="P95">
        <v>50</v>
      </c>
      <c r="Q95">
        <f>IF(COUNT($N95:$P95)=0,"",SUM($N95:$P95))</f>
        <v>150</v>
      </c>
      <c r="R95">
        <f>IF(ISERROR(IF($Q95="","",ROUND(($Q95/$Q$10)*$R$10,2))),"",IF($Q95="","",ROUND(($Q95/$Q$10)*$R$10,2)))</f>
        <v>100</v>
      </c>
      <c r="S95">
        <f>IF($R95="","",ROUND($R95*$S$10,2))</f>
        <v>50</v>
      </c>
      <c r="T95">
        <v>35</v>
      </c>
      <c r="U95">
        <v>30</v>
      </c>
      <c r="V95">
        <v>34</v>
      </c>
      <c r="W95">
        <f>IF(COUNT($T95:$V95)=0,"",SUM($T95:$V95))</f>
        <v>99</v>
      </c>
      <c r="X95">
        <f>IF(ISERROR(IF($W95="","",ROUND(($W95/$W$10)*$X$10,2))),"",IF($W95="","",ROUND(($W95/$W$10)*$X$10,2)))</f>
        <v>82.5</v>
      </c>
      <c r="Y95">
        <f>IF($X95="","",ROUND($X95*$Y$10,2))</f>
        <v>24.75</v>
      </c>
      <c r="Z95">
        <f>IF(ISERROR(IF($V95="","",ROUND(SUM($M95,$S95,$Y95),2))),"",IF($V95="","",ROUND(SUM($M95,$S95,$Y95),2)))</f>
        <v>94.75</v>
      </c>
      <c r="AA95">
        <f>IF(ISERROR(IF($V95="","",VLOOKUP(Z95,NewTransmu,4,TRUE))),"",IF($V95="","",VLOOKUP(Z95,NewTransmu,4,TRUE)))</f>
        <v>96</v>
      </c>
      <c r="AB95" t="str">
        <f>IF(ISERROR(IF(AA95="","",VLOOKUP(AA95,DESCRIPTORS,4,TRUE))),"",IF(AA95="","",VLOOKUP(AA95,DESCRIPTORS,4,TRUE)))</f>
        <v>Advancing</v>
      </c>
      <c r="AV95">
        <f>(T95/$T$10)*100</f>
        <v>87.5</v>
      </c>
      <c r="AW95">
        <f>(U95/$U$10)*100</f>
        <v>75</v>
      </c>
      <c r="AX95">
        <f>(V95/$V$10)*100</f>
        <v>85</v>
      </c>
    </row>
    <row r="96">
      <c r="A96">
        <v>34</v>
      </c>
      <c r="B96" t="str">
        <f>INPUT!B96</f>
        <v>Aquino, Rhea</v>
      </c>
      <c r="F96">
        <v>20</v>
      </c>
      <c r="G96">
        <v>20</v>
      </c>
      <c r="H96">
        <v>20</v>
      </c>
      <c r="I96">
        <v>20</v>
      </c>
      <c r="J96">
        <v>20</v>
      </c>
      <c r="K96">
        <f>IF(COUNT($F96:$J96)=0,"",SUM($F96:$J96))</f>
        <v>100</v>
      </c>
      <c r="L96">
        <f>IF(ISERROR(IF($K96="","",ROUND(($K96/$K$10)*$L$10,2))),"",IF($K96="","",ROUND(($K96/$K$10)*$L$10,2)))</f>
        <v>100</v>
      </c>
      <c r="M96">
        <f>IF($L96="","",ROUND($L96*$M$10,2))</f>
        <v>20</v>
      </c>
      <c r="N96">
        <v>50</v>
      </c>
      <c r="O96">
        <v>50</v>
      </c>
      <c r="P96">
        <v>50</v>
      </c>
      <c r="Q96">
        <f>IF(COUNT($N96:$P96)=0,"",SUM($N96:$P96))</f>
        <v>150</v>
      </c>
      <c r="R96">
        <f>IF(ISERROR(IF($Q96="","",ROUND(($Q96/$Q$10)*$R$10,2))),"",IF($Q96="","",ROUND(($Q96/$Q$10)*$R$10,2)))</f>
        <v>100</v>
      </c>
      <c r="S96">
        <f>IF($R96="","",ROUND($R96*$S$10,2))</f>
        <v>50</v>
      </c>
      <c r="T96">
        <v>38</v>
      </c>
      <c r="U96">
        <v>37</v>
      </c>
      <c r="V96">
        <v>36</v>
      </c>
      <c r="W96">
        <f>IF(COUNT($T96:$V96)=0,"",SUM($T96:$V96))</f>
        <v>111</v>
      </c>
      <c r="X96">
        <f>IF(ISERROR(IF($W96="","",ROUND(($W96/$W$10)*$X$10,2))),"",IF($W96="","",ROUND(($W96/$W$10)*$X$10,2)))</f>
        <v>92.5</v>
      </c>
      <c r="Y96">
        <f>IF($X96="","",ROUND($X96*$Y$10,2))</f>
        <v>27.75</v>
      </c>
      <c r="Z96">
        <f>IF(ISERROR(IF($V96="","",ROUND(SUM($M96,$S96,$Y96),2))),"",IF($V96="","",ROUND(SUM($M96,$S96,$Y96),2)))</f>
        <v>97.75</v>
      </c>
      <c r="AA96">
        <f>IF(ISERROR(IF($V96="","",VLOOKUP(Z96,NewTransmu,4,TRUE))),"",IF($V96="","",VLOOKUP(Z96,NewTransmu,4,TRUE)))</f>
        <v>99</v>
      </c>
      <c r="AB96" t="str">
        <f>IF(ISERROR(IF(AA96="","",VLOOKUP(AA96,DESCRIPTORS,4,TRUE))),"",IF(AA96="","",VLOOKUP(AA96,DESCRIPTORS,4,TRUE)))</f>
        <v>Advancing</v>
      </c>
      <c r="AV96">
        <f>(T96/$T$10)*100</f>
        <v>95</v>
      </c>
      <c r="AW96">
        <f>(U96/$U$10)*100</f>
        <v>92.5</v>
      </c>
      <c r="AX96">
        <f>(V96/$V$10)*100</f>
        <v>90</v>
      </c>
    </row>
    <row r="97">
      <c r="A97">
        <v>35</v>
      </c>
      <c r="B97" t="str">
        <f>INPUT!B97</f>
        <v>Arceo, Samantha</v>
      </c>
      <c r="F97">
        <v>20</v>
      </c>
      <c r="G97">
        <v>20</v>
      </c>
      <c r="H97">
        <v>20</v>
      </c>
      <c r="I97">
        <v>20</v>
      </c>
      <c r="J97">
        <v>20</v>
      </c>
      <c r="K97">
        <f>IF(COUNT($F97:$J97)=0,"",SUM($F97:$J97))</f>
        <v>100</v>
      </c>
      <c r="L97">
        <f>IF(ISERROR(IF($K97="","",ROUND(($K97/$K$10)*$L$10,2))),"",IF($K97="","",ROUND(($K97/$K$10)*$L$10,2)))</f>
        <v>100</v>
      </c>
      <c r="M97">
        <f>IF($L97="","",ROUND($L97*$M$10,2))</f>
        <v>20</v>
      </c>
      <c r="N97">
        <v>50</v>
      </c>
      <c r="O97">
        <v>50</v>
      </c>
      <c r="P97">
        <v>50</v>
      </c>
      <c r="Q97">
        <f>IF(COUNT($N97:$P97)=0,"",SUM($N97:$P97))</f>
        <v>150</v>
      </c>
      <c r="R97">
        <f>IF(ISERROR(IF($Q97="","",ROUND(($Q97/$Q$10)*$R$10,2))),"",IF($Q97="","",ROUND(($Q97/$Q$10)*$R$10,2)))</f>
        <v>100</v>
      </c>
      <c r="S97">
        <f>IF($R97="","",ROUND($R97*$S$10,2))</f>
        <v>50</v>
      </c>
      <c r="T97">
        <v>39</v>
      </c>
      <c r="U97">
        <v>36</v>
      </c>
      <c r="V97">
        <v>39</v>
      </c>
      <c r="W97">
        <f>IF(COUNT($T97:$V97)=0,"",SUM($T97:$V97))</f>
        <v>114</v>
      </c>
      <c r="X97">
        <f>IF(ISERROR(IF($W97="","",ROUND(($W97/$W$10)*$X$10,2))),"",IF($W97="","",ROUND(($W97/$W$10)*$X$10,2)))</f>
        <v>95</v>
      </c>
      <c r="Y97">
        <f>IF($X97="","",ROUND($X97*$Y$10,2))</f>
        <v>28.5</v>
      </c>
      <c r="Z97">
        <f>IF(ISERROR(IF($V97="","",ROUND(SUM($M97,$S97,$Y97),2))),"",IF($V97="","",ROUND(SUM($M97,$S97,$Y97),2)))</f>
        <v>98.5</v>
      </c>
      <c r="AA97">
        <f>IF(ISERROR(IF($V97="","",VLOOKUP(Z97,NewTransmu,4,TRUE))),"",IF($V97="","",VLOOKUP(Z97,NewTransmu,4,TRUE)))</f>
        <v>99</v>
      </c>
      <c r="AB97" t="str">
        <f>IF(ISERROR(IF(AA97="","",VLOOKUP(AA97,DESCRIPTORS,4,TRUE))),"",IF(AA97="","",VLOOKUP(AA97,DESCRIPTORS,4,TRUE)))</f>
        <v>Advancing</v>
      </c>
      <c r="AV97">
        <f>(T97/$T$10)*100</f>
        <v>97.5</v>
      </c>
      <c r="AW97">
        <f>(U97/$U$10)*100</f>
        <v>90</v>
      </c>
      <c r="AX97">
        <f>(V97/$V$10)*100</f>
        <v>97.5</v>
      </c>
    </row>
    <row r="98">
      <c r="A98">
        <v>36</v>
      </c>
      <c r="B98" t="str">
        <f>INPUT!B98</f>
        <v>Arellano, Sofia</v>
      </c>
      <c r="F98">
        <v>20</v>
      </c>
      <c r="G98">
        <v>20</v>
      </c>
      <c r="H98">
        <v>20</v>
      </c>
      <c r="I98">
        <v>20</v>
      </c>
      <c r="J98">
        <v>20</v>
      </c>
      <c r="K98">
        <f>IF(COUNT($F98:$J98)=0,"",SUM($F98:$J98))</f>
        <v>100</v>
      </c>
      <c r="L98">
        <f>IF(ISERROR(IF($K98="","",ROUND(($K98/$K$10)*$L$10,2))),"",IF($K98="","",ROUND(($K98/$K$10)*$L$10,2)))</f>
        <v>100</v>
      </c>
      <c r="M98">
        <f>IF($L98="","",ROUND($L98*$M$10,2))</f>
        <v>20</v>
      </c>
      <c r="N98">
        <v>50</v>
      </c>
      <c r="O98">
        <v>50</v>
      </c>
      <c r="P98">
        <v>50</v>
      </c>
      <c r="Q98">
        <f>IF(COUNT($N98:$P98)=0,"",SUM($N98:$P98))</f>
        <v>150</v>
      </c>
      <c r="R98">
        <f>IF(ISERROR(IF($Q98="","",ROUND(($Q98/$Q$10)*$R$10,2))),"",IF($Q98="","",ROUND(($Q98/$Q$10)*$R$10,2)))</f>
        <v>100</v>
      </c>
      <c r="S98">
        <f>IF($R98="","",ROUND($R98*$S$10,2))</f>
        <v>50</v>
      </c>
      <c r="T98">
        <v>36</v>
      </c>
      <c r="U98">
        <v>39</v>
      </c>
      <c r="V98">
        <v>38</v>
      </c>
      <c r="W98">
        <f>IF(COUNT($T98:$V98)=0,"",SUM($T98:$V98))</f>
        <v>113</v>
      </c>
      <c r="X98">
        <f>IF(ISERROR(IF($W98="","",ROUND(($W98/$W$10)*$X$10,2))),"",IF($W98="","",ROUND(($W98/$W$10)*$X$10,2)))</f>
        <v>94.17</v>
      </c>
      <c r="Y98">
        <f>IF($X98="","",ROUND($X98*$Y$10,2))</f>
        <v>28.25</v>
      </c>
      <c r="Z98">
        <f>IF(ISERROR(IF($V98="","",ROUND(SUM($M98,$S98,$Y98),2))),"",IF($V98="","",ROUND(SUM($M98,$S98,$Y98),2)))</f>
        <v>98.25</v>
      </c>
      <c r="AA98">
        <f>IF(ISERROR(IF($V98="","",VLOOKUP(Z98,NewTransmu,4,TRUE))),"",IF($V98="","",VLOOKUP(Z98,NewTransmu,4,TRUE)))</f>
        <v>99</v>
      </c>
      <c r="AB98" t="str">
        <f>IF(ISERROR(IF(AA98="","",VLOOKUP(AA98,DESCRIPTORS,4,TRUE))),"",IF(AA98="","",VLOOKUP(AA98,DESCRIPTORS,4,TRUE)))</f>
        <v>Advancing</v>
      </c>
      <c r="AV98">
        <f>(T98/$T$10)*100</f>
        <v>90</v>
      </c>
      <c r="AW98">
        <f>(U98/$U$10)*100</f>
        <v>97.5</v>
      </c>
      <c r="AX98">
        <f>(V98/$V$10)*100</f>
        <v>95</v>
      </c>
    </row>
    <row r="99">
      <c r="A99">
        <v>37</v>
      </c>
      <c r="B99" t="str">
        <f>INPUT!B99</f>
        <v>Barrera, Sophia</v>
      </c>
      <c r="F99">
        <v>20</v>
      </c>
      <c r="G99">
        <v>20</v>
      </c>
      <c r="H99">
        <v>20</v>
      </c>
      <c r="I99">
        <v>20</v>
      </c>
      <c r="J99">
        <v>20</v>
      </c>
      <c r="K99">
        <f>IF(COUNT($F99:$J99)=0,"",SUM($F99:$J99))</f>
        <v>100</v>
      </c>
      <c r="L99">
        <f>IF(ISERROR(IF($K99="","",ROUND(($K99/$K$10)*$L$10,2))),"",IF($K99="","",ROUND(($K99/$K$10)*$L$10,2)))</f>
        <v>100</v>
      </c>
      <c r="M99">
        <f>IF($L99="","",ROUND($L99*$M$10,2))</f>
        <v>20</v>
      </c>
      <c r="N99">
        <v>50</v>
      </c>
      <c r="O99">
        <v>50</v>
      </c>
      <c r="P99">
        <v>50</v>
      </c>
      <c r="Q99">
        <f>IF(COUNT($N99:$P99)=0,"",SUM($N99:$P99))</f>
        <v>150</v>
      </c>
      <c r="R99">
        <f>IF(ISERROR(IF($Q99="","",ROUND(($Q99/$Q$10)*$R$10,2))),"",IF($Q99="","",ROUND(($Q99/$Q$10)*$R$10,2)))</f>
        <v>100</v>
      </c>
      <c r="S99">
        <f>IF($R99="","",ROUND($R99*$S$10,2))</f>
        <v>50</v>
      </c>
      <c r="T99">
        <v>33</v>
      </c>
      <c r="U99">
        <v>35</v>
      </c>
      <c r="V99">
        <v>32</v>
      </c>
      <c r="W99">
        <f>IF(COUNT($T99:$V99)=0,"",SUM($T99:$V99))</f>
        <v>100</v>
      </c>
      <c r="X99">
        <f>IF(ISERROR(IF($W99="","",ROUND(($W99/$W$10)*$X$10,2))),"",IF($W99="","",ROUND(($W99/$W$10)*$X$10,2)))</f>
        <v>83.33</v>
      </c>
      <c r="Y99">
        <f>IF($X99="","",ROUND($X99*$Y$10,2))</f>
        <v>25</v>
      </c>
      <c r="Z99">
        <f>IF(ISERROR(IF($V99="","",ROUND(SUM($M99,$S99,$Y99),2))),"",IF($V99="","",ROUND(SUM($M99,$S99,$Y99),2)))</f>
        <v>95</v>
      </c>
      <c r="AA99">
        <f>IF(ISERROR(IF($V99="","",VLOOKUP(Z99,NewTransmu,4,TRUE))),"",IF($V99="","",VLOOKUP(Z99,NewTransmu,4,TRUE)))</f>
        <v>97</v>
      </c>
      <c r="AB99" t="str">
        <f>IF(ISERROR(IF(AA99="","",VLOOKUP(AA99,DESCRIPTORS,4,TRUE))),"",IF(AA99="","",VLOOKUP(AA99,DESCRIPTORS,4,TRUE)))</f>
        <v>Advancing</v>
      </c>
      <c r="AV99">
        <f>(T99/$T$10)*100</f>
        <v>82.5</v>
      </c>
      <c r="AW99">
        <f>(U99/$U$10)*100</f>
        <v>87.5</v>
      </c>
      <c r="AX99">
        <f>(V99/$V$10)*100</f>
        <v>80</v>
      </c>
    </row>
    <row r="100">
      <c r="A100">
        <v>38</v>
      </c>
      <c r="B100" t="str">
        <f>INPUT!B100</f>
        <v>Cabral, Therese</v>
      </c>
      <c r="F100">
        <v>20</v>
      </c>
      <c r="G100">
        <v>20</v>
      </c>
      <c r="H100">
        <v>20</v>
      </c>
      <c r="I100">
        <v>20</v>
      </c>
      <c r="J100">
        <v>20</v>
      </c>
      <c r="K100">
        <f>IF(COUNT($F100:$J100)=0,"",SUM($F100:$J100))</f>
        <v>100</v>
      </c>
      <c r="L100">
        <f>IF(ISERROR(IF($K100="","",ROUND(($K100/$K$10)*$L$10,2))),"",IF($K100="","",ROUND(($K100/$K$10)*$L$10,2)))</f>
        <v>100</v>
      </c>
      <c r="M100">
        <f>IF($L100="","",ROUND($L100*$M$10,2))</f>
        <v>20</v>
      </c>
      <c r="N100">
        <v>50</v>
      </c>
      <c r="O100">
        <v>50</v>
      </c>
      <c r="P100">
        <v>50</v>
      </c>
      <c r="Q100">
        <f>IF(COUNT($N100:$P100)=0,"",SUM($N100:$P100))</f>
        <v>150</v>
      </c>
      <c r="R100">
        <f>IF(ISERROR(IF($Q100="","",ROUND(($Q100/$Q$10)*$R$10,2))),"",IF($Q100="","",ROUND(($Q100/$Q$10)*$R$10,2)))</f>
        <v>100</v>
      </c>
      <c r="S100">
        <f>IF($R100="","",ROUND($R100*$S$10,2))</f>
        <v>50</v>
      </c>
      <c r="T100">
        <v>33</v>
      </c>
      <c r="U100">
        <v>31</v>
      </c>
      <c r="V100">
        <v>33</v>
      </c>
      <c r="W100">
        <f>IF(COUNT($T100:$V100)=0,"",SUM($T100:$V100))</f>
        <v>97</v>
      </c>
      <c r="X100">
        <f>IF(ISERROR(IF($W100="","",ROUND(($W100/$W$10)*$X$10,2))),"",IF($W100="","",ROUND(($W100/$W$10)*$X$10,2)))</f>
        <v>80.83</v>
      </c>
      <c r="Y100">
        <f>IF($X100="","",ROUND($X100*$Y$10,2))</f>
        <v>24.25</v>
      </c>
      <c r="Z100">
        <f>IF(ISERROR(IF($V100="","",ROUND(SUM($M100,$S100,$Y100),2))),"",IF($V100="","",ROUND(SUM($M100,$S100,$Y100),2)))</f>
        <v>94.25</v>
      </c>
      <c r="AA100">
        <f>IF(ISERROR(IF($V100="","",VLOOKUP(Z100,NewTransmu,4,TRUE))),"",IF($V100="","",VLOOKUP(Z100,NewTransmu,4,TRUE)))</f>
        <v>96</v>
      </c>
      <c r="AB100" t="str">
        <f>IF(ISERROR(IF(AA100="","",VLOOKUP(AA100,DESCRIPTORS,4,TRUE))),"",IF(AA100="","",VLOOKUP(AA100,DESCRIPTORS,4,TRUE)))</f>
        <v>Advancing</v>
      </c>
      <c r="AV100">
        <f>(T100/$T$10)*100</f>
        <v>82.5</v>
      </c>
      <c r="AW100">
        <f>(U100/$U$10)*100</f>
        <v>77.5</v>
      </c>
      <c r="AX100">
        <f>(V100/$V$10)*100</f>
        <v>82.5</v>
      </c>
    </row>
    <row r="101">
      <c r="A101">
        <v>39</v>
      </c>
      <c r="B101" t="str">
        <f>INPUT!B101</f>
        <v>David, Trisha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f>IF(COUNT($F101:$J101)=0,"",SUM($F101:$J101))</f>
        <v>100</v>
      </c>
      <c r="L101">
        <f>IF(ISERROR(IF($K101="","",ROUND(($K101/$K$10)*$L$10,2))),"",IF($K101="","",ROUND(($K101/$K$10)*$L$10,2)))</f>
        <v>100</v>
      </c>
      <c r="M101">
        <f>IF($L101="","",ROUND($L101*$M$10,2))</f>
        <v>20</v>
      </c>
      <c r="N101">
        <v>50</v>
      </c>
      <c r="O101">
        <v>50</v>
      </c>
      <c r="P101">
        <v>50</v>
      </c>
      <c r="Q101">
        <f>IF(COUNT($N101:$P101)=0,"",SUM($N101:$P101))</f>
        <v>150</v>
      </c>
      <c r="R101">
        <f>IF(ISERROR(IF($Q101="","",ROUND(($Q101/$Q$10)*$R$10,2))),"",IF($Q101="","",ROUND(($Q101/$Q$10)*$R$10,2)))</f>
        <v>100</v>
      </c>
      <c r="S101">
        <f>IF($R101="","",ROUND($R101*$S$10,2))</f>
        <v>50</v>
      </c>
      <c r="T101">
        <v>25</v>
      </c>
      <c r="U101">
        <v>25</v>
      </c>
      <c r="V101">
        <v>27</v>
      </c>
      <c r="W101">
        <f>IF(COUNT($T101:$V101)=0,"",SUM($T101:$V101))</f>
        <v>77</v>
      </c>
      <c r="X101">
        <f>IF(ISERROR(IF($W101="","",ROUND(($W101/$W$10)*$X$10,2))),"",IF($W101="","",ROUND(($W101/$W$10)*$X$10,2)))</f>
        <v>64.17</v>
      </c>
      <c r="Y101">
        <f>IF($X101="","",ROUND($X101*$Y$10,2))</f>
        <v>19.25</v>
      </c>
      <c r="Z101">
        <f>IF(ISERROR(IF($V101="","",ROUND(SUM($M101,$S101,$Y101),2))),"",IF($V101="","",ROUND(SUM($M101,$S101,$Y101),2)))</f>
        <v>89.25</v>
      </c>
      <c r="AA101">
        <f>IF(ISERROR(IF($V101="","",VLOOKUP(Z101,NewTransmu,4,TRUE))),"",IF($V101="","",VLOOKUP(Z101,NewTransmu,4,TRUE)))</f>
        <v>91</v>
      </c>
      <c r="AB101" t="str">
        <f>IF(ISERROR(IF(AA101="","",VLOOKUP(AA101,DESCRIPTORS,4,TRUE))),"",IF(AA101="","",VLOOKUP(AA101,DESCRIPTORS,4,TRUE)))</f>
        <v>Advancing</v>
      </c>
      <c r="AV101">
        <f>(T101/$T$10)*100</f>
        <v>62.5</v>
      </c>
      <c r="AW101">
        <f>(U101/$U$10)*100</f>
        <v>62.5</v>
      </c>
      <c r="AX101">
        <f>(V101/$V$10)*100</f>
        <v>67.5</v>
      </c>
    </row>
    <row r="102">
      <c r="A102">
        <v>40</v>
      </c>
      <c r="B102" t="str">
        <f>INPUT!B102</f>
        <v>Escobar, Valerie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f>IF(COUNT($F102:$J102)=0,"",SUM($F102:$J102))</f>
        <v>100</v>
      </c>
      <c r="L102">
        <f>IF(ISERROR(IF($K102="","",ROUND(($K102/$K$10)*$L$10,2))),"",IF($K102="","",ROUND(($K102/$K$10)*$L$10,2)))</f>
        <v>100</v>
      </c>
      <c r="M102">
        <f>IF($L102="","",ROUND($L102*$M$10,2))</f>
        <v>20</v>
      </c>
      <c r="N102">
        <v>50</v>
      </c>
      <c r="O102">
        <v>50</v>
      </c>
      <c r="P102">
        <v>50</v>
      </c>
      <c r="Q102">
        <f>IF(COUNT($N102:$P102)=0,"",SUM($N102:$P102))</f>
        <v>150</v>
      </c>
      <c r="R102">
        <f>IF(ISERROR(IF($Q102="","",ROUND(($Q102/$Q$10)*$R$10,2))),"",IF($Q102="","",ROUND(($Q102/$Q$10)*$R$10,2)))</f>
        <v>100</v>
      </c>
      <c r="S102">
        <f>IF($R102="","",ROUND($R102*$S$10,2))</f>
        <v>50</v>
      </c>
      <c r="T102">
        <v>34</v>
      </c>
      <c r="U102">
        <v>34</v>
      </c>
      <c r="V102">
        <v>36</v>
      </c>
      <c r="W102">
        <f>IF(COUNT($T102:$V102)=0,"",SUM($T102:$V102))</f>
        <v>104</v>
      </c>
      <c r="X102">
        <f>IF(ISERROR(IF($W102="","",ROUND(($W102/$W$10)*$X$10,2))),"",IF($W102="","",ROUND(($W102/$W$10)*$X$10,2)))</f>
        <v>86.67</v>
      </c>
      <c r="Y102">
        <f>IF($X102="","",ROUND($X102*$Y$10,2))</f>
        <v>26</v>
      </c>
      <c r="Z102">
        <f>IF(ISERROR(IF($V102="","",ROUND(SUM($M102,$S102,$Y102),2))),"",IF($V102="","",ROUND(SUM($M102,$S102,$Y102),2)))</f>
        <v>96</v>
      </c>
      <c r="AA102">
        <f>IF(ISERROR(IF($V102="","",VLOOKUP(Z102,NewTransmu,4,TRUE))),"",IF($V102="","",VLOOKUP(Z102,NewTransmu,4,TRUE)))</f>
        <v>98</v>
      </c>
      <c r="AB102" t="str">
        <f>IF(ISERROR(IF(AA102="","",VLOOKUP(AA102,DESCRIPTORS,4,TRUE))),"",IF(AA102="","",VLOOKUP(AA102,DESCRIPTORS,4,TRUE)))</f>
        <v>Advancing</v>
      </c>
      <c r="AV102">
        <f>(T102/$T$10)*100</f>
        <v>85</v>
      </c>
      <c r="AW102">
        <f>(U102/$U$10)*100</f>
        <v>85</v>
      </c>
      <c r="AX102">
        <f>(V102/$V$10)*100</f>
        <v>90</v>
      </c>
    </row>
    <row r="103">
      <c r="A103">
        <v>41</v>
      </c>
      <c r="B103" t="str">
        <f>INPUT!B103</f>
        <v>Aguilar, Vanessa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f>IF(COUNT($F103:$J103)=0,"",SUM($F103:$J103))</f>
        <v>100</v>
      </c>
      <c r="L103">
        <f>IF(ISERROR(IF($K103="","",ROUND(($K103/$K$10)*$L$10,2))),"",IF($K103="","",ROUND(($K103/$K$10)*$L$10,2)))</f>
        <v>100</v>
      </c>
      <c r="M103">
        <f>IF($L103="","",ROUND($L103*$M$10,2))</f>
        <v>20</v>
      </c>
      <c r="N103">
        <v>50</v>
      </c>
      <c r="O103">
        <v>50</v>
      </c>
      <c r="P103">
        <v>50</v>
      </c>
      <c r="Q103">
        <f>IF(COUNT($N103:$P103)=0,"",SUM($N103:$P103))</f>
        <v>150</v>
      </c>
      <c r="R103">
        <f>IF(ISERROR(IF($Q103="","",ROUND(($Q103/$Q$10)*$R$10,2))),"",IF($Q103="","",ROUND(($Q103/$Q$10)*$R$10,2)))</f>
        <v>100</v>
      </c>
      <c r="S103">
        <f>IF($R103="","",ROUND($R103*$S$10,2))</f>
        <v>50</v>
      </c>
      <c r="T103">
        <v>34</v>
      </c>
      <c r="U103">
        <v>34</v>
      </c>
      <c r="V103">
        <v>37</v>
      </c>
      <c r="W103">
        <f>IF(COUNT($T103:$V103)=0,"",SUM($T103:$V103))</f>
        <v>105</v>
      </c>
      <c r="X103">
        <f>IF(ISERROR(IF($W103="","",ROUND(($W103/$W$10)*$X$10,2))),"",IF($W103="","",ROUND(($W103/$W$10)*$X$10,2)))</f>
        <v>87.5</v>
      </c>
      <c r="Y103">
        <f>IF($X103="","",ROUND($X103*$Y$10,2))</f>
        <v>26.25</v>
      </c>
      <c r="Z103">
        <f>IF(ISERROR(IF($V103="","",ROUND(SUM($M103,$S103,$Y103),2))),"",IF($V103="","",ROUND(SUM($M103,$S103,$Y103),2)))</f>
        <v>96.25</v>
      </c>
      <c r="AA103">
        <f>IF(ISERROR(IF($V103="","",VLOOKUP(Z103,NewTransmu,4,TRUE))),"",IF($V103="","",VLOOKUP(Z103,NewTransmu,4,TRUE)))</f>
        <v>98</v>
      </c>
      <c r="AB103" t="str">
        <f>IF(ISERROR(IF(AA103="","",VLOOKUP(AA103,DESCRIPTORS,4,TRUE))),"",IF(AA103="","",VLOOKUP(AA103,DESCRIPTORS,4,TRUE)))</f>
        <v>Advancing</v>
      </c>
      <c r="AV103">
        <f>(T103/$T$10)*100</f>
        <v>85</v>
      </c>
      <c r="AW103">
        <f>(U103/$U$10)*100</f>
        <v>85</v>
      </c>
      <c r="AX103">
        <f>(V103/$V$10)*100</f>
        <v>92.5</v>
      </c>
    </row>
    <row r="104">
      <c r="A104">
        <v>42</v>
      </c>
      <c r="B104" t="str">
        <f>INPUT!B104</f>
        <v>Alcantara, Veronica</v>
      </c>
      <c r="F104">
        <v>20</v>
      </c>
      <c r="G104">
        <v>20</v>
      </c>
      <c r="H104">
        <v>20</v>
      </c>
      <c r="I104">
        <v>20</v>
      </c>
      <c r="J104">
        <v>20</v>
      </c>
      <c r="K104">
        <f>IF(COUNT($F104:$J104)=0,"",SUM($F104:$J104))</f>
        <v>100</v>
      </c>
      <c r="L104">
        <f>IF(ISERROR(IF($K104="","",ROUND(($K104/$K$10)*$L$10,2))),"",IF($K104="","",ROUND(($K104/$K$10)*$L$10,2)))</f>
        <v>100</v>
      </c>
      <c r="M104">
        <f>IF($L104="","",ROUND($L104*$M$10,2))</f>
        <v>20</v>
      </c>
      <c r="N104">
        <v>50</v>
      </c>
      <c r="O104">
        <v>50</v>
      </c>
      <c r="P104">
        <v>50</v>
      </c>
      <c r="Q104">
        <f>IF(COUNT($N104:$P104)=0,"",SUM($N104:$P104))</f>
        <v>150</v>
      </c>
      <c r="R104">
        <f>IF(ISERROR(IF($Q104="","",ROUND(($Q104/$Q$10)*$R$10,2))),"",IF($Q104="","",ROUND(($Q104/$Q$10)*$R$10,2)))</f>
        <v>100</v>
      </c>
      <c r="S104">
        <f>IF($R104="","",ROUND($R104*$S$10,2))</f>
        <v>50</v>
      </c>
      <c r="T104">
        <v>39</v>
      </c>
      <c r="U104">
        <v>35</v>
      </c>
      <c r="V104">
        <v>40</v>
      </c>
      <c r="W104">
        <f>IF(COUNT($T104:$V104)=0,"",SUM($T104:$V104))</f>
        <v>114</v>
      </c>
      <c r="X104">
        <f>IF(ISERROR(IF($W104="","",ROUND(($W104/$W$10)*$X$10,2))),"",IF($W104="","",ROUND(($W104/$W$10)*$X$10,2)))</f>
        <v>95</v>
      </c>
      <c r="Y104">
        <f>IF($X104="","",ROUND($X104*$Y$10,2))</f>
        <v>28.5</v>
      </c>
      <c r="Z104">
        <f>IF(ISERROR(IF($V104="","",ROUND(SUM($M104,$S104,$Y104),2))),"",IF($V104="","",ROUND(SUM($M104,$S104,$Y104),2)))</f>
        <v>98.5</v>
      </c>
      <c r="AA104">
        <f>IF(ISERROR(IF($V104="","",VLOOKUP(Z104,NewTransmu,4,TRUE))),"",IF($V104="","",VLOOKUP(Z104,NewTransmu,4,TRUE)))</f>
        <v>99</v>
      </c>
      <c r="AB104" t="str">
        <f>IF(ISERROR(IF(AA104="","",VLOOKUP(AA104,DESCRIPTORS,4,TRUE))),"",IF(AA104="","",VLOOKUP(AA104,DESCRIPTORS,4,TRUE)))</f>
        <v>Advancing</v>
      </c>
      <c r="AV104">
        <f>(T104/$T$10)*100</f>
        <v>97.5</v>
      </c>
      <c r="AW104">
        <f>(U104/$U$10)*100</f>
        <v>87.5</v>
      </c>
      <c r="AX104">
        <f>(V104/$V$10)*100</f>
        <v>100</v>
      </c>
    </row>
    <row r="105">
      <c r="A105">
        <v>43</v>
      </c>
      <c r="B105" t="str">
        <f>INPUT!B105</f>
        <v>Andrada, Victoria</v>
      </c>
      <c r="F105">
        <v>20</v>
      </c>
      <c r="G105">
        <v>20</v>
      </c>
      <c r="H105">
        <v>20</v>
      </c>
      <c r="I105">
        <v>20</v>
      </c>
      <c r="J105">
        <v>20</v>
      </c>
      <c r="K105">
        <f>IF(COUNT($F105:$J105)=0,"",SUM($F105:$J105))</f>
        <v>100</v>
      </c>
      <c r="L105">
        <f>IF(ISERROR(IF($K105="","",ROUND(($K105/$K$10)*$L$10,2))),"",IF($K105="","",ROUND(($K105/$K$10)*$L$10,2)))</f>
        <v>100</v>
      </c>
      <c r="M105">
        <f>IF($L105="","",ROUND($L105*$M$10,2))</f>
        <v>20</v>
      </c>
      <c r="N105">
        <v>50</v>
      </c>
      <c r="O105">
        <v>50</v>
      </c>
      <c r="P105">
        <v>50</v>
      </c>
      <c r="Q105">
        <f>IF(COUNT($N105:$P105)=0,"",SUM($N105:$P105))</f>
        <v>150</v>
      </c>
      <c r="R105">
        <f>IF(ISERROR(IF($Q105="","",ROUND(($Q105/$Q$10)*$R$10,2))),"",IF($Q105="","",ROUND(($Q105/$Q$10)*$R$10,2)))</f>
        <v>100</v>
      </c>
      <c r="S105">
        <f>IF($R105="","",ROUND($R105*$S$10,2))</f>
        <v>50</v>
      </c>
      <c r="T105">
        <v>31</v>
      </c>
      <c r="U105">
        <v>31</v>
      </c>
      <c r="V105">
        <v>33</v>
      </c>
      <c r="W105">
        <f>IF(COUNT($T105:$V105)=0,"",SUM($T105:$V105))</f>
        <v>95</v>
      </c>
      <c r="X105">
        <f>IF(ISERROR(IF($W105="","",ROUND(($W105/$W$10)*$X$10,2))),"",IF($W105="","",ROUND(($W105/$W$10)*$X$10,2)))</f>
        <v>79.17</v>
      </c>
      <c r="Y105">
        <f>IF($X105="","",ROUND($X105*$Y$10,2))</f>
        <v>23.75</v>
      </c>
      <c r="Z105">
        <f>IF(ISERROR(IF($V105="","",ROUND(SUM($M105,$S105,$Y105),2))),"",IF($V105="","",ROUND(SUM($M105,$S105,$Y105),2)))</f>
        <v>93.75</v>
      </c>
      <c r="AA105">
        <f>IF(ISERROR(IF($V105="","",VLOOKUP(Z105,NewTransmu,4,TRUE))),"",IF($V105="","",VLOOKUP(Z105,NewTransmu,4,TRUE)))</f>
        <v>95</v>
      </c>
      <c r="AB105" t="str">
        <f>IF(ISERROR(IF(AA105="","",VLOOKUP(AA105,DESCRIPTORS,4,TRUE))),"",IF(AA105="","",VLOOKUP(AA105,DESCRIPTORS,4,TRUE)))</f>
        <v>Advancing</v>
      </c>
      <c r="AV105">
        <f>(T105/$T$10)*100</f>
        <v>77.5</v>
      </c>
      <c r="AW105">
        <f>(U105/$U$10)*100</f>
        <v>77.5</v>
      </c>
      <c r="AX105">
        <f>(V105/$V$10)*100</f>
        <v>82.5</v>
      </c>
    </row>
    <row r="106">
      <c r="A106">
        <v>44</v>
      </c>
      <c r="B106" t="str">
        <f>INPUT!B106</f>
        <v>Bautista, Yasmine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f>IF(COUNT($F106:$J106)=0,"",SUM($F106:$J106))</f>
        <v>100</v>
      </c>
      <c r="L106">
        <f>IF(ISERROR(IF($K106="","",ROUND(($K106/$K$10)*$L$10,2))),"",IF($K106="","",ROUND(($K106/$K$10)*$L$10,2)))</f>
        <v>100</v>
      </c>
      <c r="M106">
        <f>IF($L106="","",ROUND($L106*$M$10,2))</f>
        <v>20</v>
      </c>
      <c r="N106">
        <v>50</v>
      </c>
      <c r="O106">
        <v>50</v>
      </c>
      <c r="P106">
        <v>50</v>
      </c>
      <c r="Q106">
        <f>IF(COUNT($N106:$P106)=0,"",SUM($N106:$P106))</f>
        <v>150</v>
      </c>
      <c r="R106">
        <f>IF(ISERROR(IF($Q106="","",ROUND(($Q106/$Q$10)*$R$10,2))),"",IF($Q106="","",ROUND(($Q106/$Q$10)*$R$10,2)))</f>
        <v>100</v>
      </c>
      <c r="S106">
        <f>IF($R106="","",ROUND($R106*$S$10,2))</f>
        <v>50</v>
      </c>
      <c r="T106">
        <v>31</v>
      </c>
      <c r="U106">
        <v>31</v>
      </c>
      <c r="V106">
        <v>32</v>
      </c>
      <c r="W106">
        <f>IF(COUNT($T106:$V106)=0,"",SUM($T106:$V106))</f>
        <v>94</v>
      </c>
      <c r="X106">
        <f>IF(ISERROR(IF($W106="","",ROUND(($W106/$W$10)*$X$10,2))),"",IF($W106="","",ROUND(($W106/$W$10)*$X$10,2)))</f>
        <v>78.33</v>
      </c>
      <c r="Y106">
        <f>IF($X106="","",ROUND($X106*$Y$10,2))</f>
        <v>23.5</v>
      </c>
      <c r="Z106">
        <f>IF(ISERROR(IF($V106="","",ROUND(SUM($M106,$S106,$Y106),2))),"",IF($V106="","",ROUND(SUM($M106,$S106,$Y106),2)))</f>
        <v>93.5</v>
      </c>
      <c r="AA106">
        <f>IF(ISERROR(IF($V106="","",VLOOKUP(Z106,NewTransmu,4,TRUE))),"",IF($V106="","",VLOOKUP(Z106,NewTransmu,4,TRUE)))</f>
        <v>95</v>
      </c>
      <c r="AB106" t="str">
        <f>IF(ISERROR(IF(AA106="","",VLOOKUP(AA106,DESCRIPTORS,4,TRUE))),"",IF(AA106="","",VLOOKUP(AA106,DESCRIPTORS,4,TRUE)))</f>
        <v>Advancing</v>
      </c>
      <c r="AV106">
        <f>(T106/$T$10)*100</f>
        <v>77.5</v>
      </c>
      <c r="AW106">
        <f>(U106/$U$10)*100</f>
        <v>77.5</v>
      </c>
      <c r="AX106">
        <f>(V106/$V$10)*100</f>
        <v>80</v>
      </c>
    </row>
    <row r="107">
      <c r="A107">
        <v>45</v>
      </c>
      <c r="B107" t="str">
        <f>INPUT!B107</f>
        <v>Bernardo, Zoe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f>IF(COUNT($F107:$J107)=0,"",SUM($F107:$J107))</f>
        <v>100</v>
      </c>
      <c r="L107">
        <f>IF(ISERROR(IF($K107="","",ROUND(($K107/$K$10)*$L$10,2))),"",IF($K107="","",ROUND(($K107/$K$10)*$L$10,2)))</f>
        <v>100</v>
      </c>
      <c r="M107">
        <f>IF($L107="","",ROUND($L107*$M$10,2))</f>
        <v>20</v>
      </c>
      <c r="N107">
        <v>50</v>
      </c>
      <c r="O107">
        <v>50</v>
      </c>
      <c r="P107">
        <v>50</v>
      </c>
      <c r="Q107">
        <f>IF(COUNT($N107:$P107)=0,"",SUM($N107:$P107))</f>
        <v>150</v>
      </c>
      <c r="R107">
        <f>IF(ISERROR(IF($Q107="","",ROUND(($Q107/$Q$10)*$R$10,2))),"",IF($Q107="","",ROUND(($Q107/$Q$10)*$R$10,2)))</f>
        <v>100</v>
      </c>
      <c r="S107">
        <f>IF($R107="","",ROUND($R107*$S$10,2))</f>
        <v>50</v>
      </c>
      <c r="T107">
        <v>34</v>
      </c>
      <c r="U107">
        <v>36</v>
      </c>
      <c r="V107">
        <v>34</v>
      </c>
      <c r="W107">
        <f>IF(COUNT($T107:$V107)=0,"",SUM($T107:$V107))</f>
        <v>104</v>
      </c>
      <c r="X107">
        <f>IF(ISERROR(IF($W107="","",ROUND(($W107/$W$10)*$X$10,2))),"",IF($W107="","",ROUND(($W107/$W$10)*$X$10,2)))</f>
        <v>86.67</v>
      </c>
      <c r="Y107">
        <f>IF($X107="","",ROUND($X107*$Y$10,2))</f>
        <v>26</v>
      </c>
      <c r="Z107">
        <f>IF(ISERROR(IF($V107="","",ROUND(SUM($M107,$S107,$Y107),2))),"",IF($V107="","",ROUND(SUM($M107,$S107,$Y107),2)))</f>
        <v>96</v>
      </c>
      <c r="AA107">
        <f>IF(ISERROR(IF($V107="","",VLOOKUP(Z107,NewTransmu,4,TRUE))),"",IF($V107="","",VLOOKUP(Z107,NewTransmu,4,TRUE)))</f>
        <v>98</v>
      </c>
      <c r="AB107" t="str">
        <f>IF(ISERROR(IF(AA107="","",VLOOKUP(AA107,DESCRIPTORS,4,TRUE))),"",IF(AA107="","",VLOOKUP(AA107,DESCRIPTORS,4,TRUE)))</f>
        <v>Advancing</v>
      </c>
      <c r="AV107">
        <f>(T107/$T$10)*100</f>
        <v>85</v>
      </c>
      <c r="AW107">
        <f>(U107/$U$10)*100</f>
        <v>90</v>
      </c>
      <c r="AX107">
        <f>(V107/$V$10)*100</f>
        <v>85</v>
      </c>
    </row>
    <row r="108">
      <c r="A108">
        <v>46</v>
      </c>
      <c r="B108" t="str">
        <f>INPUT!B108</f>
        <v>Castillo, Amara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f>IF(COUNT($F108:$J108)=0,"",SUM($F108:$J108))</f>
        <v>100</v>
      </c>
      <c r="L108">
        <f>IF(ISERROR(IF($K108="","",ROUND(($K108/$K$10)*$L$10,2))),"",IF($K108="","",ROUND(($K108/$K$10)*$L$10,2)))</f>
        <v>100</v>
      </c>
      <c r="M108">
        <f>IF($L108="","",ROUND($L108*$M$10,2))</f>
        <v>20</v>
      </c>
      <c r="N108">
        <v>50</v>
      </c>
      <c r="O108">
        <v>50</v>
      </c>
      <c r="P108">
        <v>50</v>
      </c>
      <c r="Q108">
        <f>IF(COUNT($N108:$P108)=0,"",SUM($N108:$P108))</f>
        <v>150</v>
      </c>
      <c r="R108">
        <f>IF(ISERROR(IF($Q108="","",ROUND(($Q108/$Q$10)*$R$10,2))),"",IF($Q108="","",ROUND(($Q108/$Q$10)*$R$10,2)))</f>
        <v>100</v>
      </c>
      <c r="S108">
        <f>IF($R108="","",ROUND($R108*$S$10,2))</f>
        <v>50</v>
      </c>
      <c r="T108">
        <v>33</v>
      </c>
      <c r="U108">
        <v>32</v>
      </c>
      <c r="V108">
        <v>34</v>
      </c>
      <c r="W108">
        <f>IF(COUNT($T108:$V108)=0,"",SUM($T108:$V108))</f>
        <v>99</v>
      </c>
      <c r="X108">
        <f>IF(ISERROR(IF($W108="","",ROUND(($W108/$W$10)*$X$10,2))),"",IF($W108="","",ROUND(($W108/$W$10)*$X$10,2)))</f>
        <v>82.5</v>
      </c>
      <c r="Y108">
        <f>IF($X108="","",ROUND($X108*$Y$10,2))</f>
        <v>24.75</v>
      </c>
      <c r="Z108">
        <f>IF(ISERROR(IF($V108="","",ROUND(SUM($M108,$S108,$Y108),2))),"",IF($V108="","",ROUND(SUM($M108,$S108,$Y108),2)))</f>
        <v>94.75</v>
      </c>
      <c r="AA108">
        <f>IF(ISERROR(IF($V108="","",VLOOKUP(Z108,NewTransmu,4,TRUE))),"",IF($V108="","",VLOOKUP(Z108,NewTransmu,4,TRUE)))</f>
        <v>96</v>
      </c>
      <c r="AB108" t="str">
        <f>IF(ISERROR(IF(AA108="","",VLOOKUP(AA108,DESCRIPTORS,4,TRUE))),"",IF(AA108="","",VLOOKUP(AA108,DESCRIPTORS,4,TRUE)))</f>
        <v>Advancing</v>
      </c>
      <c r="AV108">
        <f>(T108/$T$10)*100</f>
        <v>82.5</v>
      </c>
      <c r="AW108">
        <f>(U108/$U$10)*100</f>
        <v>80</v>
      </c>
      <c r="AX108">
        <f>(V108/$V$10)*100</f>
        <v>85</v>
      </c>
    </row>
    <row r="109">
      <c r="A109">
        <v>47</v>
      </c>
      <c r="B109" t="str">
        <f>INPUT!B109</f>
        <v>Cruz, Andrea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f>IF(COUNT($F109:$J109)=0,"",SUM($F109:$J109))</f>
        <v>100</v>
      </c>
      <c r="L109">
        <f>IF(ISERROR(IF($K109="","",ROUND(($K109/$K$10)*$L$10,2))),"",IF($K109="","",ROUND(($K109/$K$10)*$L$10,2)))</f>
        <v>100</v>
      </c>
      <c r="M109">
        <f>IF($L109="","",ROUND($L109*$M$10,2))</f>
        <v>20</v>
      </c>
      <c r="N109">
        <v>50</v>
      </c>
      <c r="O109">
        <v>50</v>
      </c>
      <c r="P109">
        <v>50</v>
      </c>
      <c r="Q109">
        <f>IF(COUNT($N109:$P109)=0,"",SUM($N109:$P109))</f>
        <v>150</v>
      </c>
      <c r="R109">
        <f>IF(ISERROR(IF($Q109="","",ROUND(($Q109/$Q$10)*$R$10,2))),"",IF($Q109="","",ROUND(($Q109/$Q$10)*$R$10,2)))</f>
        <v>100</v>
      </c>
      <c r="S109">
        <f>IF($R109="","",ROUND($R109*$S$10,2))</f>
        <v>50</v>
      </c>
      <c r="T109">
        <v>40</v>
      </c>
      <c r="U109">
        <v>37</v>
      </c>
      <c r="V109">
        <v>36</v>
      </c>
      <c r="W109">
        <f>IF(COUNT($T109:$V109)=0,"",SUM($T109:$V109))</f>
        <v>113</v>
      </c>
      <c r="X109">
        <f>IF(ISERROR(IF($W109="","",ROUND(($W109/$W$10)*$X$10,2))),"",IF($W109="","",ROUND(($W109/$W$10)*$X$10,2)))</f>
        <v>94.17</v>
      </c>
      <c r="Y109">
        <f>IF($X109="","",ROUND($X109*$Y$10,2))</f>
        <v>28.25</v>
      </c>
      <c r="Z109">
        <f>IF(ISERROR(IF($V109="","",ROUND(SUM($M109,$S109,$Y109),2))),"",IF($V109="","",ROUND(SUM($M109,$S109,$Y109),2)))</f>
        <v>98.25</v>
      </c>
      <c r="AA109">
        <f>IF(ISERROR(IF($V109="","",VLOOKUP(Z109,NewTransmu,4,TRUE))),"",IF($V109="","",VLOOKUP(Z109,NewTransmu,4,TRUE)))</f>
        <v>99</v>
      </c>
      <c r="AB109" t="str">
        <f>IF(ISERROR(IF(AA109="","",VLOOKUP(AA109,DESCRIPTORS,4,TRUE))),"",IF(AA109="","",VLOOKUP(AA109,DESCRIPTORS,4,TRUE)))</f>
        <v>Advancing</v>
      </c>
      <c r="AV109">
        <f>(T109/$T$10)*100</f>
        <v>100</v>
      </c>
      <c r="AW109">
        <f>(U109/$U$10)*100</f>
        <v>92.5</v>
      </c>
      <c r="AX109">
        <f>(V109/$V$10)*100</f>
        <v>90</v>
      </c>
    </row>
    <row r="110">
      <c r="A110">
        <v>48</v>
      </c>
      <c r="B110" t="str">
        <f>INPUT!B110</f>
        <v>Dela Cruz, Beatriz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f>IF(COUNT($F110:$J110)=0,"",SUM($F110:$J110))</f>
        <v>100</v>
      </c>
      <c r="L110">
        <f>IF(ISERROR(IF($K110="","",ROUND(($K110/$K$10)*$L$10,2))),"",IF($K110="","",ROUND(($K110/$K$10)*$L$10,2)))</f>
        <v>100</v>
      </c>
      <c r="M110">
        <f>IF($L110="","",ROUND($L110*$M$10,2))</f>
        <v>20</v>
      </c>
      <c r="N110">
        <v>50</v>
      </c>
      <c r="O110">
        <v>50</v>
      </c>
      <c r="P110">
        <v>50</v>
      </c>
      <c r="Q110">
        <f>IF(COUNT($N110:$P110)=0,"",SUM($N110:$P110))</f>
        <v>150</v>
      </c>
      <c r="R110">
        <f>IF(ISERROR(IF($Q110="","",ROUND(($Q110/$Q$10)*$R$10,2))),"",IF($Q110="","",ROUND(($Q110/$Q$10)*$R$10,2)))</f>
        <v>100</v>
      </c>
      <c r="S110">
        <f>IF($R110="","",ROUND($R110*$S$10,2))</f>
        <v>50</v>
      </c>
      <c r="T110">
        <v>40</v>
      </c>
      <c r="U110">
        <v>36</v>
      </c>
      <c r="V110">
        <v>40</v>
      </c>
      <c r="W110">
        <f>IF(COUNT($T110:$V110)=0,"",SUM($T110:$V110))</f>
        <v>116</v>
      </c>
      <c r="X110">
        <f>IF(ISERROR(IF($W110="","",ROUND(($W110/$W$10)*$X$10,2))),"",IF($W110="","",ROUND(($W110/$W$10)*$X$10,2)))</f>
        <v>96.67</v>
      </c>
      <c r="Y110">
        <f>IF($X110="","",ROUND($X110*$Y$10,2))</f>
        <v>29</v>
      </c>
      <c r="Z110">
        <f>IF(ISERROR(IF($V110="","",ROUND(SUM($M110,$S110,$Y110),2))),"",IF($V110="","",ROUND(SUM($M110,$S110,$Y110),2)))</f>
        <v>99</v>
      </c>
      <c r="AA110">
        <f>IF(ISERROR(IF($V110="","",VLOOKUP(Z110,NewTransmu,4,TRUE))),"",IF($V110="","",VLOOKUP(Z110,NewTransmu,4,TRUE)))</f>
        <v>99</v>
      </c>
      <c r="AB110" t="str">
        <f>IF(ISERROR(IF(AA110="","",VLOOKUP(AA110,DESCRIPTORS,4,TRUE))),"",IF(AA110="","",VLOOKUP(AA110,DESCRIPTORS,4,TRUE)))</f>
        <v>Advancing</v>
      </c>
      <c r="AV110">
        <f>(T110/$T$10)*100</f>
        <v>100</v>
      </c>
      <c r="AW110">
        <f>(U110/$U$10)*100</f>
        <v>90</v>
      </c>
      <c r="AX110">
        <f>(V110/$V$10)*100</f>
        <v>100</v>
      </c>
    </row>
    <row r="111">
      <c r="A111">
        <v>49</v>
      </c>
      <c r="B111" t="str">
        <f>INPUT!B111</f>
        <v>Diaz, Celine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f>IF(COUNT($F111:$J111)=0,"",SUM($F111:$J111))</f>
        <v>100</v>
      </c>
      <c r="L111">
        <f>IF(ISERROR(IF($K111="","",ROUND(($K111/$K$10)*$L$10,2))),"",IF($K111="","",ROUND(($K111/$K$10)*$L$10,2)))</f>
        <v>100</v>
      </c>
      <c r="M111">
        <f>IF($L111="","",ROUND($L111*$M$10,2))</f>
        <v>20</v>
      </c>
      <c r="N111">
        <v>50</v>
      </c>
      <c r="O111">
        <v>50</v>
      </c>
      <c r="P111">
        <v>50</v>
      </c>
      <c r="Q111">
        <f>IF(COUNT($N111:$P111)=0,"",SUM($N111:$P111))</f>
        <v>150</v>
      </c>
      <c r="R111">
        <f>IF(ISERROR(IF($Q111="","",ROUND(($Q111/$Q$10)*$R$10,2))),"",IF($Q111="","",ROUND(($Q111/$Q$10)*$R$10,2)))</f>
        <v>100</v>
      </c>
      <c r="S111">
        <f>IF($R111="","",ROUND($R111*$S$10,2))</f>
        <v>50</v>
      </c>
      <c r="T111">
        <v>30</v>
      </c>
      <c r="U111">
        <v>31</v>
      </c>
      <c r="V111">
        <v>27</v>
      </c>
      <c r="W111">
        <f>IF(COUNT($T111:$V111)=0,"",SUM($T111:$V111))</f>
        <v>88</v>
      </c>
      <c r="X111">
        <f>IF(ISERROR(IF($W111="","",ROUND(($W111/$W$10)*$X$10,2))),"",IF($W111="","",ROUND(($W111/$W$10)*$X$10,2)))</f>
        <v>73.33</v>
      </c>
      <c r="Y111">
        <f>IF($X111="","",ROUND($X111*$Y$10,2))</f>
        <v>22</v>
      </c>
      <c r="Z111">
        <f>IF(ISERROR(IF($V111="","",ROUND(SUM($M111,$S111,$Y111),2))),"",IF($V111="","",ROUND(SUM($M111,$S111,$Y111),2)))</f>
        <v>92</v>
      </c>
      <c r="AA111">
        <f>IF(ISERROR(IF($V111="","",VLOOKUP(Z111,NewTransmu,4,TRUE))),"",IF($V111="","",VLOOKUP(Z111,NewTransmu,4,TRUE)))</f>
        <v>94</v>
      </c>
      <c r="AB111" t="str">
        <f>IF(ISERROR(IF(AA111="","",VLOOKUP(AA111,DESCRIPTORS,4,TRUE))),"",IF(AA111="","",VLOOKUP(AA111,DESCRIPTORS,4,TRUE)))</f>
        <v>Advancing</v>
      </c>
      <c r="AV111">
        <f>(T111/$T$10)*100</f>
        <v>75</v>
      </c>
      <c r="AW111">
        <f>(U111/$U$10)*100</f>
        <v>77.5</v>
      </c>
      <c r="AX111">
        <f>(V111/$V$10)*100</f>
        <v>67.5</v>
      </c>
    </row>
    <row r="112">
      <c r="A112">
        <v>50</v>
      </c>
      <c r="B112" t="str">
        <f>INPUT!B112</f>
        <v>Evangelista, Danielle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f>IF(COUNT($F112:$J112)=0,"",SUM($F112:$J112))</f>
        <v>100</v>
      </c>
      <c r="L112">
        <f>IF(ISERROR(IF($K112="","",ROUND(($K112/$K$10)*$L$10,2))),"",IF($K112="","",ROUND(($K112/$K$10)*$L$10,2)))</f>
        <v>100</v>
      </c>
      <c r="M112">
        <f>IF($L112="","",ROUND($L112*$M$10,2))</f>
        <v>20</v>
      </c>
      <c r="N112">
        <v>50</v>
      </c>
      <c r="O112">
        <v>50</v>
      </c>
      <c r="P112">
        <v>50</v>
      </c>
      <c r="Q112">
        <f>IF(COUNT($N112:$P112)=0,"",SUM($N112:$P112))</f>
        <v>150</v>
      </c>
      <c r="R112">
        <f>IF(ISERROR(IF($Q112="","",ROUND(($Q112/$Q$10)*$R$10,2))),"",IF($Q112="","",ROUND(($Q112/$Q$10)*$R$10,2)))</f>
        <v>100</v>
      </c>
      <c r="S112">
        <f>IF($R112="","",ROUND($R112*$S$10,2))</f>
        <v>50</v>
      </c>
      <c r="T112">
        <v>33</v>
      </c>
      <c r="U112">
        <v>36</v>
      </c>
      <c r="V112">
        <v>34</v>
      </c>
      <c r="W112">
        <f>IF(COUNT($T112:$V112)=0,"",SUM($T112:$V112))</f>
        <v>103</v>
      </c>
      <c r="X112">
        <f>IF(ISERROR(IF($W112="","",ROUND(($W112/$W$10)*$X$10,2))),"",IF($W112="","",ROUND(($W112/$W$10)*$X$10,2)))</f>
        <v>85.83</v>
      </c>
      <c r="Y112">
        <f>IF($X112="","",ROUND($X112*$Y$10,2))</f>
        <v>25.75</v>
      </c>
      <c r="Z112">
        <f>IF(ISERROR(IF($V112="","",ROUND(SUM($M112,$S112,$Y112),2))),"",IF($V112="","",ROUND(SUM($M112,$S112,$Y112),2)))</f>
        <v>95.75</v>
      </c>
      <c r="AA112">
        <f>IF(ISERROR(IF($V112="","",VLOOKUP(Z112,NewTransmu,4,TRUE))),"",IF($V112="","",VLOOKUP(Z112,NewTransmu,4,TRUE)))</f>
        <v>97</v>
      </c>
      <c r="AB112" t="str">
        <f>IF(ISERROR(IF(AA112="","",VLOOKUP(AA112,DESCRIPTORS,4,TRUE))),"",IF(AA112="","",VLOOKUP(AA112,DESCRIPTORS,4,TRUE)))</f>
        <v>Advancing</v>
      </c>
      <c r="AV112">
        <f>(T112/$T$10)*100</f>
        <v>82.5</v>
      </c>
      <c r="AW112">
        <f>(U112/$U$10)*100</f>
        <v>90</v>
      </c>
      <c r="AX112">
        <f>(V112/$V$10)*100</f>
        <v>85</v>
      </c>
    </row>
  </sheetData>
  <autoFilter ref="B11:B112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numberStoredAsText="1" sqref="A1:AZ1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20"/>
  <sheetViews>
    <sheetView workbookViewId="0" rightToLeft="0"/>
  </sheetViews>
  <sheetData>
    <row r="1">
      <c r="A1" t="str">
        <v>Summary of Quarterly Grades</v>
      </c>
    </row>
    <row r="3">
      <c r="A3" t="str">
        <v>Summary of Quarterly Grades</v>
      </c>
    </row>
    <row r="5">
      <c r="B5" t="str">
        <v>REGION</v>
      </c>
      <c r="G5" t="str">
        <f>INPUT!G4</f>
        <v>Region IV-A CALABARZON</v>
      </c>
      <c r="L5" t="str">
        <v>DIVISION</v>
      </c>
      <c r="O5" t="str">
        <f>INPUT!L4</f>
        <v>Division of Quezon</v>
      </c>
    </row>
    <row r="6">
      <c r="B6" t="str">
        <v>SCHOOL NAME</v>
      </c>
      <c r="G6" t="str">
        <f>INPUT!G5</f>
        <v>San Isidro Elementary School</v>
      </c>
      <c r="S6" t="str">
        <v>SCHOOL ID</v>
      </c>
      <c r="W6" t="str">
        <f>INPUT!S5</f>
        <v>107845</v>
      </c>
    </row>
    <row r="8">
      <c r="B8" t="str">
        <v>LEARNERS' NAMES</v>
      </c>
      <c r="F8" t="str">
        <v xml:space="preserve">GRADE &amp; SECTION: </v>
      </c>
      <c r="K8" t="str">
        <f>INPUT!J7</f>
        <v>Grade 4 - Mabini</v>
      </c>
      <c r="S8" t="str">
        <v>SCHOOL YEAR:</v>
      </c>
      <c r="W8" t="str">
        <f>INPUT!Y5</f>
        <v>2026-2027</v>
      </c>
    </row>
    <row r="9">
      <c r="F9" t="str">
        <v>TEACHER:</v>
      </c>
      <c r="K9" t="str">
        <f>INPUT!Q7</f>
        <v>Maria Elena Santos</v>
      </c>
      <c r="S9" t="str">
        <v>SUBJECT:</v>
      </c>
      <c r="W9" t="str">
        <f>INPUT!Y7</f>
        <v>English</v>
      </c>
    </row>
    <row r="10">
      <c r="F10" t="str">
        <v>TERM 1</v>
      </c>
      <c r="J10" t="str">
        <v>TERM 2</v>
      </c>
      <c r="N10" t="str">
        <v>TERM 3</v>
      </c>
      <c r="R10" t="str">
        <v>FINAL GRADE</v>
      </c>
      <c r="V10" t="str">
        <v>DESCRIPTOR</v>
      </c>
      <c r="Z10" t="str">
        <v>REMARK</v>
      </c>
    </row>
    <row r="12">
      <c r="B12" t="str">
        <v xml:space="preserve">MALE </v>
      </c>
    </row>
    <row r="13">
      <c r="A13">
        <v>1</v>
      </c>
      <c r="B13" t="str">
        <f>INPUT!B12</f>
        <v>Aguilar, Adrian</v>
      </c>
      <c r="F13">
        <f>TERM1!AA12</f>
        <v>95</v>
      </c>
      <c r="J13">
        <f>TERM2!AA12</f>
        <v>95</v>
      </c>
      <c r="N13">
        <f>TERM3!AA12</f>
        <v>96</v>
      </c>
      <c r="R13">
        <f>IF(OR(F13="",J13="",N13=""),"",IF(ISERROR(ROUND(AVERAGE(F13,J13,N13),0)),"",ROUND(AVERAGE(F13,J13,N13),0)))</f>
        <v>95</v>
      </c>
      <c r="V13" t="str">
        <f>IF(ISERROR(IF(R13="","",VLOOKUP(R13,DESCRIPTORS,4,TRUE))),"",IF(R13="","",VLOOKUP(R13,DESCRIPTORS,4,TRUE)))</f>
        <v>Advancing</v>
      </c>
      <c r="Z13" t="str">
        <f>IF(OR($F13="",$J13="",$N13="",$R13=""),"",IF($R13&gt;=75,"PASSED","FAILED"))</f>
        <v>PASSED</v>
      </c>
    </row>
    <row r="14">
      <c r="A14">
        <v>2</v>
      </c>
      <c r="B14" t="str">
        <f>INPUT!B13</f>
        <v>Alcantara, Angelo</v>
      </c>
      <c r="F14">
        <f>TERM1!AA13</f>
        <v>94</v>
      </c>
      <c r="J14">
        <f>TERM2!AA13</f>
        <v>94</v>
      </c>
      <c r="N14">
        <f>TERM3!AA13</f>
        <v>96</v>
      </c>
      <c r="R14">
        <f>IF(OR(F14="",J14="",N14=""),"",IF(ISERROR(ROUND(AVERAGE(F14,J14,N14),0)),"",ROUND(AVERAGE(F14,J14,N14),0)))</f>
        <v>95</v>
      </c>
      <c r="V14" t="str">
        <f>IF(ISERROR(IF(R14="","",VLOOKUP(R14,DESCRIPTORS,4,TRUE))),"",IF(R14="","",VLOOKUP(R14,DESCRIPTORS,4,TRUE)))</f>
        <v>Advancing</v>
      </c>
      <c r="Z14" t="str">
        <f>IF(OR($F14="",$J14="",$N14="",$R14=""),"",IF($R14&gt;=75,"PASSED","FAILED"))</f>
        <v>PASSED</v>
      </c>
    </row>
    <row r="15">
      <c r="A15">
        <v>3</v>
      </c>
      <c r="B15" t="str">
        <f>INPUT!B14</f>
        <v>Andrada, Anton</v>
      </c>
      <c r="F15">
        <f>TERM1!AA14</f>
        <v>95</v>
      </c>
      <c r="J15">
        <f>TERM2!AA14</f>
        <v>98</v>
      </c>
      <c r="N15">
        <f>TERM3!AA14</f>
        <v>97</v>
      </c>
      <c r="R15">
        <f>IF(OR(F15="",J15="",N15=""),"",IF(ISERROR(ROUND(AVERAGE(F15,J15,N15),0)),"",ROUND(AVERAGE(F15,J15,N15),0)))</f>
        <v>97</v>
      </c>
      <c r="V15" t="str">
        <f>IF(ISERROR(IF(R15="","",VLOOKUP(R15,DESCRIPTORS,4,TRUE))),"",IF(R15="","",VLOOKUP(R15,DESCRIPTORS,4,TRUE)))</f>
        <v>Advancing</v>
      </c>
      <c r="Z15" t="str">
        <f>IF(OR($F15="",$J15="",$N15="",$R15=""),"",IF($R15&gt;=75,"PASSED","FAILED"))</f>
        <v>PASSED</v>
      </c>
    </row>
    <row r="16">
      <c r="A16">
        <v>4</v>
      </c>
      <c r="B16" t="str">
        <f>INPUT!B15</f>
        <v>Bautista, Bryan</v>
      </c>
      <c r="F16">
        <f>TERM1!AA15</f>
        <v>96</v>
      </c>
      <c r="J16">
        <f>TERM2!AA15</f>
        <v>96</v>
      </c>
      <c r="N16">
        <f>TERM3!AA15</f>
        <v>98</v>
      </c>
      <c r="R16">
        <f>IF(OR(F16="",J16="",N16=""),"",IF(ISERROR(ROUND(AVERAGE(F16,J16,N16),0)),"",ROUND(AVERAGE(F16,J16,N16),0)))</f>
        <v>97</v>
      </c>
      <c r="V16" t="str">
        <f>IF(ISERROR(IF(R16="","",VLOOKUP(R16,DESCRIPTORS,4,TRUE))),"",IF(R16="","",VLOOKUP(R16,DESCRIPTORS,4,TRUE)))</f>
        <v>Advancing</v>
      </c>
      <c r="Z16" t="str">
        <f>IF(OR($F16="",$J16="",$N16="",$R16=""),"",IF($R16&gt;=75,"PASSED","FAILED"))</f>
        <v>PASSED</v>
      </c>
    </row>
    <row r="17">
      <c r="A17">
        <v>5</v>
      </c>
      <c r="B17" t="str">
        <f>INPUT!B16</f>
        <v>Bernardo, Caleb</v>
      </c>
      <c r="F17">
        <f>TERM1!AA16</f>
        <v>94</v>
      </c>
      <c r="J17">
        <f>TERM2!AA16</f>
        <v>95</v>
      </c>
      <c r="N17">
        <f>TERM3!AA16</f>
        <v>94</v>
      </c>
      <c r="R17">
        <f>IF(OR(F17="",J17="",N17=""),"",IF(ISERROR(ROUND(AVERAGE(F17,J17,N17),0)),"",ROUND(AVERAGE(F17,J17,N17),0)))</f>
        <v>94</v>
      </c>
      <c r="V17" t="str">
        <f>IF(ISERROR(IF(R17="","",VLOOKUP(R17,DESCRIPTORS,4,TRUE))),"",IF(R17="","",VLOOKUP(R17,DESCRIPTORS,4,TRUE)))</f>
        <v>Advancing</v>
      </c>
      <c r="Z17" t="str">
        <f>IF(OR($F17="",$J17="",$N17="",$R17=""),"",IF($R17&gt;=75,"PASSED","FAILED"))</f>
        <v>PASSED</v>
      </c>
    </row>
    <row r="18">
      <c r="A18">
        <v>6</v>
      </c>
      <c r="B18" t="str">
        <f>INPUT!B17</f>
        <v>Castillo, Carlo</v>
      </c>
      <c r="F18">
        <f>TERM1!AA17</f>
        <v>98</v>
      </c>
      <c r="J18">
        <f>TERM2!AA17</f>
        <v>96</v>
      </c>
      <c r="N18">
        <f>TERM3!AA17</f>
        <v>98</v>
      </c>
      <c r="R18">
        <f>IF(OR(F18="",J18="",N18=""),"",IF(ISERROR(ROUND(AVERAGE(F18,J18,N18),0)),"",ROUND(AVERAGE(F18,J18,N18),0)))</f>
        <v>97</v>
      </c>
      <c r="V18" t="str">
        <f>IF(ISERROR(IF(R18="","",VLOOKUP(R18,DESCRIPTORS,4,TRUE))),"",IF(R18="","",VLOOKUP(R18,DESCRIPTORS,4,TRUE)))</f>
        <v>Advancing</v>
      </c>
      <c r="Z18" t="str">
        <f>IF(OR($F18="",$J18="",$N18="",$R18=""),"",IF($R18&gt;=75,"PASSED","FAILED"))</f>
        <v>PASSED</v>
      </c>
    </row>
    <row r="19">
      <c r="A19">
        <v>7</v>
      </c>
      <c r="B19" t="str">
        <f>INPUT!B18</f>
        <v>Cruz, Christian</v>
      </c>
      <c r="F19">
        <f>TERM1!AA18</f>
        <v>98</v>
      </c>
      <c r="J19">
        <f>TERM2!AA18</f>
        <v>99</v>
      </c>
      <c r="N19">
        <f>TERM3!AA18</f>
        <v>99</v>
      </c>
      <c r="R19">
        <f>IF(OR(F19="",J19="",N19=""),"",IF(ISERROR(ROUND(AVERAGE(F19,J19,N19),0)),"",ROUND(AVERAGE(F19,J19,N19),0)))</f>
        <v>99</v>
      </c>
      <c r="V19" t="str">
        <f>IF(ISERROR(IF(R19="","",VLOOKUP(R19,DESCRIPTORS,4,TRUE))),"",IF(R19="","",VLOOKUP(R19,DESCRIPTORS,4,TRUE)))</f>
        <v>Advancing</v>
      </c>
      <c r="Z19" t="str">
        <f>IF(OR($F19="",$J19="",$N19="",$R19=""),"",IF($R19&gt;=75,"PASSED","FAILED"))</f>
        <v>PASSED</v>
      </c>
    </row>
    <row r="20">
      <c r="A20">
        <v>8</v>
      </c>
      <c r="B20" t="str">
        <f>INPUT!B19</f>
        <v>Dela Cruz, Daniel</v>
      </c>
      <c r="D20">
        <v>0</v>
      </c>
      <c r="F20">
        <f>TERM1!AA19</f>
        <v>98</v>
      </c>
      <c r="J20">
        <f>TERM2!AA19</f>
        <v>98</v>
      </c>
      <c r="N20">
        <f>TERM3!AA19</f>
        <v>99</v>
      </c>
      <c r="R20">
        <f>IF(OR(F20="",J20="",N20=""),"",IF(ISERROR(ROUND(AVERAGE(F20,J20,N20),0)),"",ROUND(AVERAGE(F20,J20,N20),0)))</f>
        <v>98</v>
      </c>
      <c r="V20" t="str">
        <f>IF(ISERROR(IF(R20="","",VLOOKUP(R20,DESCRIPTORS,4,TRUE))),"",IF(R20="","",VLOOKUP(R20,DESCRIPTORS,4,TRUE)))</f>
        <v>Advancing</v>
      </c>
      <c r="Z20" t="str">
        <f>IF(OR($F20="",$J20="",$N20="",$R20=""),"",IF($R20&gt;=75,"PASSED","FAILED"))</f>
        <v>PASSED</v>
      </c>
    </row>
    <row r="21">
      <c r="A21">
        <v>9</v>
      </c>
      <c r="B21" t="str">
        <f>INPUT!B20</f>
        <v>Diaz, Darren</v>
      </c>
      <c r="F21">
        <f>TERM1!AA20</f>
        <v>98</v>
      </c>
      <c r="J21">
        <f>TERM2!AA20</f>
        <v>97</v>
      </c>
      <c r="N21">
        <f>TERM3!AA20</f>
        <v>98</v>
      </c>
      <c r="R21">
        <f>IF(OR(F21="",J21="",N21=""),"",IF(ISERROR(ROUND(AVERAGE(F21,J21,N21),0)),"",ROUND(AVERAGE(F21,J21,N21),0)))</f>
        <v>98</v>
      </c>
      <c r="V21" t="str">
        <f>IF(ISERROR(IF(R21="","",VLOOKUP(R21,DESCRIPTORS,4,TRUE))),"",IF(R21="","",VLOOKUP(R21,DESCRIPTORS,4,TRUE)))</f>
        <v>Advancing</v>
      </c>
      <c r="Z21" t="str">
        <f>IF(OR($F21="",$J21="",$N21="",$R21=""),"",IF($R21&gt;=75,"PASSED","FAILED"))</f>
        <v>PASSED</v>
      </c>
    </row>
    <row r="22">
      <c r="A22">
        <v>10</v>
      </c>
      <c r="B22" t="str">
        <f>INPUT!B21</f>
        <v>Evangelista, Diego</v>
      </c>
      <c r="F22">
        <f>TERM1!AA21</f>
        <v>98</v>
      </c>
      <c r="J22">
        <f>TERM2!AA21</f>
        <v>96</v>
      </c>
      <c r="N22">
        <f>TERM3!AA21</f>
        <v>97</v>
      </c>
      <c r="R22">
        <f>IF(OR(F22="",J22="",N22=""),"",IF(ISERROR(ROUND(AVERAGE(F22,J22,N22),0)),"",ROUND(AVERAGE(F22,J22,N22),0)))</f>
        <v>97</v>
      </c>
      <c r="V22" t="str">
        <f>IF(ISERROR(IF(R22="","",VLOOKUP(R22,DESCRIPTORS,4,TRUE))),"",IF(R22="","",VLOOKUP(R22,DESCRIPTORS,4,TRUE)))</f>
        <v>Advancing</v>
      </c>
      <c r="Z22" t="str">
        <f>IF(OR($F22="",$J22="",$N22="",$R22=""),"",IF($R22&gt;=75,"PASSED","FAILED"))</f>
        <v>PASSED</v>
      </c>
    </row>
    <row r="23">
      <c r="A23">
        <v>11</v>
      </c>
      <c r="B23" t="str">
        <f>INPUT!B22</f>
        <v>Fernandez, Ethan</v>
      </c>
      <c r="D23">
        <v>0</v>
      </c>
      <c r="F23">
        <f>TERM1!AA22</f>
        <v>99</v>
      </c>
      <c r="J23">
        <f>TERM2!AA22</f>
        <v>99</v>
      </c>
      <c r="N23">
        <f>TERM3!AA22</f>
        <v>99</v>
      </c>
      <c r="R23">
        <f>IF(OR(F23="",J23="",N23=""),"",IF(ISERROR(ROUND(AVERAGE(F23,J23,N23),0)),"",ROUND(AVERAGE(F23,J23,N23),0)))</f>
        <v>99</v>
      </c>
      <c r="V23" t="str">
        <f>IF(ISERROR(IF(R23="","",VLOOKUP(R23,DESCRIPTORS,4,TRUE))),"",IF(R23="","",VLOOKUP(R23,DESCRIPTORS,4,TRUE)))</f>
        <v>Advancing</v>
      </c>
      <c r="Z23" t="str">
        <f>IF(OR($F23="",$J23="",$N23="",$R23=""),"",IF($R23&gt;=75,"PASSED","FAILED"))</f>
        <v>PASSED</v>
      </c>
    </row>
    <row r="24">
      <c r="A24">
        <v>12</v>
      </c>
      <c r="B24" t="str">
        <f>INPUT!B23</f>
        <v>Garcia, Gabriel</v>
      </c>
      <c r="F24">
        <f>TERM1!AA23</f>
        <v>93</v>
      </c>
      <c r="J24">
        <f>TERM2!AA23</f>
        <v>94</v>
      </c>
      <c r="N24">
        <f>TERM3!AA23</f>
        <v>95</v>
      </c>
      <c r="R24">
        <f>IF(OR(F24="",J24="",N24=""),"",IF(ISERROR(ROUND(AVERAGE(F24,J24,N24),0)),"",ROUND(AVERAGE(F24,J24,N24),0)))</f>
        <v>94</v>
      </c>
      <c r="V24" t="str">
        <f>IF(ISERROR(IF(R24="","",VLOOKUP(R24,DESCRIPTORS,4,TRUE))),"",IF(R24="","",VLOOKUP(R24,DESCRIPTORS,4,TRUE)))</f>
        <v>Advancing</v>
      </c>
      <c r="Z24" t="str">
        <f>IF(OR($F24="",$J24="",$N24="",$R24=""),"",IF($R24&gt;=75,"PASSED","FAILED"))</f>
        <v>PASSED</v>
      </c>
    </row>
    <row r="25">
      <c r="A25">
        <v>13</v>
      </c>
      <c r="B25" t="str">
        <f>INPUT!B24</f>
        <v>Gonzales, Harold</v>
      </c>
      <c r="F25">
        <f>TERM1!AA24</f>
        <v>98</v>
      </c>
      <c r="J25">
        <f>TERM2!AA24</f>
        <v>98</v>
      </c>
      <c r="N25">
        <f>TERM3!AA24</f>
        <v>99</v>
      </c>
      <c r="R25">
        <f>IF(OR(F25="",J25="",N25=""),"",IF(ISERROR(ROUND(AVERAGE(F25,J25,N25),0)),"",ROUND(AVERAGE(F25,J25,N25),0)))</f>
        <v>98</v>
      </c>
      <c r="V25" t="str">
        <f>IF(ISERROR(IF(R25="","",VLOOKUP(R25,DESCRIPTORS,4,TRUE))),"",IF(R25="","",VLOOKUP(R25,DESCRIPTORS,4,TRUE)))</f>
        <v>Advancing</v>
      </c>
      <c r="Z25" t="str">
        <f>IF(OR($F25="",$J25="",$N25="",$R25=""),"",IF($R25&gt;=75,"PASSED","FAILED"))</f>
        <v>PASSED</v>
      </c>
    </row>
    <row r="26">
      <c r="A26">
        <v>14</v>
      </c>
      <c r="B26" t="str">
        <f>INPUT!B25</f>
        <v>Hernandez, Ivan</v>
      </c>
      <c r="F26">
        <f>TERM1!AA25</f>
        <v>99</v>
      </c>
      <c r="J26">
        <f>TERM2!AA25</f>
        <v>99</v>
      </c>
      <c r="N26">
        <f>TERM3!AA25</f>
        <v>99</v>
      </c>
      <c r="R26">
        <f>IF(OR(F26="",J26="",N26=""),"",IF(ISERROR(ROUND(AVERAGE(F26,J26,N26),0)),"",ROUND(AVERAGE(F26,J26,N26),0)))</f>
        <v>99</v>
      </c>
      <c r="V26" t="str">
        <f>IF(ISERROR(IF(R26="","",VLOOKUP(R26,DESCRIPTORS,4,TRUE))),"",IF(R26="","",VLOOKUP(R26,DESCRIPTORS,4,TRUE)))</f>
        <v>Advancing</v>
      </c>
      <c r="Z26" t="str">
        <f>IF(OR($F26="",$J26="",$N26="",$R26=""),"",IF($R26&gt;=75,"PASSED","FAILED"))</f>
        <v>PASSED</v>
      </c>
    </row>
    <row r="27">
      <c r="A27">
        <v>15</v>
      </c>
      <c r="B27" t="str">
        <f>INPUT!B26</f>
        <v>Ilagan, Jacob</v>
      </c>
      <c r="F27">
        <f>TERM1!AA26</f>
        <v>98</v>
      </c>
      <c r="J27">
        <f>TERM2!AA26</f>
        <v>98</v>
      </c>
      <c r="N27">
        <f>TERM3!AA26</f>
        <v>98</v>
      </c>
      <c r="R27">
        <f>IF(OR(F27="",J27="",N27=""),"",IF(ISERROR(ROUND(AVERAGE(F27,J27,N27),0)),"",ROUND(AVERAGE(F27,J27,N27),0)))</f>
        <v>98</v>
      </c>
      <c r="V27" t="str">
        <f>IF(ISERROR(IF(R27="","",VLOOKUP(R27,DESCRIPTORS,4,TRUE))),"",IF(R27="","",VLOOKUP(R27,DESCRIPTORS,4,TRUE)))</f>
        <v>Advancing</v>
      </c>
      <c r="Z27" t="str">
        <f>IF(OR($F27="",$J27="",$N27="",$R27=""),"",IF($R27&gt;=75,"PASSED","FAILED"))</f>
        <v>PASSED</v>
      </c>
    </row>
    <row r="28">
      <c r="A28">
        <v>16</v>
      </c>
      <c r="B28" t="str">
        <f>INPUT!B27</f>
        <v>Jimenez, James</v>
      </c>
      <c r="F28">
        <f>TERM1!AA27</f>
        <v>97</v>
      </c>
      <c r="J28">
        <f>TERM2!AA27</f>
        <v>98</v>
      </c>
      <c r="N28">
        <f>TERM3!AA27</f>
        <v>98</v>
      </c>
      <c r="R28">
        <f>IF(OR(F28="",J28="",N28=""),"",IF(ISERROR(ROUND(AVERAGE(F28,J28,N28),0)),"",ROUND(AVERAGE(F28,J28,N28),0)))</f>
        <v>98</v>
      </c>
      <c r="V28" t="str">
        <f>IF(ISERROR(IF(R28="","",VLOOKUP(R28,DESCRIPTORS,4,TRUE))),"",IF(R28="","",VLOOKUP(R28,DESCRIPTORS,4,TRUE)))</f>
        <v>Advancing</v>
      </c>
      <c r="Z28" t="str">
        <f>IF(OR($F28="",$J28="",$N28="",$R28=""),"",IF($R28&gt;=75,"PASSED","FAILED"))</f>
        <v>PASSED</v>
      </c>
    </row>
    <row r="29">
      <c r="A29">
        <v>17</v>
      </c>
      <c r="B29" t="str">
        <f>INPUT!B28</f>
        <v>Lacson, Jared</v>
      </c>
      <c r="F29">
        <f>TERM1!AA28</f>
        <v>94</v>
      </c>
      <c r="J29">
        <f>TERM2!AA28</f>
        <v>95</v>
      </c>
      <c r="N29">
        <f>TERM3!AA28</f>
        <v>95</v>
      </c>
      <c r="R29">
        <f>IF(OR(F29="",J29="",N29=""),"",IF(ISERROR(ROUND(AVERAGE(F29,J29,N29),0)),"",ROUND(AVERAGE(F29,J29,N29),0)))</f>
        <v>95</v>
      </c>
      <c r="V29" t="str">
        <f>IF(ISERROR(IF(R29="","",VLOOKUP(R29,DESCRIPTORS,4,TRUE))),"",IF(R29="","",VLOOKUP(R29,DESCRIPTORS,4,TRUE)))</f>
        <v>Advancing</v>
      </c>
      <c r="Z29" t="str">
        <f>IF(OR($F29="",$J29="",$N29="",$R29=""),"",IF($R29&gt;=75,"PASSED","FAILED"))</f>
        <v>PASSED</v>
      </c>
    </row>
    <row r="30">
      <c r="A30">
        <v>18</v>
      </c>
      <c r="B30" t="str">
        <f>INPUT!B29</f>
        <v>Lim, Jericho</v>
      </c>
      <c r="F30">
        <f>TERM1!AA29</f>
        <v>93</v>
      </c>
      <c r="J30">
        <f>TERM2!AA29</f>
        <v>92</v>
      </c>
      <c r="N30">
        <f>TERM3!AA29</f>
        <v>93</v>
      </c>
      <c r="R30">
        <f>IF(OR(F30="",J30="",N30=""),"",IF(ISERROR(ROUND(AVERAGE(F30,J30,N30),0)),"",ROUND(AVERAGE(F30,J30,N30),0)))</f>
        <v>93</v>
      </c>
      <c r="V30" t="str">
        <f>IF(ISERROR(IF(R30="","",VLOOKUP(R30,DESCRIPTORS,4,TRUE))),"",IF(R30="","",VLOOKUP(R30,DESCRIPTORS,4,TRUE)))</f>
        <v>Advancing</v>
      </c>
      <c r="Z30" t="str">
        <f>IF(OR($F30="",$J30="",$N30="",$R30=""),"",IF($R30&gt;=75,"PASSED","FAILED"))</f>
        <v>PASSED</v>
      </c>
    </row>
    <row r="31">
      <c r="A31">
        <v>19</v>
      </c>
      <c r="B31" t="str">
        <f>INPUT!B30</f>
        <v>Manalo, Joaquin</v>
      </c>
      <c r="F31">
        <f>TERM1!AA30</f>
        <v>96</v>
      </c>
      <c r="J31">
        <f>TERM2!AA30</f>
        <v>96</v>
      </c>
      <c r="N31">
        <f>TERM3!AA30</f>
        <v>96</v>
      </c>
      <c r="R31">
        <f>IF(OR(F31="",J31="",N31=""),"",IF(ISERROR(ROUND(AVERAGE(F31,J31,N31),0)),"",ROUND(AVERAGE(F31,J31,N31),0)))</f>
        <v>96</v>
      </c>
      <c r="V31" t="str">
        <f>IF(ISERROR(IF(R31="","",VLOOKUP(R31,DESCRIPTORS,4,TRUE))),"",IF(R31="","",VLOOKUP(R31,DESCRIPTORS,4,TRUE)))</f>
        <v>Advancing</v>
      </c>
      <c r="Z31" t="str">
        <f>IF(OR($F31="",$J31="",$N31="",$R31=""),"",IF($R31&gt;=75,"PASSED","FAILED"))</f>
        <v>PASSED</v>
      </c>
    </row>
    <row r="32">
      <c r="A32">
        <v>20</v>
      </c>
      <c r="B32" t="str">
        <f>INPUT!B31</f>
        <v>Mendoza, Joshua</v>
      </c>
      <c r="F32">
        <f>TERM1!AA31</f>
        <v>98</v>
      </c>
      <c r="J32">
        <f>TERM2!AA31</f>
        <v>98</v>
      </c>
      <c r="N32">
        <f>TERM3!AA31</f>
        <v>98</v>
      </c>
      <c r="R32">
        <f>IF(OR(F32="",J32="",N32=""),"",IF(ISERROR(ROUND(AVERAGE(F32,J32,N32),0)),"",ROUND(AVERAGE(F32,J32,N32),0)))</f>
        <v>98</v>
      </c>
      <c r="V32" t="str">
        <f>IF(ISERROR(IF(R32="","",VLOOKUP(R32,DESCRIPTORS,4,TRUE))),"",IF(R32="","",VLOOKUP(R32,DESCRIPTORS,4,TRUE)))</f>
        <v>Advancing</v>
      </c>
      <c r="Z32" t="str">
        <f>IF(OR($F32="",$J32="",$N32="",$R32=""),"",IF($R32&gt;=75,"PASSED","FAILED"))</f>
        <v>PASSED</v>
      </c>
    </row>
    <row r="33">
      <c r="A33">
        <v>21</v>
      </c>
      <c r="B33" t="str">
        <f>INPUT!B32</f>
        <v>Navarro, Lance</v>
      </c>
      <c r="F33">
        <f>TERM1!AA32</f>
        <v>94</v>
      </c>
      <c r="J33">
        <f>TERM2!AA32</f>
        <v>94</v>
      </c>
      <c r="N33">
        <f>TERM3!AA32</f>
        <v>95</v>
      </c>
      <c r="R33">
        <f>IF(OR(F33="",J33="",N33=""),"",IF(ISERROR(ROUND(AVERAGE(F33,J33,N33),0)),"",ROUND(AVERAGE(F33,J33,N33),0)))</f>
        <v>94</v>
      </c>
      <c r="V33" t="str">
        <f>IF(ISERROR(IF(R33="","",VLOOKUP(R33,DESCRIPTORS,4,TRUE))),"",IF(R33="","",VLOOKUP(R33,DESCRIPTORS,4,TRUE)))</f>
        <v>Advancing</v>
      </c>
      <c r="Z33" t="str">
        <f>IF(OR($F33="",$J33="",$N33="",$R33=""),"",IF($R33&gt;=75,"PASSED","FAILED"))</f>
        <v>PASSED</v>
      </c>
    </row>
    <row r="34">
      <c r="A34">
        <v>22</v>
      </c>
      <c r="B34" t="str">
        <f>INPUT!B33</f>
        <v>Ocampo, Luis</v>
      </c>
      <c r="F34">
        <f>TERM1!AA33</f>
        <v>99</v>
      </c>
      <c r="J34">
        <f>TERM2!AA33</f>
        <v>98</v>
      </c>
      <c r="N34">
        <f>TERM3!AA33</f>
        <v>99</v>
      </c>
      <c r="R34">
        <f>IF(OR(F34="",J34="",N34=""),"",IF(ISERROR(ROUND(AVERAGE(F34,J34,N34),0)),"",ROUND(AVERAGE(F34,J34,N34),0)))</f>
        <v>99</v>
      </c>
      <c r="V34" t="str">
        <f>IF(ISERROR(IF(R34="","",VLOOKUP(R34,DESCRIPTORS,4,TRUE))),"",IF(R34="","",VLOOKUP(R34,DESCRIPTORS,4,TRUE)))</f>
        <v>Advancing</v>
      </c>
      <c r="Z34" t="str">
        <f>IF(OR($F34="",$J34="",$N34="",$R34=""),"",IF($R34&gt;=75,"PASSED","FAILED"))</f>
        <v>PASSED</v>
      </c>
    </row>
    <row r="35">
      <c r="A35">
        <v>23</v>
      </c>
      <c r="B35" t="str">
        <f>INPUT!B34</f>
        <v>Ortega, Marco</v>
      </c>
      <c r="F35">
        <f>TERM1!AA34</f>
        <v>97</v>
      </c>
      <c r="J35">
        <f>TERM2!AA34</f>
        <v>95</v>
      </c>
      <c r="N35">
        <f>TERM3!AA34</f>
        <v>97</v>
      </c>
      <c r="R35">
        <f>IF(OR(F35="",J35="",N35=""),"",IF(ISERROR(ROUND(AVERAGE(F35,J35,N35),0)),"",ROUND(AVERAGE(F35,J35,N35),0)))</f>
        <v>96</v>
      </c>
      <c r="V35" t="str">
        <f>IF(ISERROR(IF(R35="","",VLOOKUP(R35,DESCRIPTORS,4,TRUE))),"",IF(R35="","",VLOOKUP(R35,DESCRIPTORS,4,TRUE)))</f>
        <v>Advancing</v>
      </c>
      <c r="Z35" t="str">
        <f>IF(OR($F35="",$J35="",$N35="",$R35=""),"",IF($R35&gt;=75,"PASSED","FAILED"))</f>
        <v>PASSED</v>
      </c>
    </row>
    <row r="36">
      <c r="A36">
        <v>24</v>
      </c>
      <c r="B36" t="str">
        <f>INPUT!B35</f>
        <v>Pascual, Martin</v>
      </c>
      <c r="F36">
        <f>TERM1!AA35</f>
        <v>94</v>
      </c>
      <c r="J36">
        <f>TERM2!AA35</f>
        <v>96</v>
      </c>
      <c r="N36">
        <f>TERM3!AA35</f>
        <v>96</v>
      </c>
      <c r="R36">
        <f>IF(OR(F36="",J36="",N36=""),"",IF(ISERROR(ROUND(AVERAGE(F36,J36,N36),0)),"",ROUND(AVERAGE(F36,J36,N36),0)))</f>
        <v>95</v>
      </c>
      <c r="V36" t="str">
        <f>IF(ISERROR(IF(R36="","",VLOOKUP(R36,DESCRIPTORS,4,TRUE))),"",IF(R36="","",VLOOKUP(R36,DESCRIPTORS,4,TRUE)))</f>
        <v>Advancing</v>
      </c>
      <c r="Z36" t="str">
        <f>IF(OR($F36="",$J36="",$N36="",$R36=""),"",IF($R36&gt;=75,"PASSED","FAILED"))</f>
        <v>PASSED</v>
      </c>
    </row>
    <row r="37">
      <c r="A37">
        <v>25</v>
      </c>
      <c r="B37" t="str">
        <f>INPUT!B36</f>
        <v>Quizon, Matthew</v>
      </c>
      <c r="F37">
        <f>TERM1!AA36</f>
        <v>99</v>
      </c>
      <c r="J37">
        <f>TERM2!AA36</f>
        <v>98</v>
      </c>
      <c r="N37">
        <f>TERM3!AA36</f>
        <v>99</v>
      </c>
      <c r="R37">
        <f>IF(OR(F37="",J37="",N37=""),"",IF(ISERROR(ROUND(AVERAGE(F37,J37,N37),0)),"",ROUND(AVERAGE(F37,J37,N37),0)))</f>
        <v>99</v>
      </c>
      <c r="V37" t="str">
        <f>IF(ISERROR(IF(R37="","",VLOOKUP(R37,DESCRIPTORS,4,TRUE))),"",IF(R37="","",VLOOKUP(R37,DESCRIPTORS,4,TRUE)))</f>
        <v>Advancing</v>
      </c>
      <c r="Z37" t="str">
        <f>IF(OR($F37="",$J37="",$N37="",$R37=""),"",IF($R37&gt;=75,"PASSED","FAILED"))</f>
        <v>PASSED</v>
      </c>
    </row>
    <row r="38">
      <c r="A38">
        <v>26</v>
      </c>
      <c r="B38" t="str">
        <f>INPUT!B37</f>
        <v>Ramos, Miguel</v>
      </c>
      <c r="F38">
        <f>TERM1!AA37</f>
        <v>95</v>
      </c>
      <c r="J38">
        <f>TERM2!AA37</f>
        <v>95</v>
      </c>
      <c r="N38">
        <f>TERM3!AA37</f>
        <v>96</v>
      </c>
      <c r="R38">
        <f>IF(OR(F38="",J38="",N38=""),"",IF(ISERROR(ROUND(AVERAGE(F38,J38,N38),0)),"",ROUND(AVERAGE(F38,J38,N38),0)))</f>
        <v>95</v>
      </c>
      <c r="V38" t="str">
        <f>IF(ISERROR(IF(R38="","",VLOOKUP(R38,DESCRIPTORS,4,TRUE))),"",IF(R38="","",VLOOKUP(R38,DESCRIPTORS,4,TRUE)))</f>
        <v>Advancing</v>
      </c>
      <c r="Z38" t="str">
        <f>IF(OR($F38="",$J38="",$N38="",$R38=""),"",IF($R38&gt;=75,"PASSED","FAILED"))</f>
        <v>PASSED</v>
      </c>
    </row>
    <row r="39">
      <c r="A39">
        <v>27</v>
      </c>
      <c r="B39" t="str">
        <f>INPUT!B38</f>
        <v>Reyes, Nathan</v>
      </c>
      <c r="F39">
        <f>TERM1!AA38</f>
        <v>98</v>
      </c>
      <c r="J39">
        <f>TERM2!AA38</f>
        <v>100</v>
      </c>
      <c r="N39">
        <f>TERM3!AA38</f>
        <v>99</v>
      </c>
      <c r="R39">
        <f>IF(OR(F39="",J39="",N39=""),"",IF(ISERROR(ROUND(AVERAGE(F39,J39,N39),0)),"",ROUND(AVERAGE(F39,J39,N39),0)))</f>
        <v>99</v>
      </c>
      <c r="V39" t="str">
        <f>IF(ISERROR(IF(R39="","",VLOOKUP(R39,DESCRIPTORS,4,TRUE))),"",IF(R39="","",VLOOKUP(R39,DESCRIPTORS,4,TRUE)))</f>
        <v>Advancing</v>
      </c>
      <c r="Z39" t="str">
        <f>IF(OR($F39="",$J39="",$N39="",$R39=""),"",IF($R39&gt;=75,"PASSED","FAILED"))</f>
        <v>PASSED</v>
      </c>
    </row>
    <row r="40">
      <c r="A40">
        <v>28</v>
      </c>
      <c r="B40" t="str">
        <f>INPUT!B39</f>
        <v>Rivera, Noah</v>
      </c>
      <c r="F40">
        <f>TERM1!AA39</f>
        <v>99</v>
      </c>
      <c r="J40">
        <f>TERM2!AA39</f>
        <v>99</v>
      </c>
      <c r="N40">
        <f>TERM3!AA39</f>
        <v>100</v>
      </c>
      <c r="R40">
        <f>IF(OR(F40="",J40="",N40=""),"",IF(ISERROR(ROUND(AVERAGE(F40,J40,N40),0)),"",ROUND(AVERAGE(F40,J40,N40),0)))</f>
        <v>99</v>
      </c>
      <c r="V40" t="str">
        <f>IF(ISERROR(IF(R40="","",VLOOKUP(R40,DESCRIPTORS,4,TRUE))),"",IF(R40="","",VLOOKUP(R40,DESCRIPTORS,4,TRUE)))</f>
        <v>Advancing</v>
      </c>
      <c r="Z40" t="str">
        <f>IF(OR($F40="",$J40="",$N40="",$R40=""),"",IF($R40&gt;=75,"PASSED","FAILED"))</f>
        <v>PASSED</v>
      </c>
    </row>
    <row r="41">
      <c r="A41">
        <v>29</v>
      </c>
      <c r="B41" t="str">
        <f>INPUT!B40</f>
        <v>Rosales, Oliver</v>
      </c>
      <c r="F41">
        <f>TERM1!AA40</f>
        <v>96</v>
      </c>
      <c r="J41">
        <f>TERM2!AA40</f>
        <v>98</v>
      </c>
      <c r="N41">
        <f>TERM3!AA40</f>
        <v>98</v>
      </c>
      <c r="R41">
        <f>IF(OR(F41="",J41="",N41=""),"",IF(ISERROR(ROUND(AVERAGE(F41,J41,N41),0)),"",ROUND(AVERAGE(F41,J41,N41),0)))</f>
        <v>97</v>
      </c>
      <c r="V41" t="str">
        <f>IF(ISERROR(IF(R41="","",VLOOKUP(R41,DESCRIPTORS,4,TRUE))),"",IF(R41="","",VLOOKUP(R41,DESCRIPTORS,4,TRUE)))</f>
        <v>Advancing</v>
      </c>
      <c r="Z41" t="str">
        <f>IF(OR($F41="",$J41="",$N41="",$R41=""),"",IF($R41&gt;=75,"PASSED","FAILED"))</f>
        <v>PASSED</v>
      </c>
    </row>
    <row r="42">
      <c r="A42">
        <v>30</v>
      </c>
      <c r="B42" t="str">
        <f>INPUT!B41</f>
        <v>Salazar, Paolo</v>
      </c>
      <c r="F42">
        <f>TERM1!AA41</f>
        <v>99</v>
      </c>
      <c r="J42">
        <f>TERM2!AA41</f>
        <v>100</v>
      </c>
      <c r="N42">
        <f>TERM3!AA41</f>
        <v>100</v>
      </c>
      <c r="R42">
        <f>IF(OR(F42="",J42="",N42=""),"",IF(ISERROR(ROUND(AVERAGE(F42,J42,N42),0)),"",ROUND(AVERAGE(F42,J42,N42),0)))</f>
        <v>100</v>
      </c>
      <c r="V42" t="str">
        <f>IF(ISERROR(IF(R42="","",VLOOKUP(R42,DESCRIPTORS,4,TRUE))),"",IF(R42="","",VLOOKUP(R42,DESCRIPTORS,4,TRUE)))</f>
        <v>Advancing</v>
      </c>
      <c r="Z42" t="str">
        <f>IF(OR($F42="",$J42="",$N42="",$R42=""),"",IF($R42&gt;=75,"PASSED","FAILED"))</f>
        <v>PASSED</v>
      </c>
    </row>
    <row r="43">
      <c r="A43">
        <v>31</v>
      </c>
      <c r="B43" t="str">
        <f>INPUT!B42</f>
        <v>Santiago, Patrick</v>
      </c>
      <c r="F43">
        <f>TERM1!AA42</f>
        <v>98</v>
      </c>
      <c r="J43">
        <f>TERM2!AA42</f>
        <v>99</v>
      </c>
      <c r="N43">
        <f>TERM3!AA42</f>
        <v>99</v>
      </c>
      <c r="R43">
        <f>IF(OR(F43="",J43="",N43=""),"",IF(ISERROR(ROUND(AVERAGE(F43,J43,N43),0)),"",ROUND(AVERAGE(F43,J43,N43),0)))</f>
        <v>99</v>
      </c>
      <c r="V43" t="str">
        <f>IF(ISERROR(IF(R43="","",VLOOKUP(R43,DESCRIPTORS,4,TRUE))),"",IF(R43="","",VLOOKUP(R43,DESCRIPTORS,4,TRUE)))</f>
        <v>Advancing</v>
      </c>
      <c r="Z43" t="str">
        <f>IF(OR($F43="",$J43="",$N43="",$R43=""),"",IF($R43&gt;=75,"PASSED","FAILED"))</f>
        <v>PASSED</v>
      </c>
    </row>
    <row r="44">
      <c r="A44">
        <v>32</v>
      </c>
      <c r="B44" t="str">
        <f>INPUT!B43</f>
        <v>Santos, Rafael</v>
      </c>
      <c r="F44">
        <f>TERM1!AA43</f>
        <v>100</v>
      </c>
      <c r="J44">
        <f>TERM2!AA43</f>
        <v>100</v>
      </c>
      <c r="N44">
        <f>TERM3!AA43</f>
        <v>100</v>
      </c>
      <c r="R44">
        <f>IF(OR(F44="",J44="",N44=""),"",IF(ISERROR(ROUND(AVERAGE(F44,J44,N44),0)),"",ROUND(AVERAGE(F44,J44,N44),0)))</f>
        <v>100</v>
      </c>
      <c r="V44" t="str">
        <f>IF(ISERROR(IF(R44="","",VLOOKUP(R44,DESCRIPTORS,4,TRUE))),"",IF(R44="","",VLOOKUP(R44,DESCRIPTORS,4,TRUE)))</f>
        <v>Advancing</v>
      </c>
      <c r="Z44" t="str">
        <f>IF(OR($F44="",$J44="",$N44="",$R44=""),"",IF($R44&gt;=75,"PASSED","FAILED"))</f>
        <v>PASSED</v>
      </c>
    </row>
    <row r="45">
      <c r="A45">
        <v>33</v>
      </c>
      <c r="B45" t="str">
        <f>INPUT!B44</f>
        <v>Soriano, Raymond</v>
      </c>
      <c r="F45">
        <f>TERM1!AA44</f>
        <v>98</v>
      </c>
      <c r="J45">
        <f>TERM2!AA44</f>
        <v>99</v>
      </c>
      <c r="N45">
        <f>TERM3!AA44</f>
        <v>98</v>
      </c>
      <c r="R45">
        <f>IF(OR(F45="",J45="",N45=""),"",IF(ISERROR(ROUND(AVERAGE(F45,J45,N45),0)),"",ROUND(AVERAGE(F45,J45,N45),0)))</f>
        <v>98</v>
      </c>
      <c r="V45" t="str">
        <f>IF(ISERROR(IF(R45="","",VLOOKUP(R45,DESCRIPTORS,4,TRUE))),"",IF(R45="","",VLOOKUP(R45,DESCRIPTORS,4,TRUE)))</f>
        <v>Advancing</v>
      </c>
      <c r="Z45" t="str">
        <f>IF(OR($F45="",$J45="",$N45="",$R45=""),"",IF($R45&gt;=75,"PASSED","FAILED"))</f>
        <v>PASSED</v>
      </c>
    </row>
    <row r="46">
      <c r="A46">
        <v>34</v>
      </c>
      <c r="B46" t="str">
        <f>INPUT!B45</f>
        <v>Torres, Rico</v>
      </c>
      <c r="F46">
        <f>TERM1!AA45</f>
        <v>98</v>
      </c>
      <c r="J46">
        <f>TERM2!AA45</f>
        <v>96</v>
      </c>
      <c r="N46">
        <f>TERM3!AA45</f>
        <v>97</v>
      </c>
      <c r="R46">
        <f>IF(OR(F46="",J46="",N46=""),"",IF(ISERROR(ROUND(AVERAGE(F46,J46,N46),0)),"",ROUND(AVERAGE(F46,J46,N46),0)))</f>
        <v>97</v>
      </c>
      <c r="V46" t="str">
        <f>IF(ISERROR(IF(R46="","",VLOOKUP(R46,DESCRIPTORS,4,TRUE))),"",IF(R46="","",VLOOKUP(R46,DESCRIPTORS,4,TRUE)))</f>
        <v>Advancing</v>
      </c>
      <c r="Z46" t="str">
        <f>IF(OR($F46="",$J46="",$N46="",$R46=""),"",IF($R46&gt;=75,"PASSED","FAILED"))</f>
        <v>PASSED</v>
      </c>
    </row>
    <row r="47">
      <c r="A47">
        <v>35</v>
      </c>
      <c r="B47" t="str">
        <f>INPUT!B46</f>
        <v>Valdez, Samuel</v>
      </c>
      <c r="F47">
        <f>TERM1!AA46</f>
        <v>97</v>
      </c>
      <c r="J47">
        <f>TERM2!AA46</f>
        <v>98</v>
      </c>
      <c r="N47">
        <f>TERM3!AA46</f>
        <v>98</v>
      </c>
      <c r="R47">
        <f>IF(OR(F47="",J47="",N47=""),"",IF(ISERROR(ROUND(AVERAGE(F47,J47,N47),0)),"",ROUND(AVERAGE(F47,J47,N47),0)))</f>
        <v>98</v>
      </c>
      <c r="V47" t="str">
        <f>IF(ISERROR(IF(R47="","",VLOOKUP(R47,DESCRIPTORS,4,TRUE))),"",IF(R47="","",VLOOKUP(R47,DESCRIPTORS,4,TRUE)))</f>
        <v>Advancing</v>
      </c>
      <c r="Z47" t="str">
        <f>IF(OR($F47="",$J47="",$N47="",$R47=""),"",IF($R47&gt;=75,"PASSED","FAILED"))</f>
        <v>PASSED</v>
      </c>
    </row>
    <row r="48">
      <c r="A48">
        <v>36</v>
      </c>
      <c r="B48" t="str">
        <f>INPUT!B47</f>
        <v>Velasco, Sebastian</v>
      </c>
      <c r="F48">
        <f>TERM1!AA47</f>
        <v>95</v>
      </c>
      <c r="J48">
        <f>TERM2!AA47</f>
        <v>96</v>
      </c>
      <c r="N48">
        <f>TERM3!AA47</f>
        <v>98</v>
      </c>
      <c r="R48">
        <f>IF(OR(F48="",J48="",N48=""),"",IF(ISERROR(ROUND(AVERAGE(F48,J48,N48),0)),"",ROUND(AVERAGE(F48,J48,N48),0)))</f>
        <v>96</v>
      </c>
      <c r="V48" t="str">
        <f>IF(ISERROR(IF(R48="","",VLOOKUP(R48,DESCRIPTORS,4,TRUE))),"",IF(R48="","",VLOOKUP(R48,DESCRIPTORS,4,TRUE)))</f>
        <v>Advancing</v>
      </c>
      <c r="Z48" t="str">
        <f>IF(OR($F48="",$J48="",$N48="",$R48=""),"",IF($R48&gt;=75,"PASSED","FAILED"))</f>
        <v>PASSED</v>
      </c>
    </row>
    <row r="49">
      <c r="A49">
        <v>37</v>
      </c>
      <c r="B49" t="str">
        <f>INPUT!B48</f>
        <v>Villanueva, Simon</v>
      </c>
      <c r="F49">
        <f>TERM1!AA48</f>
        <v>99</v>
      </c>
      <c r="J49">
        <f>TERM2!AA48</f>
        <v>99</v>
      </c>
      <c r="N49">
        <f>TERM3!AA48</f>
        <v>99</v>
      </c>
      <c r="R49">
        <f>IF(OR(F49="",J49="",N49=""),"",IF(ISERROR(ROUND(AVERAGE(F49,J49,N49),0)),"",ROUND(AVERAGE(F49,J49,N49),0)))</f>
        <v>99</v>
      </c>
      <c r="V49" t="str">
        <f>IF(ISERROR(IF(R49="","",VLOOKUP(R49,DESCRIPTORS,4,TRUE))),"",IF(R49="","",VLOOKUP(R49,DESCRIPTORS,4,TRUE)))</f>
        <v>Advancing</v>
      </c>
      <c r="Z49" t="str">
        <f>IF(OR($F49="",$J49="",$N49="",$R49=""),"",IF($R49&gt;=75,"PASSED","FAILED"))</f>
        <v>PASSED</v>
      </c>
    </row>
    <row r="50">
      <c r="A50">
        <v>38</v>
      </c>
      <c r="B50" t="str">
        <f>INPUT!B49</f>
        <v>Yap, Stephen</v>
      </c>
      <c r="F50">
        <f>TERM1!AA49</f>
        <v>95</v>
      </c>
      <c r="J50">
        <f>TERM2!AA49</f>
        <v>95</v>
      </c>
      <c r="N50">
        <f>TERM3!AA49</f>
        <v>96</v>
      </c>
      <c r="R50">
        <f>IF(OR(F50="",J50="",N50=""),"",IF(ISERROR(ROUND(AVERAGE(F50,J50,N50),0)),"",ROUND(AVERAGE(F50,J50,N50),0)))</f>
        <v>95</v>
      </c>
      <c r="V50" t="str">
        <f>IF(ISERROR(IF(R50="","",VLOOKUP(R50,DESCRIPTORS,4,TRUE))),"",IF(R50="","",VLOOKUP(R50,DESCRIPTORS,4,TRUE)))</f>
        <v>Advancing</v>
      </c>
      <c r="Z50" t="str">
        <f>IF(OR($F50="",$J50="",$N50="",$R50=""),"",IF($R50&gt;=75,"PASSED","FAILED"))</f>
        <v>PASSED</v>
      </c>
    </row>
    <row r="51">
      <c r="A51">
        <v>39</v>
      </c>
      <c r="B51" t="str">
        <f>INPUT!B50</f>
        <v>Zamora, Thomas</v>
      </c>
      <c r="F51">
        <f>TERM1!AA50</f>
        <v>97</v>
      </c>
      <c r="J51">
        <f>TERM2!AA50</f>
        <v>98</v>
      </c>
      <c r="N51">
        <f>TERM3!AA50</f>
        <v>99</v>
      </c>
      <c r="R51">
        <f>IF(OR(F51="",J51="",N51=""),"",IF(ISERROR(ROUND(AVERAGE(F51,J51,N51),0)),"",ROUND(AVERAGE(F51,J51,N51),0)))</f>
        <v>98</v>
      </c>
      <c r="V51" t="str">
        <f>IF(ISERROR(IF(R51="","",VLOOKUP(R51,DESCRIPTORS,4,TRUE))),"",IF(R51="","",VLOOKUP(R51,DESCRIPTORS,4,TRUE)))</f>
        <v>Advancing</v>
      </c>
      <c r="Z51" t="str">
        <f>IF(OR($F51="",$J51="",$N51="",$R51=""),"",IF($R51&gt;=75,"PASSED","FAILED"))</f>
        <v>PASSED</v>
      </c>
    </row>
    <row r="52">
      <c r="A52">
        <v>40</v>
      </c>
      <c r="B52" t="str">
        <f>INPUT!B51</f>
        <v>Zuniga, Vincent</v>
      </c>
      <c r="F52">
        <f>TERM1!AA51</f>
        <v>95</v>
      </c>
      <c r="J52">
        <f>TERM2!AA51</f>
        <v>97</v>
      </c>
      <c r="N52">
        <f>TERM3!AA51</f>
        <v>96</v>
      </c>
      <c r="R52">
        <f>IF(OR(F52="",J52="",N52=""),"",IF(ISERROR(ROUND(AVERAGE(F52,J52,N52),0)),"",ROUND(AVERAGE(F52,J52,N52),0)))</f>
        <v>96</v>
      </c>
      <c r="V52" t="str">
        <f>IF(ISERROR(IF(R52="","",VLOOKUP(R52,DESCRIPTORS,4,TRUE))),"",IF(R52="","",VLOOKUP(R52,DESCRIPTORS,4,TRUE)))</f>
        <v>Advancing</v>
      </c>
      <c r="Z52" t="str">
        <f>IF(OR($F52="",$J52="",$N52="",$R52=""),"",IF($R52&gt;=75,"PASSED","FAILED"))</f>
        <v>PASSED</v>
      </c>
    </row>
    <row r="53">
      <c r="A53">
        <v>41</v>
      </c>
      <c r="B53" t="str">
        <f>INPUT!B52</f>
        <v>Abad, Xavier</v>
      </c>
      <c r="F53">
        <f>TERM1!AA52</f>
        <v>95</v>
      </c>
      <c r="J53">
        <f>TERM2!AA52</f>
        <v>96</v>
      </c>
      <c r="N53">
        <f>TERM3!AA52</f>
        <v>95</v>
      </c>
      <c r="R53">
        <f>IF(OR(F53="",J53="",N53=""),"",IF(ISERROR(ROUND(AVERAGE(F53,J53,N53),0)),"",ROUND(AVERAGE(F53,J53,N53),0)))</f>
        <v>95</v>
      </c>
      <c r="V53" t="str">
        <f>IF(ISERROR(IF(R53="","",VLOOKUP(R53,DESCRIPTORS,4,TRUE))),"",IF(R53="","",VLOOKUP(R53,DESCRIPTORS,4,TRUE)))</f>
        <v>Advancing</v>
      </c>
      <c r="Z53" t="str">
        <f>IF(OR($F53="",$J53="",$N53="",$R53=""),"",IF($R53&gt;=75,"PASSED","FAILED"))</f>
        <v>PASSED</v>
      </c>
    </row>
    <row r="54">
      <c r="A54">
        <v>42</v>
      </c>
      <c r="B54" t="str">
        <f>INPUT!B53</f>
        <v>Agustin, Zachary</v>
      </c>
      <c r="F54">
        <f>TERM1!AA53</f>
        <v>96</v>
      </c>
      <c r="J54">
        <f>TERM2!AA53</f>
        <v>97</v>
      </c>
      <c r="N54">
        <f>TERM3!AA53</f>
        <v>97</v>
      </c>
      <c r="R54">
        <f>IF(OR(F54="",J54="",N54=""),"",IF(ISERROR(ROUND(AVERAGE(F54,J54,N54),0)),"",ROUND(AVERAGE(F54,J54,N54),0)))</f>
        <v>97</v>
      </c>
      <c r="V54" t="str">
        <f>IF(ISERROR(IF(R54="","",VLOOKUP(R54,DESCRIPTORS,4,TRUE))),"",IF(R54="","",VLOOKUP(R54,DESCRIPTORS,4,TRUE)))</f>
        <v>Advancing</v>
      </c>
      <c r="Z54" t="str">
        <f>IF(OR($F54="",$J54="",$N54="",$R54=""),"",IF($R54&gt;=75,"PASSED","FAILED"))</f>
        <v>PASSED</v>
      </c>
    </row>
    <row r="55">
      <c r="A55">
        <v>43</v>
      </c>
      <c r="B55" t="str">
        <f>INPUT!B54</f>
        <v>Alvarez, Alvin</v>
      </c>
      <c r="F55">
        <f>TERM1!AA54</f>
        <v>94</v>
      </c>
      <c r="J55">
        <f>TERM2!AA54</f>
        <v>95</v>
      </c>
      <c r="N55">
        <f>TERM3!AA54</f>
        <v>95</v>
      </c>
      <c r="R55">
        <f>IF(OR(F55="",J55="",N55=""),"",IF(ISERROR(ROUND(AVERAGE(F55,J55,N55),0)),"",ROUND(AVERAGE(F55,J55,N55),0)))</f>
        <v>95</v>
      </c>
      <c r="V55" t="str">
        <f>IF(ISERROR(IF(R55="","",VLOOKUP(R55,DESCRIPTORS,4,TRUE))),"",IF(R55="","",VLOOKUP(R55,DESCRIPTORS,4,TRUE)))</f>
        <v>Advancing</v>
      </c>
      <c r="Z55" t="str">
        <f>IF(OR($F55="",$J55="",$N55="",$R55=""),"",IF($R55&gt;=75,"PASSED","FAILED"))</f>
        <v>PASSED</v>
      </c>
    </row>
    <row r="56">
      <c r="A56">
        <v>44</v>
      </c>
      <c r="B56" t="str">
        <f>INPUT!B55</f>
        <v>Aquino, Andre</v>
      </c>
      <c r="F56">
        <f>TERM1!AA55</f>
        <v>98</v>
      </c>
      <c r="J56">
        <f>TERM2!AA55</f>
        <v>99</v>
      </c>
      <c r="N56">
        <f>TERM3!AA55</f>
        <v>100</v>
      </c>
      <c r="R56">
        <f>IF(OR(F56="",J56="",N56=""),"",IF(ISERROR(ROUND(AVERAGE(F56,J56,N56),0)),"",ROUND(AVERAGE(F56,J56,N56),0)))</f>
        <v>99</v>
      </c>
      <c r="V56" t="str">
        <f>IF(ISERROR(IF(R56="","",VLOOKUP(R56,DESCRIPTORS,4,TRUE))),"",IF(R56="","",VLOOKUP(R56,DESCRIPTORS,4,TRUE)))</f>
        <v>Advancing</v>
      </c>
      <c r="Z56" t="str">
        <f>IF(OR($F56="",$J56="",$N56="",$R56=""),"",IF($R56&gt;=75,"PASSED","FAILED"))</f>
        <v>PASSED</v>
      </c>
    </row>
    <row r="57">
      <c r="A57">
        <v>45</v>
      </c>
      <c r="B57" t="str">
        <f>INPUT!B56</f>
        <v>Arceo, Benedict</v>
      </c>
      <c r="F57">
        <f>TERM1!AA56</f>
        <v>91</v>
      </c>
      <c r="J57">
        <f>TERM2!AA56</f>
        <v>92</v>
      </c>
      <c r="N57">
        <f>TERM3!AA56</f>
        <v>91</v>
      </c>
      <c r="R57">
        <f>IF(OR(F57="",J57="",N57=""),"",IF(ISERROR(ROUND(AVERAGE(F57,J57,N57),0)),"",ROUND(AVERAGE(F57,J57,N57),0)))</f>
        <v>91</v>
      </c>
      <c r="V57" t="str">
        <f>IF(ISERROR(IF(R57="","",VLOOKUP(R57,DESCRIPTORS,4,TRUE))),"",IF(R57="","",VLOOKUP(R57,DESCRIPTORS,4,TRUE)))</f>
        <v>Advancing</v>
      </c>
      <c r="Z57" t="str">
        <f>IF(OR($F57="",$J57="",$N57="",$R57=""),"",IF($R57&gt;=75,"PASSED","FAILED"))</f>
        <v>PASSED</v>
      </c>
    </row>
    <row r="58">
      <c r="A58">
        <v>46</v>
      </c>
      <c r="B58" t="str">
        <f>INPUT!B57</f>
        <v>Arellano, Cyrus</v>
      </c>
      <c r="F58">
        <f>TERM1!AA57</f>
        <v>97</v>
      </c>
      <c r="J58">
        <f>TERM2!AA57</f>
        <v>95</v>
      </c>
      <c r="N58">
        <f>TERM3!AA57</f>
        <v>98</v>
      </c>
      <c r="R58">
        <f>IF(OR(F58="",J58="",N58=""),"",IF(ISERROR(ROUND(AVERAGE(F58,J58,N58),0)),"",ROUND(AVERAGE(F58,J58,N58),0)))</f>
        <v>97</v>
      </c>
      <c r="V58" t="str">
        <f>IF(ISERROR(IF(R58="","",VLOOKUP(R58,DESCRIPTORS,4,TRUE))),"",IF(R58="","",VLOOKUP(R58,DESCRIPTORS,4,TRUE)))</f>
        <v>Advancing</v>
      </c>
      <c r="Z58" t="str">
        <f>IF(OR($F58="",$J58="",$N58="",$R58=""),"",IF($R58&gt;=75,"PASSED","FAILED"))</f>
        <v>PASSED</v>
      </c>
    </row>
    <row r="59">
      <c r="A59">
        <v>47</v>
      </c>
      <c r="B59" t="str">
        <f>INPUT!B58</f>
        <v>Barrera, Dominic</v>
      </c>
      <c r="F59">
        <f>TERM1!AA58</f>
        <v>96</v>
      </c>
      <c r="J59">
        <f>TERM2!AA58</f>
        <v>95</v>
      </c>
      <c r="N59">
        <f>TERM3!AA58</f>
        <v>96</v>
      </c>
      <c r="R59">
        <f>IF(OR(F59="",J59="",N59=""),"",IF(ISERROR(ROUND(AVERAGE(F59,J59,N59),0)),"",ROUND(AVERAGE(F59,J59,N59),0)))</f>
        <v>96</v>
      </c>
      <c r="V59" t="str">
        <f>IF(ISERROR(IF(R59="","",VLOOKUP(R59,DESCRIPTORS,4,TRUE))),"",IF(R59="","",VLOOKUP(R59,DESCRIPTORS,4,TRUE)))</f>
        <v>Advancing</v>
      </c>
      <c r="Z59" t="str">
        <f>IF(OR($F59="",$J59="",$N59="",$R59=""),"",IF($R59&gt;=75,"PASSED","FAILED"))</f>
        <v>PASSED</v>
      </c>
    </row>
    <row r="60">
      <c r="A60">
        <v>48</v>
      </c>
      <c r="B60" t="str">
        <f>INPUT!B59</f>
        <v>Cabral, Emmanuel</v>
      </c>
      <c r="F60">
        <f>TERM1!AA59</f>
        <v>99</v>
      </c>
      <c r="J60">
        <f>TERM2!AA59</f>
        <v>99</v>
      </c>
      <c r="N60">
        <f>TERM3!AA59</f>
        <v>99</v>
      </c>
      <c r="R60">
        <f>IF(OR(F60="",J60="",N60=""),"",IF(ISERROR(ROUND(AVERAGE(F60,J60,N60),0)),"",ROUND(AVERAGE(F60,J60,N60),0)))</f>
        <v>99</v>
      </c>
      <c r="V60" t="str">
        <f>IF(ISERROR(IF(R60="","",VLOOKUP(R60,DESCRIPTORS,4,TRUE))),"",IF(R60="","",VLOOKUP(R60,DESCRIPTORS,4,TRUE)))</f>
        <v>Advancing</v>
      </c>
      <c r="Z60" t="str">
        <f>IF(OR($F60="",$J60="",$N60="",$R60=""),"",IF($R60&gt;=75,"PASSED","FAILED"))</f>
        <v>PASSED</v>
      </c>
    </row>
    <row r="61">
      <c r="A61">
        <v>49</v>
      </c>
      <c r="B61" t="str">
        <f>INPUT!B60</f>
        <v>David, Francis</v>
      </c>
      <c r="F61">
        <f>TERM1!AA60</f>
        <v>93</v>
      </c>
      <c r="J61">
        <f>TERM2!AA60</f>
        <v>96</v>
      </c>
      <c r="N61">
        <f>TERM3!AA60</f>
        <v>96</v>
      </c>
      <c r="R61">
        <f>IF(OR(F61="",J61="",N61=""),"",IF(ISERROR(ROUND(AVERAGE(F61,J61,N61),0)),"",ROUND(AVERAGE(F61,J61,N61),0)))</f>
        <v>95</v>
      </c>
      <c r="V61" t="str">
        <f>IF(ISERROR(IF(R61="","",VLOOKUP(R61,DESCRIPTORS,4,TRUE))),"",IF(R61="","",VLOOKUP(R61,DESCRIPTORS,4,TRUE)))</f>
        <v>Advancing</v>
      </c>
      <c r="Z61" t="str">
        <f>IF(OR($F61="",$J61="",$N61="",$R61=""),"",IF($R61&gt;=75,"PASSED","FAILED"))</f>
        <v>PASSED</v>
      </c>
    </row>
    <row r="62">
      <c r="A62">
        <v>50</v>
      </c>
      <c r="B62" t="str">
        <f>INPUT!B61</f>
        <v>Escobar, Gian</v>
      </c>
      <c r="C62">
        <v>0</v>
      </c>
      <c r="F62">
        <f>TERM1!AA61</f>
        <v>99</v>
      </c>
      <c r="J62">
        <f>TERM2!AA61</f>
        <v>100</v>
      </c>
      <c r="N62">
        <f>TERM3!AA61</f>
        <v>99</v>
      </c>
      <c r="R62">
        <f>IF(OR(F62="",J62="",N62=""),"",IF(ISERROR(ROUND(AVERAGE(F62,J62,N62),0)),"",ROUND(AVERAGE(F62,J62,N62),0)))</f>
        <v>99</v>
      </c>
      <c r="V62" t="str">
        <f>IF(ISERROR(IF(R62="","",VLOOKUP(R62,DESCRIPTORS,4,TRUE))),"",IF(R62="","",VLOOKUP(R62,DESCRIPTORS,4,TRUE)))</f>
        <v>Advancing</v>
      </c>
      <c r="Z62" t="str">
        <f>IF(OR($F62="",$J62="",$N62="",$R62=""),"",IF($R62&gt;=75,"PASSED","FAILED"))</f>
        <v>PASSED</v>
      </c>
    </row>
    <row r="63">
      <c r="B63" t="str">
        <v xml:space="preserve">FEMALE </v>
      </c>
      <c r="V63" t="str">
        <f>IF(OR(F63="",J63="",N63="",R63=""),"",IF(ISERROR(ROUND(AVERAGE(F63,J63,N63,R63),0)),"",ROUND(AVERAGE(F63,J63,N63,R63),0)))</f>
        <v/>
      </c>
      <c r="Z63" t="str">
        <f>IF(OR($F63="",$J63="",$N63="",$R63="",$V63=""),"",IF($V63&gt;=75,"PASSED","FAILED"))</f>
        <v/>
      </c>
    </row>
    <row r="64">
      <c r="A64">
        <v>1</v>
      </c>
      <c r="B64" t="str">
        <f>INPUT!B63</f>
        <v>Fernandez, Alyssa</v>
      </c>
      <c r="F64">
        <f>TERM1!AA63</f>
        <v>99</v>
      </c>
      <c r="J64">
        <f>TERM2!AA63</f>
        <v>98</v>
      </c>
      <c r="N64">
        <f>TERM3!AA63</f>
        <v>99</v>
      </c>
      <c r="R64">
        <f>IF(OR(F64="",J64="",N64=""),"",IF(ISERROR(ROUND(AVERAGE(F64,J64,N64),0)),"",ROUND(AVERAGE(F64,J64,N64),0)))</f>
        <v>99</v>
      </c>
      <c r="V64" t="str">
        <f>IF(ISERROR(IF(R64="","",VLOOKUP(R64,DESCRIPTORS,4,TRUE))),"",IF(R64="","",VLOOKUP(R64,DESCRIPTORS,4,TRUE)))</f>
        <v>Advancing</v>
      </c>
      <c r="Z64" t="str">
        <f>IF(OR($F64="",$J64="",$N64="",$R64=""),"",IF($R64&gt;=75,"PASSED","FAILED"))</f>
        <v>PASSED</v>
      </c>
    </row>
    <row r="65">
      <c r="A65">
        <v>2</v>
      </c>
      <c r="B65" t="str">
        <f>INPUT!B64</f>
        <v>Garcia, Angela</v>
      </c>
      <c r="F65">
        <f>TERM1!AA64</f>
        <v>93</v>
      </c>
      <c r="J65">
        <f>TERM2!AA64</f>
        <v>94</v>
      </c>
      <c r="N65">
        <f>TERM3!AA64</f>
        <v>95</v>
      </c>
      <c r="R65">
        <f>IF(OR(F65="",J65="",N65=""),"",IF(ISERROR(ROUND(AVERAGE(F65,J65,N65),0)),"",ROUND(AVERAGE(F65,J65,N65),0)))</f>
        <v>94</v>
      </c>
      <c r="V65" t="str">
        <f>IF(ISERROR(IF(R65="","",VLOOKUP(R65,DESCRIPTORS,4,TRUE))),"",IF(R65="","",VLOOKUP(R65,DESCRIPTORS,4,TRUE)))</f>
        <v>Advancing</v>
      </c>
      <c r="Z65" t="str">
        <f>IF(OR($F65="",$J65="",$N65="",$R65=""),"",IF($R65&gt;=75,"PASSED","FAILED"))</f>
        <v>PASSED</v>
      </c>
    </row>
    <row r="66">
      <c r="A66">
        <v>3</v>
      </c>
      <c r="B66" t="str">
        <f>INPUT!B65</f>
        <v>Gonzales, Bea</v>
      </c>
      <c r="F66">
        <f>TERM1!AA65</f>
        <v>94</v>
      </c>
      <c r="J66">
        <f>TERM2!AA65</f>
        <v>91</v>
      </c>
      <c r="N66">
        <f>TERM3!AA65</f>
        <v>93</v>
      </c>
      <c r="R66">
        <f>IF(OR(F66="",J66="",N66=""),"",IF(ISERROR(ROUND(AVERAGE(F66,J66,N66),0)),"",ROUND(AVERAGE(F66,J66,N66),0)))</f>
        <v>93</v>
      </c>
      <c r="V66" t="str">
        <f>IF(ISERROR(IF(R66="","",VLOOKUP(R66,DESCRIPTORS,4,TRUE))),"",IF(R66="","",VLOOKUP(R66,DESCRIPTORS,4,TRUE)))</f>
        <v>Advancing</v>
      </c>
      <c r="Z66" t="str">
        <f>IF(OR($F66="",$J66="",$N66="",$R66=""),"",IF($R66&gt;=75,"PASSED","FAILED"))</f>
        <v>PASSED</v>
      </c>
    </row>
    <row r="67">
      <c r="A67">
        <v>4</v>
      </c>
      <c r="B67" t="str">
        <f>INPUT!B66</f>
        <v>Hernandez, Bianca</v>
      </c>
      <c r="F67">
        <f>TERM1!AA66</f>
        <v>95</v>
      </c>
      <c r="J67">
        <f>TERM2!AA66</f>
        <v>97</v>
      </c>
      <c r="N67">
        <f>TERM3!AA66</f>
        <v>96</v>
      </c>
      <c r="R67">
        <f>IF(OR(F67="",J67="",N67=""),"",IF(ISERROR(ROUND(AVERAGE(F67,J67,N67),0)),"",ROUND(AVERAGE(F67,J67,N67),0)))</f>
        <v>96</v>
      </c>
      <c r="V67" t="str">
        <f>IF(ISERROR(IF(R67="","",VLOOKUP(R67,DESCRIPTORS,4,TRUE))),"",IF(R67="","",VLOOKUP(R67,DESCRIPTORS,4,TRUE)))</f>
        <v>Advancing</v>
      </c>
      <c r="Z67" t="str">
        <f>IF(OR($F67="",$J67="",$N67="",$R67=""),"",IF($R67&gt;=75,"PASSED","FAILED"))</f>
        <v>PASSED</v>
      </c>
    </row>
    <row r="68">
      <c r="A68">
        <v>5</v>
      </c>
      <c r="B68" t="str">
        <f>INPUT!B67</f>
        <v>Ilagan, Camille</v>
      </c>
      <c r="F68">
        <f>TERM1!AA67</f>
        <v>95</v>
      </c>
      <c r="J68">
        <f>TERM2!AA67</f>
        <v>96</v>
      </c>
      <c r="N68">
        <f>TERM3!AA67</f>
        <v>97</v>
      </c>
      <c r="R68">
        <f>IF(OR(F68="",J68="",N68=""),"",IF(ISERROR(ROUND(AVERAGE(F68,J68,N68),0)),"",ROUND(AVERAGE(F68,J68,N68),0)))</f>
        <v>96</v>
      </c>
      <c r="V68" t="str">
        <f>IF(ISERROR(IF(R68="","",VLOOKUP(R68,DESCRIPTORS,4,TRUE))),"",IF(R68="","",VLOOKUP(R68,DESCRIPTORS,4,TRUE)))</f>
        <v>Advancing</v>
      </c>
      <c r="Z68" t="str">
        <f>IF(OR($F68="",$J68="",$N68="",$R68=""),"",IF($R68&gt;=75,"PASSED","FAILED"))</f>
        <v>PASSED</v>
      </c>
    </row>
    <row r="69">
      <c r="A69">
        <v>6</v>
      </c>
      <c r="B69" t="str">
        <f>INPUT!B68</f>
        <v>Jimenez, Carla</v>
      </c>
      <c r="F69">
        <f>TERM1!AA68</f>
        <v>93</v>
      </c>
      <c r="J69">
        <f>TERM2!AA68</f>
        <v>94</v>
      </c>
      <c r="N69">
        <f>TERM3!AA68</f>
        <v>95</v>
      </c>
      <c r="R69">
        <f>IF(OR(F69="",J69="",N69=""),"",IF(ISERROR(ROUND(AVERAGE(F69,J69,N69),0)),"",ROUND(AVERAGE(F69,J69,N69),0)))</f>
        <v>94</v>
      </c>
      <c r="V69" t="str">
        <f>IF(ISERROR(IF(R69="","",VLOOKUP(R69,DESCRIPTORS,4,TRUE))),"",IF(R69="","",VLOOKUP(R69,DESCRIPTORS,4,TRUE)))</f>
        <v>Advancing</v>
      </c>
      <c r="Z69" t="str">
        <f>IF(OR($F69="",$J69="",$N69="",$R69=""),"",IF($R69&gt;=75,"PASSED","FAILED"))</f>
        <v>PASSED</v>
      </c>
    </row>
    <row r="70">
      <c r="A70">
        <v>7</v>
      </c>
      <c r="B70" t="str">
        <f>INPUT!B69</f>
        <v>Lacson, Chloe</v>
      </c>
      <c r="F70">
        <f>TERM1!AA69</f>
        <v>97</v>
      </c>
      <c r="J70">
        <f>TERM2!AA69</f>
        <v>97</v>
      </c>
      <c r="N70">
        <f>TERM3!AA69</f>
        <v>98</v>
      </c>
      <c r="R70">
        <f>IF(OR(F70="",J70="",N70=""),"",IF(ISERROR(ROUND(AVERAGE(F70,J70,N70),0)),"",ROUND(AVERAGE(F70,J70,N70),0)))</f>
        <v>97</v>
      </c>
      <c r="V70" t="str">
        <f>IF(ISERROR(IF(R70="","",VLOOKUP(R70,DESCRIPTORS,4,TRUE))),"",IF(R70="","",VLOOKUP(R70,DESCRIPTORS,4,TRUE)))</f>
        <v>Advancing</v>
      </c>
      <c r="Z70" t="str">
        <f>IF(OR($F70="",$J70="",$N70="",$R70=""),"",IF($R70&gt;=75,"PASSED","FAILED"))</f>
        <v>PASSED</v>
      </c>
    </row>
    <row r="71">
      <c r="A71">
        <v>8</v>
      </c>
      <c r="B71" t="str">
        <f>INPUT!B70</f>
        <v>Lim, Clarisse</v>
      </c>
      <c r="F71">
        <f>TERM1!AA70</f>
        <v>99</v>
      </c>
      <c r="J71">
        <f>TERM2!AA70</f>
        <v>99</v>
      </c>
      <c r="N71">
        <f>TERM3!AA70</f>
        <v>99</v>
      </c>
      <c r="R71">
        <f>IF(OR(F71="",J71="",N71=""),"",IF(ISERROR(ROUND(AVERAGE(F71,J71,N71),0)),"",ROUND(AVERAGE(F71,J71,N71),0)))</f>
        <v>99</v>
      </c>
      <c r="V71" t="str">
        <f>IF(ISERROR(IF(R71="","",VLOOKUP(R71,DESCRIPTORS,4,TRUE))),"",IF(R71="","",VLOOKUP(R71,DESCRIPTORS,4,TRUE)))</f>
        <v>Advancing</v>
      </c>
      <c r="Z71" t="str">
        <f>IF(OR($F71="",$J71="",$N71="",$R71=""),"",IF($R71&gt;=75,"PASSED","FAILED"))</f>
        <v>PASSED</v>
      </c>
    </row>
    <row r="72">
      <c r="A72">
        <v>9</v>
      </c>
      <c r="B72" t="str">
        <f>INPUT!B71</f>
        <v>Manalo, Danica</v>
      </c>
      <c r="F72">
        <f>TERM1!AA71</f>
        <v>97</v>
      </c>
      <c r="J72">
        <f>TERM2!AA71</f>
        <v>98</v>
      </c>
      <c r="N72">
        <f>TERM3!AA71</f>
        <v>98</v>
      </c>
      <c r="R72">
        <f>IF(OR(F72="",J72="",N72=""),"",IF(ISERROR(ROUND(AVERAGE(F72,J72,N72),0)),"",ROUND(AVERAGE(F72,J72,N72),0)))</f>
        <v>98</v>
      </c>
      <c r="V72" t="str">
        <f>IF(ISERROR(IF(R72="","",VLOOKUP(R72,DESCRIPTORS,4,TRUE))),"",IF(R72="","",VLOOKUP(R72,DESCRIPTORS,4,TRUE)))</f>
        <v>Advancing</v>
      </c>
      <c r="Z72" t="str">
        <f>IF(OR($F72="",$J72="",$N72="",$R72=""),"",IF($R72&gt;=75,"PASSED","FAILED"))</f>
        <v>PASSED</v>
      </c>
    </row>
    <row r="73">
      <c r="A73">
        <v>10</v>
      </c>
      <c r="B73" t="str">
        <f>INPUT!B72</f>
        <v>Mendoza, Diana</v>
      </c>
      <c r="F73">
        <f>TERM1!AA72</f>
        <v>95</v>
      </c>
      <c r="J73">
        <f>TERM2!AA72</f>
        <v>97</v>
      </c>
      <c r="N73">
        <f>TERM3!AA72</f>
        <v>94</v>
      </c>
      <c r="R73">
        <f>IF(OR(F73="",J73="",N73=""),"",IF(ISERROR(ROUND(AVERAGE(F73,J73,N73),0)),"",ROUND(AVERAGE(F73,J73,N73),0)))</f>
        <v>95</v>
      </c>
      <c r="V73" t="str">
        <f>IF(ISERROR(IF(R73="","",VLOOKUP(R73,DESCRIPTORS,4,TRUE))),"",IF(R73="","",VLOOKUP(R73,DESCRIPTORS,4,TRUE)))</f>
        <v>Advancing</v>
      </c>
      <c r="Z73" t="str">
        <f>IF(OR($F73="",$J73="",$N73="",$R73=""),"",IF($R73&gt;=75,"PASSED","FAILED"))</f>
        <v>PASSED</v>
      </c>
    </row>
    <row r="74">
      <c r="A74">
        <v>11</v>
      </c>
      <c r="B74" t="str">
        <f>INPUT!B73</f>
        <v>Navarro, Elena</v>
      </c>
      <c r="F74">
        <f>TERM1!AA73</f>
        <v>97</v>
      </c>
      <c r="J74">
        <f>TERM2!AA73</f>
        <v>98</v>
      </c>
      <c r="N74">
        <f>TERM3!AA73</f>
        <v>97</v>
      </c>
      <c r="R74">
        <f>IF(OR(F74="",J74="",N74=""),"",IF(ISERROR(ROUND(AVERAGE(F74,J74,N74),0)),"",ROUND(AVERAGE(F74,J74,N74),0)))</f>
        <v>97</v>
      </c>
      <c r="V74" t="str">
        <f>IF(ISERROR(IF(R74="","",VLOOKUP(R74,DESCRIPTORS,4,TRUE))),"",IF(R74="","",VLOOKUP(R74,DESCRIPTORS,4,TRUE)))</f>
        <v>Advancing</v>
      </c>
      <c r="Z74" t="str">
        <f>IF(OR($F74="",$J74="",$N74="",$R74=""),"",IF($R74&gt;=75,"PASSED","FAILED"))</f>
        <v>PASSED</v>
      </c>
    </row>
    <row r="75">
      <c r="A75">
        <v>12</v>
      </c>
      <c r="B75" t="str">
        <f>INPUT!B74</f>
        <v>Ocampo, Ella</v>
      </c>
      <c r="F75">
        <f>TERM1!AA74</f>
        <v>94</v>
      </c>
      <c r="J75">
        <f>TERM2!AA74</f>
        <v>93</v>
      </c>
      <c r="N75">
        <f>TERM3!AA74</f>
        <v>94</v>
      </c>
      <c r="R75">
        <f>IF(OR(F75="",J75="",N75=""),"",IF(ISERROR(ROUND(AVERAGE(F75,J75,N75),0)),"",ROUND(AVERAGE(F75,J75,N75),0)))</f>
        <v>94</v>
      </c>
      <c r="V75" t="str">
        <f>IF(ISERROR(IF(R75="","",VLOOKUP(R75,DESCRIPTORS,4,TRUE))),"",IF(R75="","",VLOOKUP(R75,DESCRIPTORS,4,TRUE)))</f>
        <v>Advancing</v>
      </c>
      <c r="Z75" t="str">
        <f>IF(OR($F75="",$J75="",$N75="",$R75=""),"",IF($R75&gt;=75,"PASSED","FAILED"))</f>
        <v>PASSED</v>
      </c>
    </row>
    <row r="76">
      <c r="A76">
        <v>13</v>
      </c>
      <c r="B76" t="str">
        <f>INPUT!B75</f>
        <v>Ortega, Erika</v>
      </c>
      <c r="F76">
        <f>TERM1!AA75</f>
        <v>100</v>
      </c>
      <c r="J76">
        <f>TERM2!AA75</f>
        <v>99</v>
      </c>
      <c r="N76">
        <f>TERM3!AA75</f>
        <v>99</v>
      </c>
      <c r="R76">
        <f>IF(OR(F76="",J76="",N76=""),"",IF(ISERROR(ROUND(AVERAGE(F76,J76,N76),0)),"",ROUND(AVERAGE(F76,J76,N76),0)))</f>
        <v>99</v>
      </c>
      <c r="V76" t="str">
        <f>IF(ISERROR(IF(R76="","",VLOOKUP(R76,DESCRIPTORS,4,TRUE))),"",IF(R76="","",VLOOKUP(R76,DESCRIPTORS,4,TRUE)))</f>
        <v>Advancing</v>
      </c>
      <c r="Z76" t="str">
        <f>IF(OR($F76="",$J76="",$N76="",$R76=""),"",IF($R76&gt;=75,"PASSED","FAILED"))</f>
        <v>PASSED</v>
      </c>
    </row>
    <row r="77">
      <c r="A77">
        <v>14</v>
      </c>
      <c r="B77" t="str">
        <f>INPUT!B76</f>
        <v>Pascual, Faith</v>
      </c>
      <c r="F77">
        <f>TERM1!AA76</f>
        <v>98</v>
      </c>
      <c r="J77">
        <f>TERM2!AA76</f>
        <v>97</v>
      </c>
      <c r="N77">
        <f>TERM3!AA76</f>
        <v>97</v>
      </c>
      <c r="R77">
        <f>IF(OR(F77="",J77="",N77=""),"",IF(ISERROR(ROUND(AVERAGE(F77,J77,N77),0)),"",ROUND(AVERAGE(F77,J77,N77),0)))</f>
        <v>97</v>
      </c>
      <c r="V77" t="str">
        <f>IF(ISERROR(IF(R77="","",VLOOKUP(R77,DESCRIPTORS,4,TRUE))),"",IF(R77="","",VLOOKUP(R77,DESCRIPTORS,4,TRUE)))</f>
        <v>Advancing</v>
      </c>
      <c r="Z77" t="str">
        <f>IF(OR($F77="",$J77="",$N77="",$R77=""),"",IF($R77&gt;=75,"PASSED","FAILED"))</f>
        <v>PASSED</v>
      </c>
    </row>
    <row r="78">
      <c r="A78">
        <v>15</v>
      </c>
      <c r="B78" t="str">
        <f>INPUT!B77</f>
        <v>Quizon, Gabrielle</v>
      </c>
      <c r="F78">
        <f>TERM1!AA77</f>
        <v>99</v>
      </c>
      <c r="J78">
        <f>TERM2!AA77</f>
        <v>99</v>
      </c>
      <c r="N78">
        <f>TERM3!AA77</f>
        <v>99</v>
      </c>
      <c r="R78">
        <f>IF(OR(F78="",J78="",N78=""),"",IF(ISERROR(ROUND(AVERAGE(F78,J78,N78),0)),"",ROUND(AVERAGE(F78,J78,N78),0)))</f>
        <v>99</v>
      </c>
      <c r="V78" t="str">
        <f>IF(ISERROR(IF(R78="","",VLOOKUP(R78,DESCRIPTORS,4,TRUE))),"",IF(R78="","",VLOOKUP(R78,DESCRIPTORS,4,TRUE)))</f>
        <v>Advancing</v>
      </c>
      <c r="Z78" t="str">
        <f>IF(OR($F78="",$J78="",$N78="",$R78=""),"",IF($R78&gt;=75,"PASSED","FAILED"))</f>
        <v>PASSED</v>
      </c>
    </row>
    <row r="79">
      <c r="A79">
        <v>16</v>
      </c>
      <c r="B79" t="str">
        <f>INPUT!B78</f>
        <v>Ramos, Hannah</v>
      </c>
      <c r="F79">
        <f>TERM1!AA78</f>
        <v>95</v>
      </c>
      <c r="J79">
        <f>TERM2!AA78</f>
        <v>97</v>
      </c>
      <c r="N79">
        <f>TERM3!AA78</f>
        <v>96</v>
      </c>
      <c r="R79">
        <f>IF(OR(F79="",J79="",N79=""),"",IF(ISERROR(ROUND(AVERAGE(F79,J79,N79),0)),"",ROUND(AVERAGE(F79,J79,N79),0)))</f>
        <v>96</v>
      </c>
      <c r="V79" t="str">
        <f>IF(ISERROR(IF(R79="","",VLOOKUP(R79,DESCRIPTORS,4,TRUE))),"",IF(R79="","",VLOOKUP(R79,DESCRIPTORS,4,TRUE)))</f>
        <v>Advancing</v>
      </c>
      <c r="Z79" t="str">
        <f>IF(OR($F79="",$J79="",$N79="",$R79=""),"",IF($R79&gt;=75,"PASSED","FAILED"))</f>
        <v>PASSED</v>
      </c>
    </row>
    <row r="80">
      <c r="A80">
        <v>17</v>
      </c>
      <c r="B80" t="str">
        <f>INPUT!B79</f>
        <v>Reyes, Isabelle</v>
      </c>
      <c r="F80">
        <f>TERM1!AA79</f>
        <v>96</v>
      </c>
      <c r="J80">
        <f>TERM2!AA79</f>
        <v>97</v>
      </c>
      <c r="N80">
        <f>TERM3!AA79</f>
        <v>97</v>
      </c>
      <c r="R80">
        <f>IF(OR(F80="",J80="",N80=""),"",IF(ISERROR(ROUND(AVERAGE(F80,J80,N80),0)),"",ROUND(AVERAGE(F80,J80,N80),0)))</f>
        <v>97</v>
      </c>
      <c r="V80" t="str">
        <f>IF(ISERROR(IF(R80="","",VLOOKUP(R80,DESCRIPTORS,4,TRUE))),"",IF(R80="","",VLOOKUP(R80,DESCRIPTORS,4,TRUE)))</f>
        <v>Advancing</v>
      </c>
      <c r="Z80" t="str">
        <f>IF(OR($F80="",$J80="",$N80="",$R80=""),"",IF($R80&gt;=75,"PASSED","FAILED"))</f>
        <v>PASSED</v>
      </c>
    </row>
    <row r="81">
      <c r="A81">
        <v>18</v>
      </c>
      <c r="B81" t="str">
        <f>INPUT!B80</f>
        <v>Rivera, Jasmine</v>
      </c>
      <c r="F81">
        <f>TERM1!AA80</f>
        <v>98</v>
      </c>
      <c r="J81">
        <f>TERM2!AA80</f>
        <v>98</v>
      </c>
      <c r="N81">
        <f>TERM3!AA80</f>
        <v>98</v>
      </c>
      <c r="R81">
        <f>IF(OR(F81="",J81="",N81=""),"",IF(ISERROR(ROUND(AVERAGE(F81,J81,N81),0)),"",ROUND(AVERAGE(F81,J81,N81),0)))</f>
        <v>98</v>
      </c>
      <c r="V81" t="str">
        <f>IF(ISERROR(IF(R81="","",VLOOKUP(R81,DESCRIPTORS,4,TRUE))),"",IF(R81="","",VLOOKUP(R81,DESCRIPTORS,4,TRUE)))</f>
        <v>Advancing</v>
      </c>
      <c r="Z81" t="str">
        <f>IF(OR($F81="",$J81="",$N81="",$R81=""),"",IF($R81&gt;=75,"PASSED","FAILED"))</f>
        <v>PASSED</v>
      </c>
    </row>
    <row r="82">
      <c r="A82">
        <v>19</v>
      </c>
      <c r="B82" t="str">
        <f>INPUT!B81</f>
        <v>Rosales, Jillian</v>
      </c>
      <c r="F82">
        <f>TERM1!AA81</f>
        <v>96</v>
      </c>
      <c r="J82">
        <f>TERM2!AA81</f>
        <v>97</v>
      </c>
      <c r="N82">
        <f>TERM3!AA81</f>
        <v>96</v>
      </c>
      <c r="R82">
        <f>IF(OR(F82="",J82="",N82=""),"",IF(ISERROR(ROUND(AVERAGE(F82,J82,N82),0)),"",ROUND(AVERAGE(F82,J82,N82),0)))</f>
        <v>96</v>
      </c>
      <c r="V82" t="str">
        <f>IF(ISERROR(IF(R82="","",VLOOKUP(R82,DESCRIPTORS,4,TRUE))),"",IF(R82="","",VLOOKUP(R82,DESCRIPTORS,4,TRUE)))</f>
        <v>Advancing</v>
      </c>
      <c r="Z82" t="str">
        <f>IF(OR($F82="",$J82="",$N82="",$R82=""),"",IF($R82&gt;=75,"PASSED","FAILED"))</f>
        <v>PASSED</v>
      </c>
    </row>
    <row r="83">
      <c r="A83">
        <v>20</v>
      </c>
      <c r="B83" t="str">
        <f>INPUT!B82</f>
        <v>Salazar, Julia</v>
      </c>
      <c r="F83">
        <f>TERM1!AA82</f>
        <v>95</v>
      </c>
      <c r="J83">
        <f>TERM2!AA82</f>
        <v>97</v>
      </c>
      <c r="N83">
        <f>TERM3!AA82</f>
        <v>98</v>
      </c>
      <c r="R83">
        <f>IF(OR(F83="",J83="",N83=""),"",IF(ISERROR(ROUND(AVERAGE(F83,J83,N83),0)),"",ROUND(AVERAGE(F83,J83,N83),0)))</f>
        <v>97</v>
      </c>
      <c r="V83" t="str">
        <f>IF(ISERROR(IF(R83="","",VLOOKUP(R83,DESCRIPTORS,4,TRUE))),"",IF(R83="","",VLOOKUP(R83,DESCRIPTORS,4,TRUE)))</f>
        <v>Advancing</v>
      </c>
      <c r="Z83" t="str">
        <f>IF(OR($F83="",$J83="",$N83="",$R83=""),"",IF($R83&gt;=75,"PASSED","FAILED"))</f>
        <v>PASSED</v>
      </c>
    </row>
    <row r="84">
      <c r="A84">
        <v>21</v>
      </c>
      <c r="B84" t="str">
        <f>INPUT!B83</f>
        <v>Santiago, Katrina</v>
      </c>
      <c r="F84">
        <f>TERM1!AA83</f>
        <v>98</v>
      </c>
      <c r="J84">
        <f>TERM2!AA83</f>
        <v>96</v>
      </c>
      <c r="N84">
        <f>TERM3!AA83</f>
        <v>99</v>
      </c>
      <c r="R84">
        <f>IF(OR(F84="",J84="",N84=""),"",IF(ISERROR(ROUND(AVERAGE(F84,J84,N84),0)),"",ROUND(AVERAGE(F84,J84,N84),0)))</f>
        <v>98</v>
      </c>
      <c r="V84" t="str">
        <f>IF(ISERROR(IF(R84="","",VLOOKUP(R84,DESCRIPTORS,4,TRUE))),"",IF(R84="","",VLOOKUP(R84,DESCRIPTORS,4,TRUE)))</f>
        <v>Advancing</v>
      </c>
      <c r="Z84" t="str">
        <f>IF(OR($F84="",$J84="",$N84="",$R84=""),"",IF($R84&gt;=75,"PASSED","FAILED"))</f>
        <v>PASSED</v>
      </c>
    </row>
    <row r="85">
      <c r="A85">
        <v>22</v>
      </c>
      <c r="B85" t="str">
        <f>INPUT!B84</f>
        <v>Santos, Kayla</v>
      </c>
      <c r="F85">
        <f>TERM1!AA84</f>
        <v>93</v>
      </c>
      <c r="J85">
        <f>TERM2!AA84</f>
        <v>91</v>
      </c>
      <c r="N85">
        <f>TERM3!AA84</f>
        <v>94</v>
      </c>
      <c r="R85">
        <f>IF(OR(F85="",J85="",N85=""),"",IF(ISERROR(ROUND(AVERAGE(F85,J85,N85),0)),"",ROUND(AVERAGE(F85,J85,N85),0)))</f>
        <v>93</v>
      </c>
      <c r="V85" t="str">
        <f>IF(ISERROR(IF(R85="","",VLOOKUP(R85,DESCRIPTORS,4,TRUE))),"",IF(R85="","",VLOOKUP(R85,DESCRIPTORS,4,TRUE)))</f>
        <v>Advancing</v>
      </c>
      <c r="Z85" t="str">
        <f>IF(OR($F85="",$J85="",$N85="",$R85=""),"",IF($R85&gt;=75,"PASSED","FAILED"))</f>
        <v>PASSED</v>
      </c>
    </row>
    <row r="86">
      <c r="A86">
        <v>23</v>
      </c>
      <c r="B86" t="str">
        <f>INPUT!B85</f>
        <v>Soriano, Kiana</v>
      </c>
      <c r="F86">
        <f>TERM1!AA85</f>
        <v>98</v>
      </c>
      <c r="J86">
        <f>TERM2!AA85</f>
        <v>98</v>
      </c>
      <c r="N86">
        <f>TERM3!AA85</f>
        <v>98</v>
      </c>
      <c r="R86">
        <f>IF(OR(F86="",J86="",N86=""),"",IF(ISERROR(ROUND(AVERAGE(F86,J86,N86),0)),"",ROUND(AVERAGE(F86,J86,N86),0)))</f>
        <v>98</v>
      </c>
      <c r="V86" t="str">
        <f>IF(ISERROR(IF(R86="","",VLOOKUP(R86,DESCRIPTORS,4,TRUE))),"",IF(R86="","",VLOOKUP(R86,DESCRIPTORS,4,TRUE)))</f>
        <v>Advancing</v>
      </c>
      <c r="Z86" t="str">
        <f>IF(OR($F86="",$J86="",$N86="",$R86=""),"",IF($R86&gt;=75,"PASSED","FAILED"))</f>
        <v>PASSED</v>
      </c>
    </row>
    <row r="87">
      <c r="A87">
        <v>24</v>
      </c>
      <c r="B87" t="str">
        <f>INPUT!B86</f>
        <v>Torres, Leah</v>
      </c>
      <c r="F87">
        <f>TERM1!AA86</f>
        <v>96</v>
      </c>
      <c r="J87">
        <f>TERM2!AA86</f>
        <v>98</v>
      </c>
      <c r="N87">
        <f>TERM3!AA86</f>
        <v>98</v>
      </c>
      <c r="R87">
        <f>IF(OR(F87="",J87="",N87=""),"",IF(ISERROR(ROUND(AVERAGE(F87,J87,N87),0)),"",ROUND(AVERAGE(F87,J87,N87),0)))</f>
        <v>97</v>
      </c>
      <c r="V87" t="str">
        <f>IF(ISERROR(IF(R87="","",VLOOKUP(R87,DESCRIPTORS,4,TRUE))),"",IF(R87="","",VLOOKUP(R87,DESCRIPTORS,4,TRUE)))</f>
        <v>Advancing</v>
      </c>
      <c r="Z87" t="str">
        <f>IF(OR($F87="",$J87="",$N87="",$R87=""),"",IF($R87&gt;=75,"PASSED","FAILED"))</f>
        <v>PASSED</v>
      </c>
    </row>
    <row r="88">
      <c r="A88">
        <v>25</v>
      </c>
      <c r="B88" t="str">
        <f>INPUT!B87</f>
        <v>Valdez, Liana</v>
      </c>
      <c r="F88">
        <f>TERM1!AA87</f>
        <v>96</v>
      </c>
      <c r="J88">
        <f>TERM2!AA87</f>
        <v>97</v>
      </c>
      <c r="N88">
        <f>TERM3!AA87</f>
        <v>98</v>
      </c>
      <c r="R88">
        <f>IF(OR(F88="",J88="",N88=""),"",IF(ISERROR(ROUND(AVERAGE(F88,J88,N88),0)),"",ROUND(AVERAGE(F88,J88,N88),0)))</f>
        <v>97</v>
      </c>
      <c r="V88" t="str">
        <f>IF(ISERROR(IF(R88="","",VLOOKUP(R88,DESCRIPTORS,4,TRUE))),"",IF(R88="","",VLOOKUP(R88,DESCRIPTORS,4,TRUE)))</f>
        <v>Advancing</v>
      </c>
      <c r="Z88" t="str">
        <f>IF(OR($F88="",$J88="",$N88="",$R88=""),"",IF($R88&gt;=75,"PASSED","FAILED"))</f>
        <v>PASSED</v>
      </c>
    </row>
    <row r="89">
      <c r="A89">
        <v>26</v>
      </c>
      <c r="B89" t="str">
        <f>INPUT!B88</f>
        <v>Velasco, Lia</v>
      </c>
      <c r="F89">
        <f>TERM1!AA88</f>
        <v>97</v>
      </c>
      <c r="J89">
        <f>TERM2!AA88</f>
        <v>97</v>
      </c>
      <c r="N89">
        <f>TERM3!AA88</f>
        <v>98</v>
      </c>
      <c r="R89">
        <f>IF(OR(F89="",J89="",N89=""),"",IF(ISERROR(ROUND(AVERAGE(F89,J89,N89),0)),"",ROUND(AVERAGE(F89,J89,N89),0)))</f>
        <v>97</v>
      </c>
      <c r="V89" t="str">
        <f>IF(ISERROR(IF(R89="","",VLOOKUP(R89,DESCRIPTORS,4,TRUE))),"",IF(R89="","",VLOOKUP(R89,DESCRIPTORS,4,TRUE)))</f>
        <v>Advancing</v>
      </c>
      <c r="Z89" t="str">
        <f>IF(OR($F89="",$J89="",$N89="",$R89=""),"",IF($R89&gt;=75,"PASSED","FAILED"))</f>
        <v>PASSED</v>
      </c>
    </row>
    <row r="90">
      <c r="A90">
        <v>27</v>
      </c>
      <c r="B90" t="str">
        <f>INPUT!B89</f>
        <v>Villanueva, Mara</v>
      </c>
      <c r="F90">
        <f>TERM1!AA89</f>
        <v>99</v>
      </c>
      <c r="J90">
        <f>TERM2!AA89</f>
        <v>99</v>
      </c>
      <c r="N90">
        <f>TERM3!AA89</f>
        <v>100</v>
      </c>
      <c r="R90">
        <f>IF(OR(F90="",J90="",N90=""),"",IF(ISERROR(ROUND(AVERAGE(F90,J90,N90),0)),"",ROUND(AVERAGE(F90,J90,N90),0)))</f>
        <v>99</v>
      </c>
      <c r="V90" t="str">
        <f>IF(ISERROR(IF(R90="","",VLOOKUP(R90,DESCRIPTORS,4,TRUE))),"",IF(R90="","",VLOOKUP(R90,DESCRIPTORS,4,TRUE)))</f>
        <v>Advancing</v>
      </c>
      <c r="Z90" t="str">
        <f>IF(OR($F90="",$J90="",$N90="",$R90=""),"",IF($R90&gt;=75,"PASSED","FAILED"))</f>
        <v>PASSED</v>
      </c>
    </row>
    <row r="91">
      <c r="A91">
        <v>28</v>
      </c>
      <c r="B91" t="str">
        <f>INPUT!B90</f>
        <v>Yap, Maria</v>
      </c>
      <c r="F91">
        <f>TERM1!AA90</f>
        <v>93</v>
      </c>
      <c r="J91">
        <f>TERM2!AA90</f>
        <v>96</v>
      </c>
      <c r="N91">
        <f>TERM3!AA90</f>
        <v>93</v>
      </c>
      <c r="R91">
        <f>IF(OR(F91="",J91="",N91=""),"",IF(ISERROR(ROUND(AVERAGE(F91,J91,N91),0)),"",ROUND(AVERAGE(F91,J91,N91),0)))</f>
        <v>94</v>
      </c>
      <c r="V91" t="str">
        <f>IF(ISERROR(IF(R91="","",VLOOKUP(R91,DESCRIPTORS,4,TRUE))),"",IF(R91="","",VLOOKUP(R91,DESCRIPTORS,4,TRUE)))</f>
        <v>Advancing</v>
      </c>
      <c r="Z91" t="str">
        <f>IF(OR($F91="",$J91="",$N91="",$R91=""),"",IF($R91&gt;=75,"PASSED","FAILED"))</f>
        <v>PASSED</v>
      </c>
    </row>
    <row r="92">
      <c r="A92">
        <v>29</v>
      </c>
      <c r="B92" t="str">
        <f>INPUT!B91</f>
        <v>Zamora, Mika</v>
      </c>
      <c r="F92">
        <f>TERM1!AA91</f>
        <v>94</v>
      </c>
      <c r="J92">
        <f>TERM2!AA91</f>
        <v>95</v>
      </c>
      <c r="N92">
        <f>TERM3!AA91</f>
        <v>96</v>
      </c>
      <c r="R92">
        <f>IF(OR(F92="",J92="",N92=""),"",IF(ISERROR(ROUND(AVERAGE(F92,J92,N92),0)),"",ROUND(AVERAGE(F92,J92,N92),0)))</f>
        <v>95</v>
      </c>
      <c r="V92" t="str">
        <f>IF(ISERROR(IF(R92="","",VLOOKUP(R92,DESCRIPTORS,4,TRUE))),"",IF(R92="","",VLOOKUP(R92,DESCRIPTORS,4,TRUE)))</f>
        <v>Advancing</v>
      </c>
      <c r="Z92" t="str">
        <f>IF(OR($F92="",$J92="",$N92="",$R92=""),"",IF($R92&gt;=75,"PASSED","FAILED"))</f>
        <v>PASSED</v>
      </c>
    </row>
    <row r="93">
      <c r="A93">
        <v>30</v>
      </c>
      <c r="B93" t="str">
        <f>INPUT!B92</f>
        <v>Zuniga, Nicole</v>
      </c>
      <c r="F93">
        <f>TERM1!AA92</f>
        <v>99</v>
      </c>
      <c r="J93">
        <f>TERM2!AA92</f>
        <v>99</v>
      </c>
      <c r="N93">
        <f>TERM3!AA92</f>
        <v>99</v>
      </c>
      <c r="R93">
        <f>IF(OR(F93="",J93="",N93=""),"",IF(ISERROR(ROUND(AVERAGE(F93,J93,N93),0)),"",ROUND(AVERAGE(F93,J93,N93),0)))</f>
        <v>99</v>
      </c>
      <c r="V93" t="str">
        <f>IF(ISERROR(IF(R93="","",VLOOKUP(R93,DESCRIPTORS,4,TRUE))),"",IF(R93="","",VLOOKUP(R93,DESCRIPTORS,4,TRUE)))</f>
        <v>Advancing</v>
      </c>
      <c r="Z93" t="str">
        <f>IF(OR($F93="",$J93="",$N93="",$R93=""),"",IF($R93&gt;=75,"PASSED","FAILED"))</f>
        <v>PASSED</v>
      </c>
    </row>
    <row r="94">
      <c r="A94">
        <v>31</v>
      </c>
      <c r="B94" t="str">
        <f>INPUT!B93</f>
        <v>Abad, Patricia</v>
      </c>
      <c r="F94">
        <f>TERM1!AA93</f>
        <v>97</v>
      </c>
      <c r="J94">
        <f>TERM2!AA93</f>
        <v>97</v>
      </c>
      <c r="N94">
        <f>TERM3!AA93</f>
        <v>97</v>
      </c>
      <c r="R94">
        <f>IF(OR(F94="",J94="",N94=""),"",IF(ISERROR(ROUND(AVERAGE(F94,J94,N94),0)),"",ROUND(AVERAGE(F94,J94,N94),0)))</f>
        <v>97</v>
      </c>
      <c r="V94" t="str">
        <f>IF(ISERROR(IF(R94="","",VLOOKUP(R94,DESCRIPTORS,4,TRUE))),"",IF(R94="","",VLOOKUP(R94,DESCRIPTORS,4,TRUE)))</f>
        <v>Advancing</v>
      </c>
      <c r="Z94" t="str">
        <f>IF(OR($F94="",$J94="",$N94="",$R94=""),"",IF($R94&gt;=75,"PASSED","FAILED"))</f>
        <v>PASSED</v>
      </c>
    </row>
    <row r="95">
      <c r="A95">
        <v>32</v>
      </c>
      <c r="B95" t="str">
        <f>INPUT!B94</f>
        <v>Agustin, Rachel</v>
      </c>
      <c r="F95">
        <f>TERM1!AA94</f>
        <v>99</v>
      </c>
      <c r="J95">
        <f>TERM2!AA94</f>
        <v>98</v>
      </c>
      <c r="N95">
        <f>TERM3!AA94</f>
        <v>99</v>
      </c>
      <c r="R95">
        <f>IF(OR(F95="",J95="",N95=""),"",IF(ISERROR(ROUND(AVERAGE(F95,J95,N95),0)),"",ROUND(AVERAGE(F95,J95,N95),0)))</f>
        <v>99</v>
      </c>
      <c r="V95" t="str">
        <f>IF(ISERROR(IF(R95="","",VLOOKUP(R95,DESCRIPTORS,4,TRUE))),"",IF(R95="","",VLOOKUP(R95,DESCRIPTORS,4,TRUE)))</f>
        <v>Advancing</v>
      </c>
      <c r="Z95" t="str">
        <f>IF(OR($F95="",$J95="",$N95="",$R95=""),"",IF($R95&gt;=75,"PASSED","FAILED"))</f>
        <v>PASSED</v>
      </c>
    </row>
    <row r="96">
      <c r="A96">
        <v>33</v>
      </c>
      <c r="B96" t="str">
        <f>INPUT!B95</f>
        <v>Alvarez, Rebecca</v>
      </c>
      <c r="F96">
        <f>TERM1!AA95</f>
        <v>95</v>
      </c>
      <c r="J96">
        <f>TERM2!AA95</f>
        <v>96</v>
      </c>
      <c r="N96">
        <f>TERM3!AA95</f>
        <v>96</v>
      </c>
      <c r="R96">
        <f>IF(OR(F96="",J96="",N96=""),"",IF(ISERROR(ROUND(AVERAGE(F96,J96,N96),0)),"",ROUND(AVERAGE(F96,J96,N96),0)))</f>
        <v>96</v>
      </c>
      <c r="V96" t="str">
        <f>IF(ISERROR(IF(R96="","",VLOOKUP(R96,DESCRIPTORS,4,TRUE))),"",IF(R96="","",VLOOKUP(R96,DESCRIPTORS,4,TRUE)))</f>
        <v>Advancing</v>
      </c>
      <c r="Z96" t="str">
        <f>IF(OR($F96="",$J96="",$N96="",$R96=""),"",IF($R96&gt;=75,"PASSED","FAILED"))</f>
        <v>PASSED</v>
      </c>
    </row>
    <row r="97">
      <c r="A97">
        <v>34</v>
      </c>
      <c r="B97" t="str">
        <f>INPUT!B96</f>
        <v>Aquino, Rhea</v>
      </c>
      <c r="F97">
        <f>TERM1!AA96</f>
        <v>97</v>
      </c>
      <c r="J97">
        <f>TERM2!AA96</f>
        <v>98</v>
      </c>
      <c r="N97">
        <f>TERM3!AA96</f>
        <v>99</v>
      </c>
      <c r="R97">
        <f>IF(OR(F97="",J97="",N97=""),"",IF(ISERROR(ROUND(AVERAGE(F97,J97,N97),0)),"",ROUND(AVERAGE(F97,J97,N97),0)))</f>
        <v>98</v>
      </c>
      <c r="V97" t="str">
        <f>IF(ISERROR(IF(R97="","",VLOOKUP(R97,DESCRIPTORS,4,TRUE))),"",IF(R97="","",VLOOKUP(R97,DESCRIPTORS,4,TRUE)))</f>
        <v>Advancing</v>
      </c>
      <c r="Z97" t="str">
        <f>IF(OR($F97="",$J97="",$N97="",$R97=""),"",IF($R97&gt;=75,"PASSED","FAILED"))</f>
        <v>PASSED</v>
      </c>
    </row>
    <row r="98">
      <c r="A98">
        <v>35</v>
      </c>
      <c r="B98" t="str">
        <f>INPUT!B97</f>
        <v>Arceo, Samantha</v>
      </c>
      <c r="F98">
        <f>TERM1!AA97</f>
        <v>97</v>
      </c>
      <c r="J98">
        <f>TERM2!AA97</f>
        <v>99</v>
      </c>
      <c r="N98">
        <f>TERM3!AA97</f>
        <v>99</v>
      </c>
      <c r="R98">
        <f>IF(OR(F98="",J98="",N98=""),"",IF(ISERROR(ROUND(AVERAGE(F98,J98,N98),0)),"",ROUND(AVERAGE(F98,J98,N98),0)))</f>
        <v>98</v>
      </c>
      <c r="V98" t="str">
        <f>IF(ISERROR(IF(R98="","",VLOOKUP(R98,DESCRIPTORS,4,TRUE))),"",IF(R98="","",VLOOKUP(R98,DESCRIPTORS,4,TRUE)))</f>
        <v>Advancing</v>
      </c>
      <c r="Z98" t="str">
        <f>IF(OR($F98="",$J98="",$N98="",$R98=""),"",IF($R98&gt;=75,"PASSED","FAILED"))</f>
        <v>PASSED</v>
      </c>
    </row>
    <row r="99">
      <c r="A99">
        <v>36</v>
      </c>
      <c r="B99" t="str">
        <f>INPUT!B98</f>
        <v>Arellano, Sofia</v>
      </c>
      <c r="F99">
        <f>TERM1!AA98</f>
        <v>99</v>
      </c>
      <c r="J99">
        <f>TERM2!AA98</f>
        <v>99</v>
      </c>
      <c r="N99">
        <f>TERM3!AA98</f>
        <v>99</v>
      </c>
      <c r="R99">
        <f>IF(OR(F99="",J99="",N99=""),"",IF(ISERROR(ROUND(AVERAGE(F99,J99,N99),0)),"",ROUND(AVERAGE(F99,J99,N99),0)))</f>
        <v>99</v>
      </c>
      <c r="V99" t="str">
        <f>IF(ISERROR(IF(R99="","",VLOOKUP(R99,DESCRIPTORS,4,TRUE))),"",IF(R99="","",VLOOKUP(R99,DESCRIPTORS,4,TRUE)))</f>
        <v>Advancing</v>
      </c>
      <c r="Z99" t="str">
        <f>IF(OR($F99="",$J99="",$N99="",$R99=""),"",IF($R99&gt;=75,"PASSED","FAILED"))</f>
        <v>PASSED</v>
      </c>
    </row>
    <row r="100">
      <c r="A100">
        <v>37</v>
      </c>
      <c r="B100" t="str">
        <f>INPUT!B99</f>
        <v>Barrera, Sophia</v>
      </c>
      <c r="F100">
        <f>TERM1!AA99</f>
        <v>97</v>
      </c>
      <c r="J100">
        <f>TERM2!AA99</f>
        <v>96</v>
      </c>
      <c r="N100">
        <f>TERM3!AA99</f>
        <v>97</v>
      </c>
      <c r="R100">
        <f>IF(OR(F100="",J100="",N100=""),"",IF(ISERROR(ROUND(AVERAGE(F100,J100,N100),0)),"",ROUND(AVERAGE(F100,J100,N100),0)))</f>
        <v>97</v>
      </c>
      <c r="V100" t="str">
        <f>IF(ISERROR(IF(R100="","",VLOOKUP(R100,DESCRIPTORS,4,TRUE))),"",IF(R100="","",VLOOKUP(R100,DESCRIPTORS,4,TRUE)))</f>
        <v>Advancing</v>
      </c>
      <c r="Z100" t="str">
        <f>IF(OR($F100="",$J100="",$N100="",$R100=""),"",IF($R100&gt;=75,"PASSED","FAILED"))</f>
        <v>PASSED</v>
      </c>
    </row>
    <row r="101">
      <c r="A101">
        <v>38</v>
      </c>
      <c r="B101" t="str">
        <f>INPUT!B100</f>
        <v>Cabral, Therese</v>
      </c>
      <c r="F101">
        <f>TERM1!AA100</f>
        <v>93</v>
      </c>
      <c r="J101">
        <f>TERM2!AA100</f>
        <v>95</v>
      </c>
      <c r="N101">
        <f>TERM3!AA100</f>
        <v>96</v>
      </c>
      <c r="R101">
        <f>IF(OR(F101="",J101="",N101=""),"",IF(ISERROR(ROUND(AVERAGE(F101,J101,N101),0)),"",ROUND(AVERAGE(F101,J101,N101),0)))</f>
        <v>95</v>
      </c>
      <c r="V101" t="str">
        <f>IF(ISERROR(IF(R101="","",VLOOKUP(R101,DESCRIPTORS,4,TRUE))),"",IF(R101="","",VLOOKUP(R101,DESCRIPTORS,4,TRUE)))</f>
        <v>Advancing</v>
      </c>
      <c r="Z101" t="str">
        <f>IF(OR($F101="",$J101="",$N101="",$R101=""),"",IF($R101&gt;=75,"PASSED","FAILED"))</f>
        <v>PASSED</v>
      </c>
    </row>
    <row r="102">
      <c r="A102">
        <v>39</v>
      </c>
      <c r="B102" t="str">
        <f>INPUT!B101</f>
        <v>David, Trisha</v>
      </c>
      <c r="F102">
        <f>TERM1!AA101</f>
        <v>89</v>
      </c>
      <c r="J102">
        <f>TERM2!AA101</f>
        <v>90</v>
      </c>
      <c r="N102">
        <f>TERM3!AA101</f>
        <v>91</v>
      </c>
      <c r="R102">
        <f>IF(OR(F102="",J102="",N102=""),"",IF(ISERROR(ROUND(AVERAGE(F102,J102,N102),0)),"",ROUND(AVERAGE(F102,J102,N102),0)))</f>
        <v>90</v>
      </c>
      <c r="V102" t="str">
        <f>IF(ISERROR(IF(R102="","",VLOOKUP(R102,DESCRIPTORS,4,TRUE))),"",IF(R102="","",VLOOKUP(R102,DESCRIPTORS,4,TRUE)))</f>
        <v>Advancing</v>
      </c>
      <c r="Z102" t="str">
        <f>IF(OR($F102="",$J102="",$N102="",$R102=""),"",IF($R102&gt;=75,"PASSED","FAILED"))</f>
        <v>PASSED</v>
      </c>
    </row>
    <row r="103">
      <c r="A103">
        <v>40</v>
      </c>
      <c r="B103" t="str">
        <f>INPUT!B102</f>
        <v>Escobar, Valerie</v>
      </c>
      <c r="F103">
        <f>TERM1!AA102</f>
        <v>96</v>
      </c>
      <c r="J103">
        <f>TERM2!AA102</f>
        <v>97</v>
      </c>
      <c r="N103">
        <f>TERM3!AA102</f>
        <v>98</v>
      </c>
      <c r="R103">
        <f>IF(OR(F103="",J103="",N103=""),"",IF(ISERROR(ROUND(AVERAGE(F103,J103,N103),0)),"",ROUND(AVERAGE(F103,J103,N103),0)))</f>
        <v>97</v>
      </c>
      <c r="V103" t="str">
        <f>IF(ISERROR(IF(R103="","",VLOOKUP(R103,DESCRIPTORS,4,TRUE))),"",IF(R103="","",VLOOKUP(R103,DESCRIPTORS,4,TRUE)))</f>
        <v>Advancing</v>
      </c>
      <c r="Z103" t="str">
        <f>IF(OR($F103="",$J103="",$N103="",$R103=""),"",IF($R103&gt;=75,"PASSED","FAILED"))</f>
        <v>PASSED</v>
      </c>
    </row>
    <row r="104">
      <c r="A104">
        <v>41</v>
      </c>
      <c r="B104" t="str">
        <f>INPUT!B103</f>
        <v>Aguilar, Vanessa</v>
      </c>
      <c r="F104">
        <f>TERM1!AA103</f>
        <v>95</v>
      </c>
      <c r="J104">
        <f>TERM2!AA103</f>
        <v>97</v>
      </c>
      <c r="N104">
        <f>TERM3!AA103</f>
        <v>98</v>
      </c>
      <c r="R104">
        <f>IF(OR(F104="",J104="",N104=""),"",IF(ISERROR(ROUND(AVERAGE(F104,J104,N104),0)),"",ROUND(AVERAGE(F104,J104,N104),0)))</f>
        <v>97</v>
      </c>
      <c r="V104" t="str">
        <f>IF(ISERROR(IF(R104="","",VLOOKUP(R104,DESCRIPTORS,4,TRUE))),"",IF(R104="","",VLOOKUP(R104,DESCRIPTORS,4,TRUE)))</f>
        <v>Advancing</v>
      </c>
      <c r="Z104" t="str">
        <f>IF(OR($F104="",$J104="",$N104="",$R104=""),"",IF($R104&gt;=75,"PASSED","FAILED"))</f>
        <v>PASSED</v>
      </c>
    </row>
    <row r="105">
      <c r="A105">
        <v>42</v>
      </c>
      <c r="B105" t="str">
        <f>INPUT!B104</f>
        <v>Alcantara, Veronica</v>
      </c>
      <c r="F105">
        <f>TERM1!AA104</f>
        <v>99</v>
      </c>
      <c r="J105">
        <f>TERM2!AA104</f>
        <v>99</v>
      </c>
      <c r="N105">
        <f>TERM3!AA104</f>
        <v>99</v>
      </c>
      <c r="R105">
        <f>IF(OR(F105="",J105="",N105=""),"",IF(ISERROR(ROUND(AVERAGE(F105,J105,N105),0)),"",ROUND(AVERAGE(F105,J105,N105),0)))</f>
        <v>99</v>
      </c>
      <c r="V105" t="str">
        <f>IF(ISERROR(IF(R105="","",VLOOKUP(R105,DESCRIPTORS,4,TRUE))),"",IF(R105="","",VLOOKUP(R105,DESCRIPTORS,4,TRUE)))</f>
        <v>Advancing</v>
      </c>
      <c r="Z105" t="str">
        <f>IF(OR($F105="",$J105="",$N105="",$R105=""),"",IF($R105&gt;=75,"PASSED","FAILED"))</f>
        <v>PASSED</v>
      </c>
    </row>
    <row r="106">
      <c r="A106">
        <v>43</v>
      </c>
      <c r="B106" t="str">
        <f>INPUT!B105</f>
        <v>Andrada, Victoria</v>
      </c>
      <c r="F106">
        <f>TERM1!AA105</f>
        <v>94</v>
      </c>
      <c r="J106">
        <f>TERM2!AA105</f>
        <v>94</v>
      </c>
      <c r="N106">
        <f>TERM3!AA105</f>
        <v>95</v>
      </c>
      <c r="R106">
        <f>IF(OR(F106="",J106="",N106=""),"",IF(ISERROR(ROUND(AVERAGE(F106,J106,N106),0)),"",ROUND(AVERAGE(F106,J106,N106),0)))</f>
        <v>94</v>
      </c>
      <c r="V106" t="str">
        <f>IF(ISERROR(IF(R106="","",VLOOKUP(R106,DESCRIPTORS,4,TRUE))),"",IF(R106="","",VLOOKUP(R106,DESCRIPTORS,4,TRUE)))</f>
        <v>Advancing</v>
      </c>
      <c r="Z106" t="str">
        <f>IF(OR($F106="",$J106="",$N106="",$R106=""),"",IF($R106&gt;=75,"PASSED","FAILED"))</f>
        <v>PASSED</v>
      </c>
    </row>
    <row r="107">
      <c r="A107">
        <v>44</v>
      </c>
      <c r="B107" t="str">
        <f>INPUT!B106</f>
        <v>Bautista, Yasmine</v>
      </c>
      <c r="F107">
        <f>TERM1!AA106</f>
        <v>96</v>
      </c>
      <c r="J107">
        <f>TERM2!AA106</f>
        <v>96</v>
      </c>
      <c r="N107">
        <f>TERM3!AA106</f>
        <v>95</v>
      </c>
      <c r="R107">
        <f>IF(OR(F107="",J107="",N107=""),"",IF(ISERROR(ROUND(AVERAGE(F107,J107,N107),0)),"",ROUND(AVERAGE(F107,J107,N107),0)))</f>
        <v>96</v>
      </c>
      <c r="V107" t="str">
        <f>IF(ISERROR(IF(R107="","",VLOOKUP(R107,DESCRIPTORS,4,TRUE))),"",IF(R107="","",VLOOKUP(R107,DESCRIPTORS,4,TRUE)))</f>
        <v>Advancing</v>
      </c>
      <c r="Z107" t="str">
        <f>IF(OR($F107="",$J107="",$N107="",$R107=""),"",IF($R107&gt;=75,"PASSED","FAILED"))</f>
        <v>PASSED</v>
      </c>
    </row>
    <row r="108">
      <c r="A108">
        <v>45</v>
      </c>
      <c r="B108" t="str">
        <f>INPUT!B107</f>
        <v>Bernardo, Zoe</v>
      </c>
      <c r="F108">
        <f>TERM1!AA107</f>
        <v>97</v>
      </c>
      <c r="J108">
        <f>TERM2!AA107</f>
        <v>96</v>
      </c>
      <c r="N108">
        <f>TERM3!AA107</f>
        <v>98</v>
      </c>
      <c r="R108">
        <f>IF(OR(F108="",J108="",N108=""),"",IF(ISERROR(ROUND(AVERAGE(F108,J108,N108),0)),"",ROUND(AVERAGE(F108,J108,N108),0)))</f>
        <v>97</v>
      </c>
      <c r="V108" t="str">
        <f>IF(ISERROR(IF(R108="","",VLOOKUP(R108,DESCRIPTORS,4,TRUE))),"",IF(R108="","",VLOOKUP(R108,DESCRIPTORS,4,TRUE)))</f>
        <v>Advancing</v>
      </c>
      <c r="Z108" t="str">
        <f>IF(OR($F108="",$J108="",$N108="",$R108=""),"",IF($R108&gt;=75,"PASSED","FAILED"))</f>
        <v>PASSED</v>
      </c>
    </row>
    <row r="109">
      <c r="A109">
        <v>46</v>
      </c>
      <c r="B109" t="str">
        <f>INPUT!B108</f>
        <v>Castillo, Amara</v>
      </c>
      <c r="F109">
        <f>TERM1!AA108</f>
        <v>97</v>
      </c>
      <c r="J109">
        <f>TERM2!AA108</f>
        <v>96</v>
      </c>
      <c r="N109">
        <f>TERM3!AA108</f>
        <v>96</v>
      </c>
      <c r="R109">
        <f>IF(OR(F109="",J109="",N109=""),"",IF(ISERROR(ROUND(AVERAGE(F109,J109,N109),0)),"",ROUND(AVERAGE(F109,J109,N109),0)))</f>
        <v>96</v>
      </c>
      <c r="V109" t="str">
        <f>IF(ISERROR(IF(R109="","",VLOOKUP(R109,DESCRIPTORS,4,TRUE))),"",IF(R109="","",VLOOKUP(R109,DESCRIPTORS,4,TRUE)))</f>
        <v>Advancing</v>
      </c>
      <c r="Z109" t="str">
        <f>IF(OR($F109="",$J109="",$N109="",$R109=""),"",IF($R109&gt;=75,"PASSED","FAILED"))</f>
        <v>PASSED</v>
      </c>
    </row>
    <row r="110">
      <c r="A110">
        <v>47</v>
      </c>
      <c r="B110" t="str">
        <f>INPUT!B109</f>
        <v>Cruz, Andrea</v>
      </c>
      <c r="F110">
        <f>TERM1!AA109</f>
        <v>97</v>
      </c>
      <c r="J110">
        <f>TERM2!AA109</f>
        <v>98</v>
      </c>
      <c r="N110">
        <f>TERM3!AA109</f>
        <v>99</v>
      </c>
      <c r="R110">
        <f>IF(OR(F110="",J110="",N110=""),"",IF(ISERROR(ROUND(AVERAGE(F110,J110,N110),0)),"",ROUND(AVERAGE(F110,J110,N110),0)))</f>
        <v>98</v>
      </c>
      <c r="V110" t="str">
        <f>IF(ISERROR(IF(R110="","",VLOOKUP(R110,DESCRIPTORS,4,TRUE))),"",IF(R110="","",VLOOKUP(R110,DESCRIPTORS,4,TRUE)))</f>
        <v>Advancing</v>
      </c>
      <c r="Z110" t="str">
        <f>IF(OR($F110="",$J110="",$N110="",$R110=""),"",IF($R110&gt;=75,"PASSED","FAILED"))</f>
        <v>PASSED</v>
      </c>
    </row>
    <row r="111">
      <c r="A111">
        <v>48</v>
      </c>
      <c r="B111" t="str">
        <f>INPUT!B110</f>
        <v>Dela Cruz, Beatriz</v>
      </c>
      <c r="F111">
        <f>TERM1!AA110</f>
        <v>99</v>
      </c>
      <c r="J111">
        <f>TERM2!AA110</f>
        <v>99</v>
      </c>
      <c r="N111">
        <f>TERM3!AA110</f>
        <v>99</v>
      </c>
      <c r="R111">
        <f>IF(OR(F111="",J111="",N111=""),"",IF(ISERROR(ROUND(AVERAGE(F111,J111,N111),0)),"",ROUND(AVERAGE(F111,J111,N111),0)))</f>
        <v>99</v>
      </c>
      <c r="V111" t="str">
        <f>IF(ISERROR(IF(R111="","",VLOOKUP(R111,DESCRIPTORS,4,TRUE))),"",IF(R111="","",VLOOKUP(R111,DESCRIPTORS,4,TRUE)))</f>
        <v>Advancing</v>
      </c>
      <c r="Z111" t="str">
        <f>IF(OR($F111="",$J111="",$N111="",$R111=""),"",IF($R111&gt;=75,"PASSED","FAILED"))</f>
        <v>PASSED</v>
      </c>
    </row>
    <row r="112">
      <c r="A112">
        <v>49</v>
      </c>
      <c r="B112" t="str">
        <f>INPUT!B111</f>
        <v>Diaz, Celine</v>
      </c>
      <c r="F112">
        <f>TERM1!AA111</f>
        <v>94</v>
      </c>
      <c r="J112">
        <f>TERM2!AA111</f>
        <v>95</v>
      </c>
      <c r="N112">
        <f>TERM3!AA111</f>
        <v>94</v>
      </c>
      <c r="R112">
        <f>IF(OR(F112="",J112="",N112=""),"",IF(ISERROR(ROUND(AVERAGE(F112,J112,N112),0)),"",ROUND(AVERAGE(F112,J112,N112),0)))</f>
        <v>94</v>
      </c>
      <c r="V112" t="str">
        <f>IF(ISERROR(IF(R112="","",VLOOKUP(R112,DESCRIPTORS,4,TRUE))),"",IF(R112="","",VLOOKUP(R112,DESCRIPTORS,4,TRUE)))</f>
        <v>Advancing</v>
      </c>
      <c r="Z112" t="str">
        <f>IF(OR($F112="",$J112="",$N112="",$R112=""),"",IF($R112&gt;=75,"PASSED","FAILED"))</f>
        <v>PASSED</v>
      </c>
    </row>
    <row r="113">
      <c r="A113">
        <v>50</v>
      </c>
      <c r="B113" t="str">
        <f>INPUT!B112</f>
        <v>Evangelista, Danielle</v>
      </c>
      <c r="F113">
        <f>TERM1!AA112</f>
        <v>98</v>
      </c>
      <c r="J113">
        <f>TERM2!AA112</f>
        <v>98</v>
      </c>
      <c r="N113">
        <f>TERM3!AA112</f>
        <v>97</v>
      </c>
      <c r="R113">
        <f>IF(OR(F113="",J113="",N113=""),"",IF(ISERROR(ROUND(AVERAGE(F113,J113,N113),0)),"",ROUND(AVERAGE(F113,J113,N113),0)))</f>
        <v>98</v>
      </c>
      <c r="V113" t="str">
        <f>IF(ISERROR(IF(R113="","",VLOOKUP(R113,DESCRIPTORS,4,TRUE))),"",IF(R113="","",VLOOKUP(R113,DESCRIPTORS,4,TRUE)))</f>
        <v>Advancing</v>
      </c>
      <c r="Z113" t="str">
        <f>IF(OR($F113="",$J113="",$N113="",$R113=""),"",IF($R113&gt;=75,"PASSED","FAILED"))</f>
        <v>PASSED</v>
      </c>
    </row>
  </sheetData>
  <autoFilter ref="B12:B113"/>
  <mergeCells count="639">
    <mergeCell ref="V18:Y18"/>
    <mergeCell ref="Z67:AB67"/>
    <mergeCell ref="V17:Y17"/>
    <mergeCell ref="N20:Q20"/>
    <mergeCell ref="N91:Q91"/>
    <mergeCell ref="R10:U11"/>
    <mergeCell ref="V60:Y60"/>
    <mergeCell ref="Z16:AB16"/>
    <mergeCell ref="V45:Y45"/>
    <mergeCell ref="V32:Y32"/>
    <mergeCell ref="V26:Y26"/>
    <mergeCell ref="F8:J8"/>
    <mergeCell ref="Z69:AB69"/>
    <mergeCell ref="N22:Q22"/>
    <mergeCell ref="J60:M60"/>
    <mergeCell ref="R13:U13"/>
    <mergeCell ref="R84:U84"/>
    <mergeCell ref="Z62:AB62"/>
    <mergeCell ref="Z56:AB56"/>
    <mergeCell ref="Z75:AB75"/>
    <mergeCell ref="F28:I28"/>
    <mergeCell ref="F39:I39"/>
    <mergeCell ref="V40:Y40"/>
    <mergeCell ref="R26:U26"/>
    <mergeCell ref="N64:Q64"/>
    <mergeCell ref="V72:Y72"/>
    <mergeCell ref="F15:I15"/>
    <mergeCell ref="N12:Q12"/>
    <mergeCell ref="Z43:AB43"/>
    <mergeCell ref="V16:Y16"/>
    <mergeCell ref="V10:Y11"/>
    <mergeCell ref="J76:M76"/>
    <mergeCell ref="Z68:AB68"/>
    <mergeCell ref="N27:Q27"/>
    <mergeCell ref="N83:Q83"/>
    <mergeCell ref="V111:Y111"/>
    <mergeCell ref="R78:U78"/>
    <mergeCell ref="V29:Y29"/>
    <mergeCell ref="J53:M53"/>
    <mergeCell ref="J45:M45"/>
    <mergeCell ref="R80:U80"/>
    <mergeCell ref="V44:Y44"/>
    <mergeCell ref="B6:F6"/>
    <mergeCell ref="V31:Y31"/>
    <mergeCell ref="R55:U55"/>
    <mergeCell ref="J55:M55"/>
    <mergeCell ref="N111:Q111"/>
    <mergeCell ref="V108:Y108"/>
    <mergeCell ref="N38:Q38"/>
    <mergeCell ref="F10:I11"/>
    <mergeCell ref="F13:I13"/>
    <mergeCell ref="F56:I56"/>
    <mergeCell ref="F105:I105"/>
    <mergeCell ref="F43:I43"/>
    <mergeCell ref="N40:Q40"/>
    <mergeCell ref="B8:E11"/>
    <mergeCell ref="F75:I75"/>
    <mergeCell ref="R86:U86"/>
    <mergeCell ref="F62:I62"/>
    <mergeCell ref="S5:V5"/>
    <mergeCell ref="F107:I107"/>
    <mergeCell ref="J71:M71"/>
    <mergeCell ref="Z64:AB64"/>
    <mergeCell ref="R58:U58"/>
    <mergeCell ref="R33:U33"/>
    <mergeCell ref="J58:M58"/>
    <mergeCell ref="Z51:AB51"/>
    <mergeCell ref="F57:I57"/>
    <mergeCell ref="N35:Q35"/>
    <mergeCell ref="J73:M73"/>
    <mergeCell ref="R60:U60"/>
    <mergeCell ref="V42:Y42"/>
    <mergeCell ref="V88:Y88"/>
    <mergeCell ref="J102:M102"/>
    <mergeCell ref="N66:Q66"/>
    <mergeCell ref="J77:M77"/>
    <mergeCell ref="J68:M68"/>
    <mergeCell ref="V19:Y19"/>
    <mergeCell ref="N93:Q93"/>
    <mergeCell ref="N68:Q68"/>
    <mergeCell ref="F33:I33"/>
    <mergeCell ref="Z77:AB77"/>
    <mergeCell ref="V83:Y83"/>
    <mergeCell ref="G6:R6"/>
    <mergeCell ref="J21:M21"/>
    <mergeCell ref="J46:M46"/>
    <mergeCell ref="R81:U81"/>
    <mergeCell ref="V37:Y37"/>
    <mergeCell ref="J61:M61"/>
    <mergeCell ref="R23:U23"/>
    <mergeCell ref="V109:Y109"/>
    <mergeCell ref="F64:I64"/>
    <mergeCell ref="J48:M48"/>
    <mergeCell ref="J97:M97"/>
    <mergeCell ref="V47:Y47"/>
    <mergeCell ref="N104:Q104"/>
    <mergeCell ref="N54:Q54"/>
    <mergeCell ref="W8:AB8"/>
    <mergeCell ref="N41:Q41"/>
    <mergeCell ref="V38:Y38"/>
    <mergeCell ref="F50:I50"/>
    <mergeCell ref="F78:I78"/>
    <mergeCell ref="J29:M29"/>
    <mergeCell ref="F65:I65"/>
    <mergeCell ref="J87:M87"/>
    <mergeCell ref="F55:I55"/>
    <mergeCell ref="J98:M98"/>
    <mergeCell ref="N112:Q112"/>
    <mergeCell ref="N106:Q106"/>
    <mergeCell ref="V13:Y13"/>
    <mergeCell ref="Z90:AB90"/>
    <mergeCell ref="N56:Q56"/>
    <mergeCell ref="N105:Q105"/>
    <mergeCell ref="N43:Q43"/>
    <mergeCell ref="Z65:AB65"/>
    <mergeCell ref="R34:U34"/>
    <mergeCell ref="R99:U99"/>
    <mergeCell ref="V63:Y63"/>
    <mergeCell ref="R74:U74"/>
    <mergeCell ref="Z14:AB14"/>
    <mergeCell ref="R29:U29"/>
    <mergeCell ref="Z13:AB13"/>
    <mergeCell ref="Z78:AB78"/>
    <mergeCell ref="N110:Q110"/>
    <mergeCell ref="R31:U31"/>
    <mergeCell ref="R87:U87"/>
    <mergeCell ref="Z15:AB15"/>
    <mergeCell ref="Z80:AB80"/>
    <mergeCell ref="R24:U24"/>
    <mergeCell ref="N62:Q62"/>
    <mergeCell ref="V59:Y59"/>
    <mergeCell ref="F110:I110"/>
    <mergeCell ref="J74:M74"/>
    <mergeCell ref="N107:Q107"/>
    <mergeCell ref="R36:U36"/>
    <mergeCell ref="R101:U101"/>
    <mergeCell ref="W5:AB5"/>
    <mergeCell ref="R113:U113"/>
    <mergeCell ref="R76:U76"/>
    <mergeCell ref="J16:M16"/>
    <mergeCell ref="J103:M103"/>
    <mergeCell ref="R100:U100"/>
    <mergeCell ref="J10:M11"/>
    <mergeCell ref="V27:Y27"/>
    <mergeCell ref="N59:Q59"/>
    <mergeCell ref="V104:Y104"/>
    <mergeCell ref="Z37:AB37"/>
    <mergeCell ref="L5:N5"/>
    <mergeCell ref="Z12:AB12"/>
    <mergeCell ref="R77:U77"/>
    <mergeCell ref="Z83:AB83"/>
    <mergeCell ref="F49:I49"/>
    <mergeCell ref="V22:Y22"/>
    <mergeCell ref="F14:I14"/>
    <mergeCell ref="J92:M92"/>
    <mergeCell ref="G5:J5"/>
    <mergeCell ref="Z25:AB25"/>
    <mergeCell ref="N57:Q57"/>
    <mergeCell ref="V54:Y54"/>
    <mergeCell ref="V41:Y41"/>
    <mergeCell ref="Z106:AB106"/>
    <mergeCell ref="J18:M18"/>
    <mergeCell ref="R102:U102"/>
    <mergeCell ref="J42:M42"/>
    <mergeCell ref="F53:I53"/>
    <mergeCell ref="J17:M17"/>
    <mergeCell ref="R52:U52"/>
    <mergeCell ref="J82:M82"/>
    <mergeCell ref="R44:U44"/>
    <mergeCell ref="V68:Y68"/>
    <mergeCell ref="J44:M44"/>
    <mergeCell ref="F68:I68"/>
    <mergeCell ref="Z20:AB20"/>
    <mergeCell ref="J19:M19"/>
    <mergeCell ref="F84:I84"/>
    <mergeCell ref="N75:Q75"/>
    <mergeCell ref="Z84:AB84"/>
    <mergeCell ref="Z59:AB59"/>
    <mergeCell ref="K8:R8"/>
    <mergeCell ref="N14:Q14"/>
    <mergeCell ref="J108:M108"/>
    <mergeCell ref="R21:U21"/>
    <mergeCell ref="R70:U70"/>
    <mergeCell ref="J95:M95"/>
    <mergeCell ref="F81:I81"/>
    <mergeCell ref="R32:U32"/>
    <mergeCell ref="Z81:AB81"/>
    <mergeCell ref="N88:Q88"/>
    <mergeCell ref="F63:I63"/>
    <mergeCell ref="F34:I34"/>
    <mergeCell ref="N25:Q25"/>
    <mergeCell ref="F99:I99"/>
    <mergeCell ref="Z28:AB28"/>
    <mergeCell ref="R16:U16"/>
    <mergeCell ref="F30:I30"/>
    <mergeCell ref="Z30:AB30"/>
    <mergeCell ref="J27:M27"/>
    <mergeCell ref="F94:I94"/>
    <mergeCell ref="J20:M20"/>
    <mergeCell ref="Z107:AB107"/>
    <mergeCell ref="F25:I25"/>
    <mergeCell ref="V82:Y82"/>
    <mergeCell ref="N85:Q85"/>
    <mergeCell ref="Z101:AB101"/>
    <mergeCell ref="J83:M83"/>
    <mergeCell ref="R45:U45"/>
    <mergeCell ref="Z61:AB61"/>
    <mergeCell ref="J85:M85"/>
    <mergeCell ref="F86:I86"/>
    <mergeCell ref="F80:I80"/>
    <mergeCell ref="Z86:AB86"/>
    <mergeCell ref="F79:I79"/>
    <mergeCell ref="Z88:AB88"/>
    <mergeCell ref="R89:U89"/>
    <mergeCell ref="J89:M89"/>
    <mergeCell ref="J96:M96"/>
    <mergeCell ref="N90:Q90"/>
    <mergeCell ref="J90:M90"/>
    <mergeCell ref="V90:Y90"/>
    <mergeCell ref="Z33:AB33"/>
    <mergeCell ref="R98:U98"/>
    <mergeCell ref="V62:Y62"/>
    <mergeCell ref="N65:Q65"/>
    <mergeCell ref="V56:Y56"/>
    <mergeCell ref="V43:Y43"/>
    <mergeCell ref="Z35:AB35"/>
    <mergeCell ref="V91:Y91"/>
    <mergeCell ref="V85:Y85"/>
    <mergeCell ref="N50:Q50"/>
    <mergeCell ref="Z34:AB34"/>
    <mergeCell ref="Z36:AB36"/>
    <mergeCell ref="J22:M22"/>
    <mergeCell ref="N13:Q13"/>
    <mergeCell ref="N84:Q84"/>
    <mergeCell ref="Z112:AB112"/>
    <mergeCell ref="N78:Q78"/>
    <mergeCell ref="V75:Y75"/>
    <mergeCell ref="J51:M51"/>
    <mergeCell ref="N15:Q15"/>
    <mergeCell ref="N80:Q80"/>
    <mergeCell ref="R71:U71"/>
    <mergeCell ref="N79:Q79"/>
    <mergeCell ref="V112:Y112"/>
    <mergeCell ref="N81:Q81"/>
    <mergeCell ref="Z32:AB32"/>
    <mergeCell ref="J57:M57"/>
    <mergeCell ref="R19:U19"/>
    <mergeCell ref="J93:M93"/>
    <mergeCell ref="V35:Y35"/>
    <mergeCell ref="V34:Y34"/>
    <mergeCell ref="J107:M107"/>
    <mergeCell ref="R104:U104"/>
    <mergeCell ref="N73:Q73"/>
    <mergeCell ref="J109:M109"/>
    <mergeCell ref="J47:M47"/>
    <mergeCell ref="F87:I87"/>
    <mergeCell ref="J111:M111"/>
    <mergeCell ref="J38:M38"/>
    <mergeCell ref="R73:U73"/>
    <mergeCell ref="F89:I89"/>
    <mergeCell ref="Z24:AB24"/>
    <mergeCell ref="V64:Y64"/>
    <mergeCell ref="J40:M40"/>
    <mergeCell ref="O5:R5"/>
    <mergeCell ref="Z105:AB105"/>
    <mergeCell ref="V93:Y93"/>
    <mergeCell ref="F36:I36"/>
    <mergeCell ref="N33:Q33"/>
    <mergeCell ref="Z49:AB49"/>
    <mergeCell ref="F101:I101"/>
    <mergeCell ref="J35:M35"/>
    <mergeCell ref="F100:I100"/>
    <mergeCell ref="Z57:AB57"/>
    <mergeCell ref="J72:M72"/>
    <mergeCell ref="V14:Y14"/>
    <mergeCell ref="R79:U79"/>
    <mergeCell ref="V106:Y106"/>
    <mergeCell ref="F24:I24"/>
    <mergeCell ref="N21:Q21"/>
    <mergeCell ref="Z113:AB113"/>
    <mergeCell ref="R42:U42"/>
    <mergeCell ref="S6:V6"/>
    <mergeCell ref="Z100:AB100"/>
    <mergeCell ref="R17:U17"/>
    <mergeCell ref="F31:I31"/>
    <mergeCell ref="J91:M91"/>
    <mergeCell ref="F102:I102"/>
    <mergeCell ref="J66:M66"/>
    <mergeCell ref="N28:Q28"/>
    <mergeCell ref="R53:U53"/>
    <mergeCell ref="Z50:AB50"/>
    <mergeCell ref="R66:U66"/>
    <mergeCell ref="F77:I77"/>
    <mergeCell ref="Z102:AB102"/>
    <mergeCell ref="R68:U68"/>
    <mergeCell ref="N30:Q30"/>
    <mergeCell ref="R46:U46"/>
    <mergeCell ref="Z52:AB52"/>
    <mergeCell ref="Z39:AB39"/>
    <mergeCell ref="R61:U61"/>
    <mergeCell ref="V12:Y12"/>
    <mergeCell ref="R48:U48"/>
    <mergeCell ref="N86:Q86"/>
    <mergeCell ref="F21:I21"/>
    <mergeCell ref="V78:Y78"/>
    <mergeCell ref="V105:Y105"/>
    <mergeCell ref="F113:I113"/>
    <mergeCell ref="R37:U37"/>
    <mergeCell ref="F32:I32"/>
    <mergeCell ref="N23:Q23"/>
    <mergeCell ref="F26:I26"/>
    <mergeCell ref="V107:Y107"/>
    <mergeCell ref="J104:M104"/>
    <mergeCell ref="F90:I90"/>
    <mergeCell ref="J54:M54"/>
    <mergeCell ref="J41:M41"/>
    <mergeCell ref="F27:I27"/>
    <mergeCell ref="J56:M56"/>
    <mergeCell ref="J105:M105"/>
    <mergeCell ref="J43:M43"/>
    <mergeCell ref="N34:Q34"/>
    <mergeCell ref="V25:Y25"/>
    <mergeCell ref="N99:Q99"/>
    <mergeCell ref="N26:Q26"/>
    <mergeCell ref="J64:M64"/>
    <mergeCell ref="R82:U82"/>
    <mergeCell ref="V33:Y33"/>
    <mergeCell ref="K9:R9"/>
    <mergeCell ref="N49:Q49"/>
    <mergeCell ref="N36:Q36"/>
    <mergeCell ref="N101:Q101"/>
    <mergeCell ref="R92:U92"/>
    <mergeCell ref="Z110:AB110"/>
    <mergeCell ref="N113:Q113"/>
    <mergeCell ref="F16:I16"/>
    <mergeCell ref="R67:U67"/>
    <mergeCell ref="V100:Y100"/>
    <mergeCell ref="F103:I103"/>
    <mergeCell ref="J67:M67"/>
    <mergeCell ref="N100:Q100"/>
    <mergeCell ref="N94:Q94"/>
    <mergeCell ref="Z60:AB60"/>
    <mergeCell ref="J59:M59"/>
    <mergeCell ref="R94:U94"/>
    <mergeCell ref="Z103:AB103"/>
    <mergeCell ref="F98:I98"/>
    <mergeCell ref="J62:M62"/>
    <mergeCell ref="F60:I60"/>
    <mergeCell ref="R18:U18"/>
    <mergeCell ref="Z73:AB73"/>
    <mergeCell ref="Z48:AB48"/>
    <mergeCell ref="A8:A11"/>
    <mergeCell ref="R69:U69"/>
    <mergeCell ref="V102:Y102"/>
    <mergeCell ref="J69:M69"/>
    <mergeCell ref="V20:Y20"/>
    <mergeCell ref="Z45:AB45"/>
    <mergeCell ref="N77:Q77"/>
    <mergeCell ref="Z55:AB55"/>
    <mergeCell ref="V84:Y84"/>
    <mergeCell ref="F70:I70"/>
    <mergeCell ref="Z70:AB70"/>
    <mergeCell ref="V15:Y15"/>
    <mergeCell ref="R51:U51"/>
    <mergeCell ref="F23:I23"/>
    <mergeCell ref="V51:Y51"/>
    <mergeCell ref="F96:I96"/>
    <mergeCell ref="F71:I71"/>
    <mergeCell ref="N31:Q31"/>
    <mergeCell ref="F58:I58"/>
    <mergeCell ref="F52:I52"/>
    <mergeCell ref="Z71:AB71"/>
    <mergeCell ref="F37:I37"/>
    <mergeCell ref="Z58:AB58"/>
    <mergeCell ref="N24:Q24"/>
    <mergeCell ref="F45:I45"/>
    <mergeCell ref="N42:Q42"/>
    <mergeCell ref="V28:Y28"/>
    <mergeCell ref="V99:Y99"/>
    <mergeCell ref="N102:Q102"/>
    <mergeCell ref="F42:I42"/>
    <mergeCell ref="V74:Y74"/>
    <mergeCell ref="F17:I17"/>
    <mergeCell ref="W6:AB6"/>
    <mergeCell ref="N52:Q52"/>
    <mergeCell ref="V39:Y39"/>
    <mergeCell ref="N39:Q39"/>
    <mergeCell ref="Z79:AB79"/>
    <mergeCell ref="Z74:AB74"/>
    <mergeCell ref="Z76:AB76"/>
    <mergeCell ref="Z10:AB11"/>
    <mergeCell ref="F51:I51"/>
    <mergeCell ref="J15:M15"/>
    <mergeCell ref="J80:M80"/>
    <mergeCell ref="N71:Q71"/>
    <mergeCell ref="N58:Q58"/>
    <mergeCell ref="J79:M79"/>
    <mergeCell ref="R35:U35"/>
    <mergeCell ref="F38:I38"/>
    <mergeCell ref="F109:I109"/>
    <mergeCell ref="B5:F5"/>
    <mergeCell ref="F47:I47"/>
    <mergeCell ref="N44:Q44"/>
    <mergeCell ref="V30:Y30"/>
    <mergeCell ref="R95:U95"/>
    <mergeCell ref="V103:Y103"/>
    <mergeCell ref="F46:I46"/>
    <mergeCell ref="N103:Q103"/>
    <mergeCell ref="N98:Q98"/>
    <mergeCell ref="V89:Y89"/>
    <mergeCell ref="R27:U27"/>
    <mergeCell ref="R83:U83"/>
    <mergeCell ref="R20:U20"/>
    <mergeCell ref="R91:U91"/>
    <mergeCell ref="R85:U85"/>
    <mergeCell ref="J25:M25"/>
    <mergeCell ref="V49:Y49"/>
    <mergeCell ref="V36:Y36"/>
    <mergeCell ref="R22:U22"/>
    <mergeCell ref="N60:Q60"/>
    <mergeCell ref="J14:M14"/>
    <mergeCell ref="J13:M13"/>
    <mergeCell ref="R15:U15"/>
    <mergeCell ref="F111:I111"/>
    <mergeCell ref="J75:M75"/>
    <mergeCell ref="R97:U97"/>
    <mergeCell ref="F61:I61"/>
    <mergeCell ref="R72:U72"/>
    <mergeCell ref="J12:M12"/>
    <mergeCell ref="F48:I48"/>
    <mergeCell ref="V65:Y65"/>
    <mergeCell ref="V21:Y21"/>
    <mergeCell ref="F73:I73"/>
    <mergeCell ref="N70:Q70"/>
    <mergeCell ref="N32:Q32"/>
    <mergeCell ref="N63:Q63"/>
    <mergeCell ref="V23:Y23"/>
    <mergeCell ref="R88:U88"/>
    <mergeCell ref="R63:U63"/>
    <mergeCell ref="J88:M88"/>
    <mergeCell ref="N96:Q96"/>
    <mergeCell ref="F74:I74"/>
    <mergeCell ref="V87:Y87"/>
    <mergeCell ref="R90:U90"/>
    <mergeCell ref="V24:Y24"/>
    <mergeCell ref="J65:M65"/>
    <mergeCell ref="F76:I76"/>
    <mergeCell ref="N69:Q69"/>
    <mergeCell ref="F91:I91"/>
    <mergeCell ref="V113:Y113"/>
    <mergeCell ref="F92:I92"/>
    <mergeCell ref="Z21:AB21"/>
    <mergeCell ref="V50:Y50"/>
    <mergeCell ref="Z92:AB92"/>
    <mergeCell ref="N45:Q45"/>
    <mergeCell ref="V80:Y80"/>
    <mergeCell ref="Z29:AB29"/>
    <mergeCell ref="V55:Y55"/>
    <mergeCell ref="Z23:AB23"/>
    <mergeCell ref="F69:I69"/>
    <mergeCell ref="N55:Q55"/>
    <mergeCell ref="Z94:AB94"/>
    <mergeCell ref="F112:I112"/>
    <mergeCell ref="N109:Q109"/>
    <mergeCell ref="N47:Q47"/>
    <mergeCell ref="R111:U111"/>
    <mergeCell ref="R38:U38"/>
    <mergeCell ref="J112:M112"/>
    <mergeCell ref="Z87:AB87"/>
    <mergeCell ref="J84:M84"/>
    <mergeCell ref="J78:M78"/>
    <mergeCell ref="J26:M26"/>
    <mergeCell ref="N17:Q17"/>
    <mergeCell ref="F67:I67"/>
    <mergeCell ref="Z18:AB18"/>
    <mergeCell ref="F82:I82"/>
    <mergeCell ref="J106:M106"/>
    <mergeCell ref="Z17:AB17"/>
    <mergeCell ref="R93:U93"/>
    <mergeCell ref="J33:M33"/>
    <mergeCell ref="V57:Y57"/>
    <mergeCell ref="Z82:AB82"/>
    <mergeCell ref="V86:Y86"/>
    <mergeCell ref="F59:I59"/>
    <mergeCell ref="V81:Y81"/>
    <mergeCell ref="F95:I95"/>
    <mergeCell ref="V77:Y77"/>
    <mergeCell ref="F85:I85"/>
    <mergeCell ref="Z85:AB85"/>
    <mergeCell ref="J101:M101"/>
    <mergeCell ref="N92:Q92"/>
    <mergeCell ref="N67:Q67"/>
    <mergeCell ref="J100:M100"/>
    <mergeCell ref="J94:M94"/>
    <mergeCell ref="V66:Y66"/>
    <mergeCell ref="J34:M34"/>
    <mergeCell ref="R25:U25"/>
    <mergeCell ref="J99:M99"/>
    <mergeCell ref="W9:AB9"/>
    <mergeCell ref="F29:I29"/>
    <mergeCell ref="V58:Y58"/>
    <mergeCell ref="R28:U28"/>
    <mergeCell ref="V52:Y52"/>
    <mergeCell ref="J28:M28"/>
    <mergeCell ref="N53:Q53"/>
    <mergeCell ref="Z31:AB31"/>
    <mergeCell ref="R30:U30"/>
    <mergeCell ref="J30:M30"/>
    <mergeCell ref="N46:Q46"/>
    <mergeCell ref="F20:I20"/>
    <mergeCell ref="J49:M49"/>
    <mergeCell ref="J36:M36"/>
    <mergeCell ref="N29:Q29"/>
    <mergeCell ref="J31:M31"/>
    <mergeCell ref="V53:Y53"/>
    <mergeCell ref="J24:M24"/>
    <mergeCell ref="N18:Q18"/>
    <mergeCell ref="F18:I18"/>
    <mergeCell ref="Z27:AB27"/>
    <mergeCell ref="R112:U112"/>
    <mergeCell ref="S9:V9"/>
    <mergeCell ref="R106:U106"/>
    <mergeCell ref="V70:Y70"/>
    <mergeCell ref="R56:U56"/>
    <mergeCell ref="R105:U105"/>
    <mergeCell ref="R43:U43"/>
    <mergeCell ref="A1:AB2"/>
    <mergeCell ref="J23:M23"/>
    <mergeCell ref="Z42:AB42"/>
    <mergeCell ref="F88:I88"/>
    <mergeCell ref="J110:M110"/>
    <mergeCell ref="N74:Q74"/>
    <mergeCell ref="R107:U107"/>
    <mergeCell ref="V71:Y71"/>
    <mergeCell ref="V101:Y101"/>
    <mergeCell ref="F44:I44"/>
    <mergeCell ref="F54:I54"/>
    <mergeCell ref="V76:Y76"/>
    <mergeCell ref="F19:I19"/>
    <mergeCell ref="N16:Q16"/>
    <mergeCell ref="N76:Q76"/>
    <mergeCell ref="V73:Y73"/>
    <mergeCell ref="Z44:AB44"/>
    <mergeCell ref="Z111:AB111"/>
    <mergeCell ref="Z38:AB38"/>
    <mergeCell ref="Z98:AB98"/>
    <mergeCell ref="V61:Y61"/>
    <mergeCell ref="R64:U64"/>
    <mergeCell ref="R57:U57"/>
    <mergeCell ref="Z63:AB63"/>
    <mergeCell ref="V79:Y79"/>
    <mergeCell ref="R49:U49"/>
    <mergeCell ref="Z108:AB108"/>
    <mergeCell ref="Z95:AB95"/>
    <mergeCell ref="Z97:AB97"/>
    <mergeCell ref="R54:U54"/>
    <mergeCell ref="Z72:AB72"/>
    <mergeCell ref="R41:U41"/>
    <mergeCell ref="V48:Y48"/>
    <mergeCell ref="R59:U59"/>
    <mergeCell ref="R40:U40"/>
    <mergeCell ref="Z89:AB89"/>
    <mergeCell ref="R109:U109"/>
    <mergeCell ref="R47:U47"/>
    <mergeCell ref="R96:U96"/>
    <mergeCell ref="Z99:AB99"/>
    <mergeCell ref="R108:U108"/>
    <mergeCell ref="V110:Y110"/>
    <mergeCell ref="Z91:AB91"/>
    <mergeCell ref="Z66:AB66"/>
    <mergeCell ref="Z53:AB53"/>
    <mergeCell ref="F22:I22"/>
    <mergeCell ref="N19:Q19"/>
    <mergeCell ref="F93:I93"/>
    <mergeCell ref="F40:I40"/>
    <mergeCell ref="F106:I106"/>
    <mergeCell ref="Z109:AB109"/>
    <mergeCell ref="N87:Q87"/>
    <mergeCell ref="Z47:AB47"/>
    <mergeCell ref="Z96:AB96"/>
    <mergeCell ref="V46:Y46"/>
    <mergeCell ref="V95:Y95"/>
    <mergeCell ref="N89:Q89"/>
    <mergeCell ref="N61:Q61"/>
    <mergeCell ref="N48:Q48"/>
    <mergeCell ref="J86:M86"/>
    <mergeCell ref="F97:I97"/>
    <mergeCell ref="Z26:AB26"/>
    <mergeCell ref="F72:I72"/>
    <mergeCell ref="Z19:AB19"/>
    <mergeCell ref="F108:I108"/>
    <mergeCell ref="J113:M113"/>
    <mergeCell ref="R75:U75"/>
    <mergeCell ref="Z22:AB22"/>
    <mergeCell ref="Z93:AB93"/>
    <mergeCell ref="R62:U62"/>
    <mergeCell ref="J50:M50"/>
    <mergeCell ref="J52:M52"/>
    <mergeCell ref="R39:U39"/>
    <mergeCell ref="R14:U14"/>
    <mergeCell ref="J39:M39"/>
    <mergeCell ref="N108:Q108"/>
    <mergeCell ref="N95:Q95"/>
    <mergeCell ref="V92:Y92"/>
    <mergeCell ref="R103:U103"/>
    <mergeCell ref="J81:M81"/>
    <mergeCell ref="V67:Y67"/>
    <mergeCell ref="J37:M37"/>
    <mergeCell ref="V97:Y97"/>
    <mergeCell ref="N37:Q37"/>
    <mergeCell ref="N97:Q97"/>
    <mergeCell ref="V94:Y94"/>
    <mergeCell ref="Z46:AB46"/>
    <mergeCell ref="R110:U110"/>
    <mergeCell ref="N82:Q82"/>
    <mergeCell ref="S8:V8"/>
    <mergeCell ref="Z40:AB40"/>
    <mergeCell ref="V69:Y69"/>
    <mergeCell ref="N72:Q72"/>
    <mergeCell ref="F12:I12"/>
    <mergeCell ref="V96:Y96"/>
    <mergeCell ref="F104:I104"/>
    <mergeCell ref="Z104:AB104"/>
    <mergeCell ref="R65:U65"/>
    <mergeCell ref="F41:I41"/>
    <mergeCell ref="V98:Y98"/>
    <mergeCell ref="F35:I35"/>
    <mergeCell ref="Z54:AB54"/>
    <mergeCell ref="J70:M70"/>
    <mergeCell ref="Z41:AB41"/>
    <mergeCell ref="J32:M32"/>
    <mergeCell ref="J63:M63"/>
    <mergeCell ref="R50:U50"/>
    <mergeCell ref="F66:I66"/>
    <mergeCell ref="F9:J9"/>
    <mergeCell ref="R12:U12"/>
    <mergeCell ref="N10:Q11"/>
    <mergeCell ref="N51:Q51"/>
    <mergeCell ref="F83:I83"/>
  </mergeCells>
  <pageMargins left="0.4" right="0.4" top="0.5" bottom="0.5" header="0.3" footer="0.3"/>
  <ignoredErrors>
    <ignoredError numberStoredAsText="1" sqref="A1:BE1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1:W43"/>
  <sheetViews>
    <sheetView workbookViewId="0" rightToLeft="0"/>
  </sheetViews>
  <sheetData>
    <row r="2">
      <c r="B2" t="str">
        <v>SUBJECT</v>
      </c>
      <c r="C2" t="str">
        <v>WWs</v>
      </c>
      <c r="D2" t="str">
        <v>PTs</v>
      </c>
      <c r="E2" t="str">
        <v>STs-TE</v>
      </c>
      <c r="F2" t="str">
        <v>TOTAL</v>
      </c>
      <c r="H2" t="str">
        <v>TRANSMUTATION TABLE</v>
      </c>
      <c r="T2" t="str">
        <v>DESCRIPTORS</v>
      </c>
    </row>
    <row r="3">
      <c r="B3" t="str">
        <v>FILIPINO</v>
      </c>
      <c r="C3">
        <v>0.2</v>
      </c>
      <c r="D3">
        <v>0.5</v>
      </c>
      <c r="E3">
        <v>0.3</v>
      </c>
      <c r="F3">
        <f>SUM(C3:E3)</f>
        <v>1</v>
      </c>
      <c r="H3">
        <v>0</v>
      </c>
      <c r="I3" t="str">
        <v>-</v>
      </c>
      <c r="J3">
        <v>39.99</v>
      </c>
      <c r="K3">
        <v>60</v>
      </c>
      <c r="T3">
        <v>0</v>
      </c>
      <c r="U3" t="str">
        <v>-</v>
      </c>
      <c r="V3">
        <v>64</v>
      </c>
      <c r="W3" t="str">
        <v>Emerging</v>
      </c>
    </row>
    <row r="4">
      <c r="B4" t="str">
        <v>ENGLISH</v>
      </c>
      <c r="C4">
        <v>0.2</v>
      </c>
      <c r="D4">
        <v>0.5</v>
      </c>
      <c r="E4">
        <v>0.3</v>
      </c>
      <c r="F4">
        <f>SUM(C4:E4)</f>
        <v>1</v>
      </c>
      <c r="H4">
        <v>40</v>
      </c>
      <c r="I4" t="str">
        <v>-</v>
      </c>
      <c r="J4">
        <v>42.99</v>
      </c>
      <c r="K4">
        <v>61</v>
      </c>
      <c r="T4">
        <v>65</v>
      </c>
      <c r="U4" t="str">
        <v>-</v>
      </c>
      <c r="V4">
        <v>74</v>
      </c>
      <c r="W4" t="str">
        <v xml:space="preserve">Developing </v>
      </c>
    </row>
    <row r="5">
      <c r="B5" t="str">
        <v>MATHEMATICS</v>
      </c>
      <c r="C5">
        <v>0.2</v>
      </c>
      <c r="D5">
        <v>0.5</v>
      </c>
      <c r="E5">
        <v>0.3</v>
      </c>
      <c r="F5">
        <f>SUM(C5:E5)</f>
        <v>1</v>
      </c>
      <c r="H5">
        <v>43</v>
      </c>
      <c r="I5" t="str">
        <v>-</v>
      </c>
      <c r="J5">
        <v>45.99</v>
      </c>
      <c r="K5">
        <v>62</v>
      </c>
      <c r="T5">
        <v>75</v>
      </c>
      <c r="U5" t="str">
        <v>-</v>
      </c>
      <c r="V5">
        <v>79</v>
      </c>
      <c r="W5" t="str">
        <v>Connecting</v>
      </c>
    </row>
    <row r="6">
      <c r="B6" t="str">
        <v>SCIENCE</v>
      </c>
      <c r="C6">
        <v>0.2</v>
      </c>
      <c r="D6">
        <v>0.5</v>
      </c>
      <c r="E6">
        <v>0.3</v>
      </c>
      <c r="F6">
        <f>SUM(C6:E6)</f>
        <v>1</v>
      </c>
      <c r="H6">
        <v>46</v>
      </c>
      <c r="I6" t="str">
        <v>-</v>
      </c>
      <c r="J6">
        <v>47.99</v>
      </c>
      <c r="K6">
        <v>63</v>
      </c>
      <c r="T6">
        <v>80</v>
      </c>
      <c r="U6" t="str">
        <v>-</v>
      </c>
      <c r="V6">
        <v>89</v>
      </c>
      <c r="W6" t="str">
        <v>Benchmarking</v>
      </c>
    </row>
    <row r="7">
      <c r="B7" t="str">
        <v>ARALING PANLIPUNAN</v>
      </c>
      <c r="C7">
        <v>0.2</v>
      </c>
      <c r="D7">
        <v>0.5</v>
      </c>
      <c r="E7">
        <v>0.3</v>
      </c>
      <c r="F7">
        <f>SUM(C7:E7)</f>
        <v>1</v>
      </c>
      <c r="H7">
        <v>48</v>
      </c>
      <c r="I7" t="str">
        <v>-</v>
      </c>
      <c r="J7">
        <v>49.99</v>
      </c>
      <c r="K7">
        <v>64</v>
      </c>
      <c r="T7">
        <v>90</v>
      </c>
      <c r="U7" t="str">
        <v>-</v>
      </c>
      <c r="V7">
        <v>100</v>
      </c>
      <c r="W7" t="str">
        <v>Advancing</v>
      </c>
    </row>
    <row r="8">
      <c r="B8" t="str">
        <v>GMRC</v>
      </c>
      <c r="C8">
        <v>0.2</v>
      </c>
      <c r="D8">
        <v>0.5</v>
      </c>
      <c r="E8">
        <v>0.3</v>
      </c>
      <c r="F8">
        <f>SUM(C8:E8)</f>
        <v>1</v>
      </c>
      <c r="H8">
        <v>50</v>
      </c>
      <c r="I8" t="str">
        <v>-</v>
      </c>
      <c r="J8">
        <v>51.99</v>
      </c>
      <c r="K8">
        <v>65</v>
      </c>
    </row>
    <row r="9">
      <c r="B9" t="str">
        <v>EPP</v>
      </c>
      <c r="C9">
        <v>0.2</v>
      </c>
      <c r="D9">
        <v>0.6</v>
      </c>
      <c r="E9">
        <v>0.2</v>
      </c>
      <c r="F9">
        <f>SUM(C9:E9)</f>
        <v>1</v>
      </c>
      <c r="H9">
        <v>52</v>
      </c>
      <c r="I9" t="str">
        <v>-</v>
      </c>
      <c r="J9">
        <v>53.99</v>
      </c>
      <c r="K9">
        <v>66</v>
      </c>
    </row>
    <row r="10">
      <c r="B10" t="str">
        <v>TLE</v>
      </c>
      <c r="C10">
        <v>0.2</v>
      </c>
      <c r="D10">
        <v>0.6</v>
      </c>
      <c r="E10">
        <v>0.2</v>
      </c>
      <c r="F10">
        <f>SUM(C10:E10)</f>
        <v>1</v>
      </c>
      <c r="H10">
        <v>54</v>
      </c>
      <c r="I10" t="str">
        <v>-</v>
      </c>
      <c r="J10">
        <v>55.99</v>
      </c>
      <c r="K10">
        <v>67</v>
      </c>
    </row>
    <row r="11">
      <c r="B11" t="str">
        <v>VALUES EDUCATION</v>
      </c>
      <c r="C11">
        <v>0.2</v>
      </c>
      <c r="D11">
        <v>0.5</v>
      </c>
      <c r="E11">
        <v>0.3</v>
      </c>
      <c r="F11">
        <f>SUM(C11:E11)</f>
        <v>1</v>
      </c>
      <c r="H11">
        <v>56</v>
      </c>
      <c r="I11" t="str">
        <v>-</v>
      </c>
      <c r="J11">
        <v>57.99</v>
      </c>
      <c r="K11">
        <v>68</v>
      </c>
    </row>
    <row r="12">
      <c r="H12">
        <v>58</v>
      </c>
      <c r="I12" t="str">
        <v>-</v>
      </c>
      <c r="J12">
        <v>59.99</v>
      </c>
      <c r="K12">
        <v>69</v>
      </c>
    </row>
    <row r="13">
      <c r="H13">
        <v>60</v>
      </c>
      <c r="I13" t="str">
        <v>-</v>
      </c>
      <c r="J13">
        <v>61.99</v>
      </c>
      <c r="K13">
        <v>70</v>
      </c>
    </row>
    <row r="14">
      <c r="H14">
        <v>62</v>
      </c>
      <c r="I14" t="str">
        <v>-</v>
      </c>
      <c r="J14">
        <v>63.99</v>
      </c>
      <c r="K14">
        <v>71</v>
      </c>
    </row>
    <row r="15">
      <c r="H15">
        <v>64</v>
      </c>
      <c r="I15" t="str">
        <v>-</v>
      </c>
      <c r="J15">
        <v>65.99</v>
      </c>
      <c r="K15">
        <v>72</v>
      </c>
    </row>
    <row r="16">
      <c r="H16">
        <v>66</v>
      </c>
      <c r="I16" t="str">
        <v>-</v>
      </c>
      <c r="J16">
        <v>67.99</v>
      </c>
      <c r="K16">
        <v>73</v>
      </c>
    </row>
    <row r="17">
      <c r="H17">
        <v>68</v>
      </c>
      <c r="I17" t="str">
        <v>-</v>
      </c>
      <c r="J17">
        <v>69.99</v>
      </c>
      <c r="K17">
        <v>74</v>
      </c>
    </row>
    <row r="18">
      <c r="H18">
        <v>70</v>
      </c>
      <c r="I18" t="str">
        <v>-</v>
      </c>
      <c r="J18">
        <v>72.99</v>
      </c>
      <c r="K18">
        <v>75</v>
      </c>
    </row>
    <row r="19">
      <c r="H19">
        <v>73</v>
      </c>
      <c r="I19" t="str">
        <v>-</v>
      </c>
      <c r="J19">
        <v>74.99</v>
      </c>
      <c r="K19">
        <v>76</v>
      </c>
    </row>
    <row r="20">
      <c r="H20">
        <v>75</v>
      </c>
      <c r="I20" t="str">
        <v>-</v>
      </c>
      <c r="J20">
        <v>75.99</v>
      </c>
      <c r="K20">
        <v>77</v>
      </c>
    </row>
    <row r="21">
      <c r="H21">
        <v>76</v>
      </c>
      <c r="I21" t="str">
        <v>-</v>
      </c>
      <c r="J21">
        <v>76.99</v>
      </c>
      <c r="K21">
        <v>78</v>
      </c>
    </row>
    <row r="22">
      <c r="H22">
        <v>77</v>
      </c>
      <c r="I22" t="str">
        <v>-</v>
      </c>
      <c r="J22">
        <v>77.99</v>
      </c>
      <c r="K22">
        <v>79</v>
      </c>
    </row>
    <row r="23">
      <c r="H23">
        <v>78</v>
      </c>
      <c r="I23" t="str">
        <v>-</v>
      </c>
      <c r="J23">
        <v>78.99</v>
      </c>
      <c r="K23">
        <v>80</v>
      </c>
    </row>
    <row r="24">
      <c r="H24">
        <v>79</v>
      </c>
      <c r="I24" t="str">
        <v>-</v>
      </c>
      <c r="J24">
        <v>79.99</v>
      </c>
      <c r="K24">
        <v>81</v>
      </c>
    </row>
    <row r="25">
      <c r="H25">
        <v>80</v>
      </c>
      <c r="I25" t="str">
        <v>-</v>
      </c>
      <c r="J25">
        <v>80.99</v>
      </c>
      <c r="K25">
        <v>82</v>
      </c>
    </row>
    <row r="26">
      <c r="H26">
        <v>81</v>
      </c>
      <c r="I26" t="str">
        <v>-</v>
      </c>
      <c r="J26">
        <v>81.99</v>
      </c>
      <c r="K26">
        <v>83</v>
      </c>
    </row>
    <row r="27">
      <c r="H27">
        <v>82</v>
      </c>
      <c r="I27" t="str">
        <v>-</v>
      </c>
      <c r="J27">
        <v>82.99</v>
      </c>
      <c r="K27">
        <v>84</v>
      </c>
    </row>
    <row r="28">
      <c r="H28">
        <v>83</v>
      </c>
      <c r="I28" t="str">
        <v>-</v>
      </c>
      <c r="J28">
        <v>83.99</v>
      </c>
      <c r="K28">
        <v>85</v>
      </c>
    </row>
    <row r="29">
      <c r="H29">
        <v>84</v>
      </c>
      <c r="I29" t="str">
        <v>-</v>
      </c>
      <c r="J29">
        <v>84.99</v>
      </c>
      <c r="K29">
        <v>86</v>
      </c>
    </row>
    <row r="30">
      <c r="H30">
        <v>85</v>
      </c>
      <c r="I30" t="str">
        <v>-</v>
      </c>
      <c r="J30">
        <v>85.99</v>
      </c>
      <c r="K30">
        <v>87</v>
      </c>
    </row>
    <row r="31">
      <c r="H31">
        <v>86</v>
      </c>
      <c r="I31" t="str">
        <v>-</v>
      </c>
      <c r="J31">
        <v>86.99</v>
      </c>
      <c r="K31">
        <v>88</v>
      </c>
    </row>
    <row r="32">
      <c r="H32">
        <v>87</v>
      </c>
      <c r="I32" t="str">
        <v>-</v>
      </c>
      <c r="J32">
        <v>87.99</v>
      </c>
      <c r="K32">
        <v>89</v>
      </c>
    </row>
    <row r="33">
      <c r="H33">
        <v>88</v>
      </c>
      <c r="I33" t="str">
        <v>-</v>
      </c>
      <c r="J33">
        <v>88.99</v>
      </c>
      <c r="K33">
        <v>90</v>
      </c>
    </row>
    <row r="34">
      <c r="H34">
        <v>89</v>
      </c>
      <c r="I34" t="str">
        <v>-</v>
      </c>
      <c r="J34">
        <v>89.99</v>
      </c>
      <c r="K34">
        <v>91</v>
      </c>
    </row>
    <row r="35">
      <c r="H35">
        <v>90</v>
      </c>
      <c r="I35" t="str">
        <v>-</v>
      </c>
      <c r="J35">
        <v>90.99</v>
      </c>
      <c r="K35">
        <v>92</v>
      </c>
    </row>
    <row r="36">
      <c r="H36">
        <v>91</v>
      </c>
      <c r="I36" t="str">
        <v>-</v>
      </c>
      <c r="J36">
        <v>91.99</v>
      </c>
      <c r="K36">
        <v>93</v>
      </c>
    </row>
    <row r="37">
      <c r="H37">
        <v>92</v>
      </c>
      <c r="I37" t="str">
        <v>-</v>
      </c>
      <c r="J37">
        <v>92.99</v>
      </c>
      <c r="K37">
        <v>94</v>
      </c>
    </row>
    <row r="38">
      <c r="H38">
        <v>93</v>
      </c>
      <c r="I38" t="str">
        <v>-</v>
      </c>
      <c r="J38">
        <v>93.99</v>
      </c>
      <c r="K38">
        <v>95</v>
      </c>
    </row>
    <row r="39">
      <c r="H39">
        <v>94</v>
      </c>
      <c r="I39" t="str">
        <v>-</v>
      </c>
      <c r="J39">
        <v>94.99</v>
      </c>
      <c r="K39">
        <v>96</v>
      </c>
    </row>
    <row r="40">
      <c r="H40">
        <v>95</v>
      </c>
      <c r="I40" t="str">
        <v>-</v>
      </c>
      <c r="J40">
        <v>95.99</v>
      </c>
      <c r="K40">
        <v>97</v>
      </c>
    </row>
    <row r="41">
      <c r="H41">
        <v>96</v>
      </c>
      <c r="I41" t="str">
        <v>-</v>
      </c>
      <c r="J41">
        <v>97.49</v>
      </c>
      <c r="K41">
        <v>98</v>
      </c>
    </row>
    <row r="42">
      <c r="H42">
        <v>97.5</v>
      </c>
      <c r="I42" t="str">
        <v>-</v>
      </c>
      <c r="J42">
        <v>99.49</v>
      </c>
      <c r="K42">
        <v>99</v>
      </c>
    </row>
    <row r="43">
      <c r="H43">
        <v>99.5</v>
      </c>
      <c r="I43" t="str">
        <v>-</v>
      </c>
      <c r="J43">
        <v>100</v>
      </c>
      <c r="K43">
        <v>100</v>
      </c>
    </row>
  </sheetData>
  <mergeCells count="2">
    <mergeCell ref="H2:K2"/>
    <mergeCell ref="T2:W2"/>
  </mergeCells>
  <pageMargins left="0.7" right="0.7" top="0.75" bottom="0.75" header="0.3" footer="0.3"/>
  <ignoredErrors>
    <ignoredError numberStoredAsText="1" sqref="B1:W4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42"/>
  <sheetViews>
    <sheetView workbookViewId="0" rightToLeft="0"/>
  </sheetViews>
  <sheetData>
    <row r="1" xml:space="preserve">
      <c r="A1" t="str">
        <v>SUBJECT</v>
      </c>
      <c r="B1" t="str">
        <v>WRITTEN WORK</v>
      </c>
      <c r="C1" t="str">
        <v>PERFORMANCE TASKS</v>
      </c>
      <c r="D1" t="str" xml:space="preserve">
        <v xml:space="preserve">Q._x000d_
ASSESS-MENT</v>
      </c>
      <c r="G1" t="str">
        <v>TRANSMUTATION TABLE</v>
      </c>
    </row>
    <row r="2">
      <c r="A2" t="str">
        <v>FILIPINO</v>
      </c>
      <c r="B2">
        <v>0.3</v>
      </c>
      <c r="C2">
        <v>0.5</v>
      </c>
      <c r="D2">
        <v>0.2</v>
      </c>
      <c r="E2">
        <f>SUM(B2:D2)</f>
        <v>1</v>
      </c>
      <c r="G2">
        <v>0</v>
      </c>
      <c r="H2" t="str">
        <v>-</v>
      </c>
      <c r="I2">
        <v>3.99</v>
      </c>
      <c r="J2">
        <v>60</v>
      </c>
    </row>
    <row r="3">
      <c r="A3" t="str">
        <v>ENGLISH</v>
      </c>
      <c r="B3">
        <v>0.4</v>
      </c>
      <c r="C3">
        <v>0.4</v>
      </c>
      <c r="D3">
        <v>0.2</v>
      </c>
      <c r="E3">
        <f>SUM(B3:D3)</f>
        <v>1</v>
      </c>
      <c r="G3">
        <v>4</v>
      </c>
      <c r="H3" t="str">
        <v>-</v>
      </c>
      <c r="I3">
        <v>7.99</v>
      </c>
      <c r="J3">
        <v>61</v>
      </c>
    </row>
    <row r="4">
      <c r="A4" t="str">
        <v>MATHEMATICS</v>
      </c>
      <c r="B4">
        <v>0.2</v>
      </c>
      <c r="C4">
        <v>0.6</v>
      </c>
      <c r="D4">
        <v>0.2</v>
      </c>
      <c r="E4">
        <f>SUM(B4:D4)</f>
        <v>1</v>
      </c>
      <c r="G4">
        <v>8</v>
      </c>
      <c r="H4" t="str">
        <v>-</v>
      </c>
      <c r="I4">
        <v>11.99</v>
      </c>
      <c r="J4">
        <v>62</v>
      </c>
    </row>
    <row r="5">
      <c r="A5" t="str">
        <v>SCIENCE</v>
      </c>
      <c r="G5">
        <v>12</v>
      </c>
      <c r="H5" t="str">
        <v>-</v>
      </c>
      <c r="I5">
        <v>15.99</v>
      </c>
      <c r="J5">
        <v>63</v>
      </c>
      <c r="V5" t="str">
        <v>WW</v>
      </c>
      <c r="W5" t="str">
        <v>PT</v>
      </c>
      <c r="X5" t="str">
        <v>QA</v>
      </c>
    </row>
    <row r="6">
      <c r="A6" t="str">
        <v>ARALING PANLIPUNAN</v>
      </c>
      <c r="G6">
        <v>16</v>
      </c>
      <c r="H6" t="str">
        <v>-</v>
      </c>
      <c r="I6">
        <v>19.99</v>
      </c>
      <c r="J6">
        <v>64</v>
      </c>
      <c r="U6" t="str">
        <v>FILIPINO</v>
      </c>
      <c r="V6">
        <v>0.3</v>
      </c>
      <c r="W6">
        <v>0.5</v>
      </c>
      <c r="X6">
        <v>0.2</v>
      </c>
    </row>
    <row r="7">
      <c r="A7" t="str">
        <v>EDUKASYON SA PAGPAPAKATAO</v>
      </c>
      <c r="G7">
        <v>20</v>
      </c>
      <c r="H7" t="str">
        <v>-</v>
      </c>
      <c r="I7">
        <v>23.99</v>
      </c>
      <c r="J7">
        <v>65</v>
      </c>
      <c r="U7" t="str">
        <v>ENGLISH</v>
      </c>
      <c r="V7">
        <v>0.3</v>
      </c>
      <c r="W7">
        <v>0.5</v>
      </c>
      <c r="X7">
        <v>0.2</v>
      </c>
    </row>
    <row r="8">
      <c r="A8" t="str">
        <v>EDUKASYONG PANTAHANAN AT PANGKABUHAYAN</v>
      </c>
      <c r="G8">
        <v>24</v>
      </c>
      <c r="H8" t="str">
        <v>-</v>
      </c>
      <c r="I8">
        <v>27.99</v>
      </c>
      <c r="J8">
        <v>66</v>
      </c>
      <c r="U8" t="str">
        <v>MATHEMATICS</v>
      </c>
      <c r="V8">
        <v>0.4</v>
      </c>
      <c r="W8">
        <v>0.4</v>
      </c>
      <c r="X8">
        <v>0.2</v>
      </c>
    </row>
    <row r="9">
      <c r="A9" t="str">
        <v>MOTHER TONGUE</v>
      </c>
      <c r="C9" t="str">
        <v>FIRST</v>
      </c>
      <c r="G9">
        <v>28</v>
      </c>
      <c r="H9" t="str">
        <v>-</v>
      </c>
      <c r="I9">
        <v>31.99</v>
      </c>
      <c r="J9">
        <v>67</v>
      </c>
      <c r="U9" t="str">
        <v>SCIENCE</v>
      </c>
      <c r="V9">
        <v>0.4</v>
      </c>
      <c r="W9">
        <v>0.4</v>
      </c>
      <c r="X9">
        <v>0.2</v>
      </c>
    </row>
    <row r="10">
      <c r="C10" t="str">
        <v>SECOND</v>
      </c>
      <c r="G10">
        <v>32</v>
      </c>
      <c r="H10" t="str">
        <v>-</v>
      </c>
      <c r="I10">
        <v>35.99</v>
      </c>
      <c r="J10">
        <v>68</v>
      </c>
      <c r="U10" t="str">
        <v>ARALING PANLIPUNAN</v>
      </c>
      <c r="V10">
        <v>0.3</v>
      </c>
      <c r="W10">
        <v>0.5</v>
      </c>
      <c r="X10">
        <v>0.2</v>
      </c>
    </row>
    <row r="11">
      <c r="C11" t="str">
        <v>THIRD</v>
      </c>
      <c r="G11">
        <v>36</v>
      </c>
      <c r="H11" t="str">
        <v>-</v>
      </c>
      <c r="I11">
        <v>39.99</v>
      </c>
      <c r="J11">
        <v>69</v>
      </c>
      <c r="U11" t="str">
        <v>EDUKASYON SA PAGPAPAKATAO</v>
      </c>
      <c r="V11">
        <v>0.3</v>
      </c>
      <c r="W11">
        <v>0.5</v>
      </c>
      <c r="X11">
        <v>0.2</v>
      </c>
    </row>
    <row r="12">
      <c r="C12" t="str">
        <v>FOURTH</v>
      </c>
      <c r="G12">
        <v>40</v>
      </c>
      <c r="H12" t="str">
        <v>-</v>
      </c>
      <c r="I12">
        <v>43.99</v>
      </c>
      <c r="J12">
        <v>70</v>
      </c>
      <c r="U12" t="str">
        <v>EDUKASYONG PANTAHANAN AT PANGKABUHAYAN</v>
      </c>
      <c r="V12">
        <v>0.2</v>
      </c>
      <c r="W12">
        <v>0.6</v>
      </c>
      <c r="X12">
        <v>0.2</v>
      </c>
    </row>
    <row r="13">
      <c r="G13">
        <v>44</v>
      </c>
      <c r="H13" t="str">
        <v>-</v>
      </c>
      <c r="I13">
        <v>47.99</v>
      </c>
      <c r="J13">
        <v>71</v>
      </c>
      <c r="U13" t="str">
        <v>MOTHER TONGUE</v>
      </c>
      <c r="V13">
        <v>0.3</v>
      </c>
      <c r="W13">
        <v>0.5</v>
      </c>
      <c r="X13">
        <v>0.2</v>
      </c>
    </row>
    <row r="14">
      <c r="G14">
        <v>48</v>
      </c>
      <c r="H14" t="str">
        <v>-</v>
      </c>
      <c r="I14">
        <v>51.99</v>
      </c>
      <c r="J14">
        <v>72</v>
      </c>
    </row>
    <row r="15">
      <c r="G15">
        <v>52</v>
      </c>
      <c r="H15" t="str">
        <v>-</v>
      </c>
      <c r="I15">
        <v>55.99</v>
      </c>
      <c r="J15">
        <v>73</v>
      </c>
      <c r="U15" t="str">
        <f>U6&amp;U7&amp;U8&amp;U9&amp;U10&amp;U11&amp;U12&amp;U13</f>
        <v>FILIPINOENGLISHMATHEMATICSSCIENCEARALING PANLIPUNANEDUKASYON SA PAGPAPAKATAOEDUKASYONG PANTAHANAN AT PANGKABUHAYANMOTHER TONGUE</v>
      </c>
    </row>
    <row r="16">
      <c r="G16">
        <v>56</v>
      </c>
      <c r="H16" t="str">
        <v>-</v>
      </c>
      <c r="I16">
        <v>59.99</v>
      </c>
      <c r="J16">
        <v>74</v>
      </c>
      <c r="U16" t="str">
        <v>FILIPINO,ENGLISH,MATHEMATICS,SCIENCE,ARALING PANLIPUNAN,EDUKASYON SA PAGPAPAKATAO,EDUKASYONG PANTAHANAN AT PANGKABUHAYAN,MOTHER TONGUE</v>
      </c>
    </row>
    <row r="17">
      <c r="G17">
        <v>60</v>
      </c>
      <c r="H17" t="str">
        <v>-</v>
      </c>
      <c r="I17">
        <v>61.59</v>
      </c>
      <c r="J17">
        <v>75</v>
      </c>
    </row>
    <row r="18">
      <c r="G18">
        <v>61.6</v>
      </c>
      <c r="H18" t="str">
        <v>-</v>
      </c>
      <c r="I18">
        <v>63.19</v>
      </c>
      <c r="J18">
        <v>76</v>
      </c>
    </row>
    <row r="19">
      <c r="G19">
        <v>63.2</v>
      </c>
      <c r="H19" t="str">
        <v>-</v>
      </c>
      <c r="I19">
        <v>64.79</v>
      </c>
      <c r="J19">
        <v>77</v>
      </c>
    </row>
    <row r="20">
      <c r="G20">
        <v>64.8</v>
      </c>
      <c r="H20" t="str">
        <v>-</v>
      </c>
      <c r="I20">
        <v>66.39</v>
      </c>
      <c r="J20">
        <v>78</v>
      </c>
    </row>
    <row r="21">
      <c r="G21">
        <v>66.4</v>
      </c>
      <c r="H21" t="str">
        <v>-</v>
      </c>
      <c r="I21">
        <v>67.99000000000001</v>
      </c>
      <c r="J21">
        <v>79</v>
      </c>
    </row>
    <row r="22">
      <c r="G22">
        <v>68</v>
      </c>
      <c r="H22" t="str">
        <v>-</v>
      </c>
      <c r="I22">
        <v>69.59</v>
      </c>
      <c r="J22">
        <v>80</v>
      </c>
    </row>
    <row r="23">
      <c r="G23">
        <v>69.6</v>
      </c>
      <c r="H23" t="str">
        <v>-</v>
      </c>
      <c r="I23">
        <v>71.19</v>
      </c>
      <c r="J23">
        <v>81</v>
      </c>
    </row>
    <row r="24">
      <c r="G24">
        <v>71.2</v>
      </c>
      <c r="H24" t="str">
        <v>-</v>
      </c>
      <c r="I24">
        <v>72.79</v>
      </c>
      <c r="J24">
        <v>82</v>
      </c>
    </row>
    <row r="25">
      <c r="G25">
        <v>72.8</v>
      </c>
      <c r="H25" t="str">
        <v>-</v>
      </c>
      <c r="I25">
        <v>74.39</v>
      </c>
      <c r="J25">
        <v>83</v>
      </c>
    </row>
    <row r="26">
      <c r="G26">
        <v>74.4</v>
      </c>
      <c r="H26" t="str">
        <v>-</v>
      </c>
      <c r="I26">
        <v>75.99000000000001</v>
      </c>
      <c r="J26">
        <v>84</v>
      </c>
    </row>
    <row r="27">
      <c r="G27">
        <v>76</v>
      </c>
      <c r="H27" t="str">
        <v>-</v>
      </c>
      <c r="I27">
        <v>77.59</v>
      </c>
      <c r="J27">
        <v>85</v>
      </c>
    </row>
    <row r="28">
      <c r="G28">
        <v>77.6</v>
      </c>
      <c r="H28" t="str">
        <v>-</v>
      </c>
      <c r="I28">
        <v>79.19</v>
      </c>
      <c r="J28">
        <v>86</v>
      </c>
    </row>
    <row r="29">
      <c r="G29">
        <v>79.2</v>
      </c>
      <c r="H29" t="str">
        <v>-</v>
      </c>
      <c r="I29">
        <v>80.79</v>
      </c>
      <c r="J29">
        <v>87</v>
      </c>
    </row>
    <row r="30">
      <c r="G30">
        <v>80.8</v>
      </c>
      <c r="H30" t="str">
        <v>-</v>
      </c>
      <c r="I30">
        <v>82.39</v>
      </c>
      <c r="J30">
        <v>88</v>
      </c>
    </row>
    <row r="31">
      <c r="G31">
        <v>82.4</v>
      </c>
      <c r="H31" t="str">
        <v>-</v>
      </c>
      <c r="I31">
        <v>83.99000000000001</v>
      </c>
      <c r="J31">
        <v>89</v>
      </c>
    </row>
    <row r="32">
      <c r="G32">
        <v>84</v>
      </c>
      <c r="H32" t="str">
        <v>-</v>
      </c>
      <c r="I32">
        <v>85.59</v>
      </c>
      <c r="J32">
        <v>90</v>
      </c>
    </row>
    <row r="33">
      <c r="G33">
        <v>85.6</v>
      </c>
      <c r="H33" t="str">
        <v>-</v>
      </c>
      <c r="I33">
        <v>87.19</v>
      </c>
      <c r="J33">
        <v>91</v>
      </c>
    </row>
    <row r="34">
      <c r="G34">
        <v>87.2</v>
      </c>
      <c r="H34" t="str">
        <v>-</v>
      </c>
      <c r="I34">
        <v>88.79</v>
      </c>
      <c r="J34">
        <v>92</v>
      </c>
    </row>
    <row r="35">
      <c r="G35">
        <v>88.8</v>
      </c>
      <c r="H35" t="str">
        <v>-</v>
      </c>
      <c r="I35">
        <v>90.39</v>
      </c>
      <c r="J35">
        <v>93</v>
      </c>
    </row>
    <row r="36">
      <c r="G36">
        <v>90.4</v>
      </c>
      <c r="H36" t="str">
        <v>-</v>
      </c>
      <c r="I36">
        <v>91.99000000000001</v>
      </c>
      <c r="J36">
        <v>94</v>
      </c>
    </row>
    <row r="37">
      <c r="G37">
        <v>92</v>
      </c>
      <c r="H37" t="str">
        <v>-</v>
      </c>
      <c r="I37">
        <v>93.59</v>
      </c>
      <c r="J37">
        <v>95</v>
      </c>
    </row>
    <row r="38">
      <c r="G38">
        <v>93.6</v>
      </c>
      <c r="H38" t="str">
        <v>-</v>
      </c>
      <c r="I38">
        <v>95.19</v>
      </c>
      <c r="J38">
        <v>96</v>
      </c>
    </row>
    <row r="39">
      <c r="G39">
        <v>95.2</v>
      </c>
      <c r="H39" t="str">
        <v>-</v>
      </c>
      <c r="I39">
        <v>96.79</v>
      </c>
      <c r="J39">
        <v>97</v>
      </c>
    </row>
    <row r="40">
      <c r="G40">
        <v>96.8</v>
      </c>
      <c r="H40" t="str">
        <v>-</v>
      </c>
      <c r="I40">
        <v>98.39</v>
      </c>
      <c r="J40">
        <v>98</v>
      </c>
    </row>
    <row r="41">
      <c r="G41">
        <v>98.4</v>
      </c>
      <c r="H41" t="str">
        <v>-</v>
      </c>
      <c r="I41">
        <v>99.99000000000001</v>
      </c>
      <c r="J41">
        <v>99</v>
      </c>
    </row>
    <row r="42">
      <c r="G42">
        <v>100</v>
      </c>
      <c r="H42" t="str">
        <v>-</v>
      </c>
      <c r="J42">
        <v>100</v>
      </c>
    </row>
  </sheetData>
  <mergeCells count="1">
    <mergeCell ref="G1:J1"/>
  </mergeCells>
  <pageMargins left="0.7" right="0.7" top="0.75" bottom="0.75" header="0.3" footer="0.3"/>
  <ignoredErrors>
    <ignoredError numberStoredAsText="1" sqref="A1:X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12"/>
  <sheetViews>
    <sheetView workbookViewId="0" rightToLeft="0"/>
  </sheetViews>
  <sheetData>
    <row r="8">
      <c r="A8" t="str">
        <v>LIST NO.</v>
      </c>
      <c r="B8" t="str">
        <v>LEARNER'S NAME (copied from INPUT, for verification)</v>
      </c>
      <c r="C8" t="str">
        <v>LRN</v>
      </c>
    </row>
    <row r="12">
      <c r="A12">
        <v>1</v>
      </c>
      <c r="B12" t="str">
        <v>Aguilar, Adrian</v>
      </c>
      <c r="C12" t="str">
        <v>100000000001</v>
      </c>
    </row>
    <row r="13">
      <c r="A13">
        <v>2</v>
      </c>
      <c r="B13" t="str">
        <v>Alcantara, Angelo</v>
      </c>
      <c r="C13" t="str">
        <v>100000000002</v>
      </c>
    </row>
    <row r="14">
      <c r="A14">
        <v>3</v>
      </c>
      <c r="B14" t="str">
        <v>Andrada, Anton</v>
      </c>
      <c r="C14" t="str">
        <v>100000000003</v>
      </c>
    </row>
    <row r="15">
      <c r="A15">
        <v>4</v>
      </c>
      <c r="B15" t="str">
        <v>Bautista, Bryan</v>
      </c>
      <c r="C15" t="str">
        <v>100000000004</v>
      </c>
    </row>
    <row r="16">
      <c r="A16">
        <v>5</v>
      </c>
      <c r="B16" t="str">
        <v>Bernardo, Caleb</v>
      </c>
      <c r="C16" t="str">
        <v>100000000005</v>
      </c>
    </row>
    <row r="17">
      <c r="A17">
        <v>6</v>
      </c>
      <c r="B17" t="str">
        <v>Castillo, Carlo</v>
      </c>
      <c r="C17" t="str">
        <v>100000000006</v>
      </c>
    </row>
    <row r="18">
      <c r="A18">
        <v>7</v>
      </c>
      <c r="B18" t="str">
        <v>Cruz, Christian</v>
      </c>
      <c r="C18" t="str">
        <v>100000000007</v>
      </c>
    </row>
    <row r="19">
      <c r="A19">
        <v>8</v>
      </c>
      <c r="B19" t="str">
        <v>Dela Cruz, Daniel</v>
      </c>
      <c r="C19" t="str">
        <v>100000000008</v>
      </c>
    </row>
    <row r="20">
      <c r="A20">
        <v>9</v>
      </c>
      <c r="B20" t="str">
        <v>Diaz, Darren</v>
      </c>
      <c r="C20" t="str">
        <v>100000000009</v>
      </c>
    </row>
    <row r="21">
      <c r="A21">
        <v>10</v>
      </c>
      <c r="B21" t="str">
        <v>Evangelista, Diego</v>
      </c>
      <c r="C21" t="str">
        <v>100000000010</v>
      </c>
    </row>
    <row r="22">
      <c r="A22">
        <v>11</v>
      </c>
      <c r="B22" t="str">
        <v>Fernandez, Ethan</v>
      </c>
      <c r="C22" t="str">
        <v>100000000011</v>
      </c>
    </row>
    <row r="23">
      <c r="A23">
        <v>12</v>
      </c>
      <c r="B23" t="str">
        <v>Garcia, Gabriel</v>
      </c>
      <c r="C23" t="str">
        <v>100000000012</v>
      </c>
    </row>
    <row r="24">
      <c r="A24">
        <v>13</v>
      </c>
      <c r="B24" t="str">
        <v>Gonzales, Harold</v>
      </c>
      <c r="C24" t="str">
        <v>100000000013</v>
      </c>
    </row>
    <row r="25">
      <c r="A25">
        <v>14</v>
      </c>
      <c r="B25" t="str">
        <v>Hernandez, Ivan</v>
      </c>
      <c r="C25" t="str">
        <v>100000000014</v>
      </c>
    </row>
    <row r="26">
      <c r="A26">
        <v>15</v>
      </c>
      <c r="B26" t="str">
        <v>Ilagan, Jacob</v>
      </c>
      <c r="C26" t="str">
        <v>100000000015</v>
      </c>
    </row>
    <row r="27">
      <c r="A27">
        <v>16</v>
      </c>
      <c r="B27" t="str">
        <v>Jimenez, James</v>
      </c>
      <c r="C27" t="str">
        <v>100000000016</v>
      </c>
    </row>
    <row r="28">
      <c r="A28">
        <v>17</v>
      </c>
      <c r="B28" t="str">
        <v>Lacson, Jared</v>
      </c>
      <c r="C28" t="str">
        <v>100000000017</v>
      </c>
    </row>
    <row r="29">
      <c r="A29">
        <v>18</v>
      </c>
      <c r="B29" t="str">
        <v>Lim, Jericho</v>
      </c>
      <c r="C29" t="str">
        <v>100000000018</v>
      </c>
    </row>
    <row r="30">
      <c r="A30">
        <v>19</v>
      </c>
      <c r="B30" t="str">
        <v>Manalo, Joaquin</v>
      </c>
      <c r="C30" t="str">
        <v>100000000019</v>
      </c>
    </row>
    <row r="31">
      <c r="A31">
        <v>20</v>
      </c>
      <c r="B31" t="str">
        <v>Mendoza, Joshua</v>
      </c>
      <c r="C31" t="str">
        <v>100000000020</v>
      </c>
    </row>
    <row r="32">
      <c r="A32">
        <v>21</v>
      </c>
      <c r="B32" t="str">
        <v>Navarro, Lance</v>
      </c>
      <c r="C32" t="str">
        <v>100000000021</v>
      </c>
    </row>
    <row r="33">
      <c r="A33">
        <v>22</v>
      </c>
      <c r="B33" t="str">
        <v>Ocampo, Luis</v>
      </c>
      <c r="C33" t="str">
        <v>100000000022</v>
      </c>
    </row>
    <row r="34">
      <c r="A34">
        <v>23</v>
      </c>
      <c r="B34" t="str">
        <v>Ortega, Marco</v>
      </c>
      <c r="C34" t="str">
        <v>100000000023</v>
      </c>
    </row>
    <row r="35">
      <c r="A35">
        <v>24</v>
      </c>
      <c r="B35" t="str">
        <v>Pascual, Martin</v>
      </c>
      <c r="C35" t="str">
        <v>100000000024</v>
      </c>
    </row>
    <row r="36">
      <c r="A36">
        <v>25</v>
      </c>
      <c r="B36" t="str">
        <v>Quizon, Matthew</v>
      </c>
      <c r="C36" t="str">
        <v>100000000025</v>
      </c>
    </row>
    <row r="37">
      <c r="A37">
        <v>26</v>
      </c>
      <c r="B37" t="str">
        <v>Ramos, Miguel</v>
      </c>
      <c r="C37" t="str">
        <v>100000000026</v>
      </c>
    </row>
    <row r="38">
      <c r="A38">
        <v>27</v>
      </c>
      <c r="B38" t="str">
        <v>Reyes, Nathan</v>
      </c>
      <c r="C38" t="str">
        <v>100000000027</v>
      </c>
    </row>
    <row r="39">
      <c r="A39">
        <v>28</v>
      </c>
      <c r="B39" t="str">
        <v>Rivera, Noah</v>
      </c>
      <c r="C39" t="str">
        <v>100000000028</v>
      </c>
    </row>
    <row r="40">
      <c r="A40">
        <v>29</v>
      </c>
      <c r="B40" t="str">
        <v>Rosales, Oliver</v>
      </c>
      <c r="C40" t="str">
        <v>100000000029</v>
      </c>
    </row>
    <row r="41">
      <c r="A41">
        <v>30</v>
      </c>
      <c r="B41" t="str">
        <v>Salazar, Paolo</v>
      </c>
      <c r="C41" t="str">
        <v>100000000030</v>
      </c>
    </row>
    <row r="42">
      <c r="A42">
        <v>31</v>
      </c>
      <c r="B42" t="str">
        <v>Santiago, Patrick</v>
      </c>
      <c r="C42" t="str">
        <v>100000000031</v>
      </c>
    </row>
    <row r="43">
      <c r="A43">
        <v>32</v>
      </c>
      <c r="B43" t="str">
        <v>Santos, Rafael</v>
      </c>
      <c r="C43" t="str">
        <v>100000000032</v>
      </c>
    </row>
    <row r="44">
      <c r="A44">
        <v>33</v>
      </c>
      <c r="B44" t="str">
        <v>Soriano, Raymond</v>
      </c>
      <c r="C44" t="str">
        <v>100000000033</v>
      </c>
    </row>
    <row r="45">
      <c r="A45">
        <v>34</v>
      </c>
      <c r="B45" t="str">
        <v>Torres, Rico</v>
      </c>
      <c r="C45" t="str">
        <v>100000000034</v>
      </c>
    </row>
    <row r="46">
      <c r="A46">
        <v>35</v>
      </c>
      <c r="B46" t="str">
        <v>Valdez, Samuel</v>
      </c>
      <c r="C46" t="str">
        <v>100000000035</v>
      </c>
    </row>
    <row r="47">
      <c r="A47">
        <v>36</v>
      </c>
      <c r="B47" t="str">
        <v>Velasco, Sebastian</v>
      </c>
      <c r="C47" t="str">
        <v>100000000036</v>
      </c>
    </row>
    <row r="48">
      <c r="A48">
        <v>37</v>
      </c>
      <c r="B48" t="str">
        <v>Villanueva, Simon</v>
      </c>
      <c r="C48" t="str">
        <v>100000000037</v>
      </c>
    </row>
    <row r="49">
      <c r="A49">
        <v>38</v>
      </c>
      <c r="B49" t="str">
        <v>Yap, Stephen</v>
      </c>
      <c r="C49" t="str">
        <v>100000000038</v>
      </c>
    </row>
    <row r="50">
      <c r="A50">
        <v>39</v>
      </c>
      <c r="B50" t="str">
        <v>Zamora, Thomas</v>
      </c>
      <c r="C50" t="str">
        <v>100000000039</v>
      </c>
    </row>
    <row r="51">
      <c r="A51">
        <v>40</v>
      </c>
      <c r="B51" t="str">
        <v>Zuniga, Vincent</v>
      </c>
      <c r="C51" t="str">
        <v>100000000040</v>
      </c>
    </row>
    <row r="52">
      <c r="A52">
        <v>41</v>
      </c>
      <c r="B52" t="str">
        <v>Abad, Xavier</v>
      </c>
      <c r="C52" t="str">
        <v>100000000041</v>
      </c>
    </row>
    <row r="53">
      <c r="A53">
        <v>42</v>
      </c>
      <c r="B53" t="str">
        <v>Agustin, Zachary</v>
      </c>
      <c r="C53" t="str">
        <v>100000000042</v>
      </c>
    </row>
    <row r="54">
      <c r="A54">
        <v>43</v>
      </c>
      <c r="B54" t="str">
        <v>Alvarez, Alvin</v>
      </c>
      <c r="C54" t="str">
        <v>100000000043</v>
      </c>
    </row>
    <row r="55">
      <c r="A55">
        <v>44</v>
      </c>
      <c r="B55" t="str">
        <v>Aquino, Andre</v>
      </c>
      <c r="C55" t="str">
        <v>100000000044</v>
      </c>
    </row>
    <row r="56">
      <c r="A56">
        <v>45</v>
      </c>
      <c r="B56" t="str">
        <v>Arceo, Benedict</v>
      </c>
      <c r="C56" t="str">
        <v>100000000045</v>
      </c>
    </row>
    <row r="57">
      <c r="A57">
        <v>46</v>
      </c>
      <c r="B57" t="str">
        <v>Arellano, Cyrus</v>
      </c>
      <c r="C57" t="str">
        <v>100000000046</v>
      </c>
    </row>
    <row r="58">
      <c r="A58">
        <v>47</v>
      </c>
      <c r="B58" t="str">
        <v>Barrera, Dominic</v>
      </c>
      <c r="C58" t="str">
        <v>100000000047</v>
      </c>
    </row>
    <row r="59">
      <c r="A59">
        <v>48</v>
      </c>
      <c r="B59" t="str">
        <v>Cabral, Emmanuel</v>
      </c>
      <c r="C59" t="str">
        <v>100000000048</v>
      </c>
    </row>
    <row r="60">
      <c r="A60">
        <v>49</v>
      </c>
      <c r="B60" t="str">
        <v>David, Francis</v>
      </c>
      <c r="C60" t="str">
        <v>100000000049</v>
      </c>
    </row>
    <row r="61">
      <c r="A61">
        <v>50</v>
      </c>
      <c r="B61" t="str">
        <v>Escobar, Gian</v>
      </c>
      <c r="C61" t="str">
        <v>100000000050</v>
      </c>
    </row>
    <row r="63">
      <c r="A63">
        <v>1</v>
      </c>
      <c r="B63" t="str">
        <v>Fernandez, Alyssa</v>
      </c>
      <c r="C63" t="str">
        <v>100000000051</v>
      </c>
    </row>
    <row r="64">
      <c r="A64">
        <v>2</v>
      </c>
      <c r="B64" t="str">
        <v>Garcia, Angela</v>
      </c>
      <c r="C64" t="str">
        <v>100000000052</v>
      </c>
    </row>
    <row r="65">
      <c r="A65">
        <v>3</v>
      </c>
      <c r="B65" t="str">
        <v>Gonzales, Bea</v>
      </c>
      <c r="C65" t="str">
        <v>100000000053</v>
      </c>
    </row>
    <row r="66">
      <c r="A66">
        <v>4</v>
      </c>
      <c r="B66" t="str">
        <v>Hernandez, Bianca</v>
      </c>
      <c r="C66" t="str">
        <v>100000000054</v>
      </c>
    </row>
    <row r="67">
      <c r="A67">
        <v>5</v>
      </c>
      <c r="B67" t="str">
        <v>Ilagan, Camille</v>
      </c>
      <c r="C67" t="str">
        <v>100000000055</v>
      </c>
    </row>
    <row r="68">
      <c r="A68">
        <v>6</v>
      </c>
      <c r="B68" t="str">
        <v>Jimenez, Carla</v>
      </c>
      <c r="C68" t="str">
        <v>100000000056</v>
      </c>
    </row>
    <row r="69">
      <c r="A69">
        <v>7</v>
      </c>
      <c r="B69" t="str">
        <v>Lacson, Chloe</v>
      </c>
      <c r="C69" t="str">
        <v>100000000057</v>
      </c>
    </row>
    <row r="70">
      <c r="A70">
        <v>8</v>
      </c>
      <c r="B70" t="str">
        <v>Lim, Clarisse</v>
      </c>
      <c r="C70" t="str">
        <v>100000000058</v>
      </c>
    </row>
    <row r="71">
      <c r="A71">
        <v>9</v>
      </c>
      <c r="B71" t="str">
        <v>Manalo, Danica</v>
      </c>
      <c r="C71" t="str">
        <v>100000000059</v>
      </c>
    </row>
    <row r="72">
      <c r="A72">
        <v>10</v>
      </c>
      <c r="B72" t="str">
        <v>Mendoza, Diana</v>
      </c>
      <c r="C72" t="str">
        <v>100000000060</v>
      </c>
    </row>
    <row r="73">
      <c r="A73">
        <v>11</v>
      </c>
      <c r="B73" t="str">
        <v>Navarro, Elena</v>
      </c>
      <c r="C73" t="str">
        <v>100000000061</v>
      </c>
    </row>
    <row r="74">
      <c r="A74">
        <v>12</v>
      </c>
      <c r="B74" t="str">
        <v>Ocampo, Ella</v>
      </c>
      <c r="C74" t="str">
        <v>100000000062</v>
      </c>
    </row>
    <row r="75">
      <c r="A75">
        <v>13</v>
      </c>
      <c r="B75" t="str">
        <v>Ortega, Erika</v>
      </c>
      <c r="C75" t="str">
        <v>100000000063</v>
      </c>
    </row>
    <row r="76">
      <c r="A76">
        <v>14</v>
      </c>
      <c r="B76" t="str">
        <v>Pascual, Faith</v>
      </c>
      <c r="C76" t="str">
        <v>100000000064</v>
      </c>
    </row>
    <row r="77">
      <c r="A77">
        <v>15</v>
      </c>
      <c r="B77" t="str">
        <v>Quizon, Gabrielle</v>
      </c>
      <c r="C77" t="str">
        <v>100000000065</v>
      </c>
    </row>
    <row r="78">
      <c r="A78">
        <v>16</v>
      </c>
      <c r="B78" t="str">
        <v>Ramos, Hannah</v>
      </c>
      <c r="C78" t="str">
        <v>100000000066</v>
      </c>
    </row>
    <row r="79">
      <c r="A79">
        <v>17</v>
      </c>
      <c r="B79" t="str">
        <v>Reyes, Isabelle</v>
      </c>
      <c r="C79" t="str">
        <v>100000000067</v>
      </c>
    </row>
    <row r="80">
      <c r="A80">
        <v>18</v>
      </c>
      <c r="B80" t="str">
        <v>Rivera, Jasmine</v>
      </c>
      <c r="C80" t="str">
        <v>100000000068</v>
      </c>
    </row>
    <row r="81">
      <c r="A81">
        <v>19</v>
      </c>
      <c r="B81" t="str">
        <v>Rosales, Jillian</v>
      </c>
      <c r="C81" t="str">
        <v>100000000069</v>
      </c>
    </row>
    <row r="82">
      <c r="A82">
        <v>20</v>
      </c>
      <c r="B82" t="str">
        <v>Salazar, Julia</v>
      </c>
      <c r="C82" t="str">
        <v>100000000070</v>
      </c>
    </row>
    <row r="83">
      <c r="A83">
        <v>21</v>
      </c>
      <c r="B83" t="str">
        <v>Santiago, Katrina</v>
      </c>
      <c r="C83" t="str">
        <v>100000000071</v>
      </c>
    </row>
    <row r="84">
      <c r="A84">
        <v>22</v>
      </c>
      <c r="B84" t="str">
        <v>Santos, Kayla</v>
      </c>
      <c r="C84" t="str">
        <v>100000000072</v>
      </c>
    </row>
    <row r="85">
      <c r="A85">
        <v>23</v>
      </c>
      <c r="B85" t="str">
        <v>Soriano, Kiana</v>
      </c>
      <c r="C85" t="str">
        <v>100000000073</v>
      </c>
    </row>
    <row r="86">
      <c r="A86">
        <v>24</v>
      </c>
      <c r="B86" t="str">
        <v>Torres, Leah</v>
      </c>
      <c r="C86" t="str">
        <v>100000000074</v>
      </c>
    </row>
    <row r="87">
      <c r="A87">
        <v>25</v>
      </c>
      <c r="B87" t="str">
        <v>Valdez, Liana</v>
      </c>
      <c r="C87" t="str">
        <v>100000000075</v>
      </c>
    </row>
    <row r="88">
      <c r="A88">
        <v>26</v>
      </c>
      <c r="B88" t="str">
        <v>Velasco, Lia</v>
      </c>
      <c r="C88" t="str">
        <v>100000000076</v>
      </c>
    </row>
    <row r="89">
      <c r="A89">
        <v>27</v>
      </c>
      <c r="B89" t="str">
        <v>Villanueva, Mara</v>
      </c>
      <c r="C89" t="str">
        <v>100000000077</v>
      </c>
    </row>
    <row r="90">
      <c r="A90">
        <v>28</v>
      </c>
      <c r="B90" t="str">
        <v>Yap, Maria</v>
      </c>
      <c r="C90" t="str">
        <v>100000000078</v>
      </c>
    </row>
    <row r="91">
      <c r="A91">
        <v>29</v>
      </c>
      <c r="B91" t="str">
        <v>Zamora, Mika</v>
      </c>
      <c r="C91" t="str">
        <v>100000000079</v>
      </c>
    </row>
    <row r="92">
      <c r="A92">
        <v>30</v>
      </c>
      <c r="B92" t="str">
        <v>Zuniga, Nicole</v>
      </c>
      <c r="C92" t="str">
        <v>100000000080</v>
      </c>
    </row>
    <row r="93">
      <c r="A93">
        <v>31</v>
      </c>
      <c r="B93" t="str">
        <v>Abad, Patricia</v>
      </c>
      <c r="C93" t="str">
        <v>100000000081</v>
      </c>
    </row>
    <row r="94">
      <c r="A94">
        <v>32</v>
      </c>
      <c r="B94" t="str">
        <v>Agustin, Rachel</v>
      </c>
      <c r="C94" t="str">
        <v>100000000082</v>
      </c>
    </row>
    <row r="95">
      <c r="A95">
        <v>33</v>
      </c>
      <c r="B95" t="str">
        <v>Alvarez, Rebecca</v>
      </c>
      <c r="C95" t="str">
        <v>100000000083</v>
      </c>
    </row>
    <row r="96">
      <c r="A96">
        <v>34</v>
      </c>
      <c r="B96" t="str">
        <v>Aquino, Rhea</v>
      </c>
      <c r="C96" t="str">
        <v>100000000084</v>
      </c>
    </row>
    <row r="97">
      <c r="A97">
        <v>35</v>
      </c>
      <c r="B97" t="str">
        <v>Arceo, Samantha</v>
      </c>
      <c r="C97" t="str">
        <v>100000000085</v>
      </c>
    </row>
    <row r="98">
      <c r="A98">
        <v>36</v>
      </c>
      <c r="B98" t="str">
        <v>Arellano, Sofia</v>
      </c>
      <c r="C98" t="str">
        <v>100000000086</v>
      </c>
    </row>
    <row r="99">
      <c r="A99">
        <v>37</v>
      </c>
      <c r="B99" t="str">
        <v>Barrera, Sophia</v>
      </c>
      <c r="C99" t="str">
        <v>100000000087</v>
      </c>
    </row>
    <row r="100">
      <c r="A100">
        <v>38</v>
      </c>
      <c r="B100" t="str">
        <v>Cabral, Therese</v>
      </c>
      <c r="C100" t="str">
        <v>100000000088</v>
      </c>
    </row>
    <row r="101">
      <c r="A101">
        <v>39</v>
      </c>
      <c r="B101" t="str">
        <v>David, Trisha</v>
      </c>
      <c r="C101" t="str">
        <v>100000000089</v>
      </c>
    </row>
    <row r="102">
      <c r="A102">
        <v>40</v>
      </c>
      <c r="B102" t="str">
        <v>Escobar, Valerie</v>
      </c>
      <c r="C102" t="str">
        <v>100000000090</v>
      </c>
    </row>
    <row r="103">
      <c r="A103">
        <v>41</v>
      </c>
      <c r="B103" t="str">
        <v>Aguilar, Vanessa</v>
      </c>
      <c r="C103" t="str">
        <v>100000000091</v>
      </c>
    </row>
    <row r="104">
      <c r="A104">
        <v>42</v>
      </c>
      <c r="B104" t="str">
        <v>Alcantara, Veronica</v>
      </c>
      <c r="C104" t="str">
        <v>100000000092</v>
      </c>
    </row>
    <row r="105">
      <c r="A105">
        <v>43</v>
      </c>
      <c r="B105" t="str">
        <v>Andrada, Victoria</v>
      </c>
      <c r="C105" t="str">
        <v>100000000093</v>
      </c>
    </row>
    <row r="106">
      <c r="A106">
        <v>44</v>
      </c>
      <c r="B106" t="str">
        <v>Bautista, Yasmine</v>
      </c>
      <c r="C106" t="str">
        <v>100000000094</v>
      </c>
    </row>
    <row r="107">
      <c r="A107">
        <v>45</v>
      </c>
      <c r="B107" t="str">
        <v>Bernardo, Zoe</v>
      </c>
      <c r="C107" t="str">
        <v>100000000095</v>
      </c>
    </row>
    <row r="108">
      <c r="A108">
        <v>46</v>
      </c>
      <c r="B108" t="str">
        <v>Castillo, Amara</v>
      </c>
      <c r="C108" t="str">
        <v>100000000096</v>
      </c>
    </row>
    <row r="109">
      <c r="A109">
        <v>47</v>
      </c>
      <c r="B109" t="str">
        <v>Cruz, Andrea</v>
      </c>
      <c r="C109" t="str">
        <v>100000000097</v>
      </c>
    </row>
    <row r="110">
      <c r="A110">
        <v>48</v>
      </c>
      <c r="B110" t="str">
        <v>Dela Cruz, Beatriz</v>
      </c>
      <c r="C110" t="str">
        <v>100000000098</v>
      </c>
    </row>
    <row r="111">
      <c r="A111">
        <v>49</v>
      </c>
      <c r="B111" t="str">
        <v>Diaz, Celine</v>
      </c>
      <c r="C111" t="str">
        <v>100000000099</v>
      </c>
    </row>
    <row r="112">
      <c r="A112">
        <v>50</v>
      </c>
      <c r="B112" t="str">
        <v>Evangelista, Danielle</v>
      </c>
      <c r="C112" t="str">
        <v>100000000100</v>
      </c>
    </row>
  </sheetData>
  <ignoredErrors>
    <ignoredError numberStoredAsText="1" sqref="A1:C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</vt:lpstr>
      <vt:lpstr>TERM1</vt:lpstr>
      <vt:lpstr>TERM2</vt:lpstr>
      <vt:lpstr>TERM3</vt:lpstr>
      <vt:lpstr>SUMMARY OF GRADES</vt:lpstr>
      <vt:lpstr>Helper (Do Not Delete)</vt:lpstr>
      <vt:lpstr>DO NOT DELETE</vt:lpstr>
      <vt:lpstr>LRN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2015-06-02T20:29:55Z</dcterms:created>
  <dcterms:modified xsi:type="dcterms:W3CDTF">2026-08-31T07:31:41Z</dcterms:modified>
  <cp:lastModifiedBy>Shaine Ella Pines</cp:lastModifiedBy>
  <cp:lastPrinted>2026-04-19T10:35:14Z</cp:lastPrinted>
  <dc:creator>Teacher Elena</dc:creator>
</cp:coreProperties>
</file>