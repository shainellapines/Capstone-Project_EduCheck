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V~1\AppData\Local\Temp\claude\c--Users-NITRO-V-OneDrive-Documents-GitHub-Capstone-Project-EduCheck\94298653-a582-4f5f-878e-948f9420278c\scratchpad\staging\"/>
    </mc:Choice>
  </mc:AlternateContent>
  <xr:revisionPtr revIDLastSave="0" documentId="13_ncr:1_{5856E081-0935-4FC3-89F8-6815DAF23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state="hidden" r:id="rId6"/>
    <sheet name="DO NOT DELETE" sheetId="7" state="hidden" r:id="rId7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7" l="1"/>
  <c r="E4" i="7"/>
  <c r="E3" i="7"/>
  <c r="E2" i="7"/>
  <c r="F11" i="6"/>
  <c r="F10" i="6"/>
  <c r="F9" i="6"/>
  <c r="F8" i="6"/>
  <c r="F7" i="6"/>
  <c r="F6" i="6"/>
  <c r="F5" i="6"/>
  <c r="F4" i="6"/>
  <c r="F3" i="6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V63" i="5"/>
  <c r="Z63" i="5" s="1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W9" i="5"/>
  <c r="K9" i="5"/>
  <c r="W8" i="5"/>
  <c r="K8" i="5"/>
  <c r="W6" i="5"/>
  <c r="G6" i="5"/>
  <c r="O5" i="5"/>
  <c r="G5" i="5"/>
  <c r="AX112" i="4"/>
  <c r="AW112" i="4"/>
  <c r="AV112" i="4"/>
  <c r="W112" i="4"/>
  <c r="Q112" i="4"/>
  <c r="K112" i="4"/>
  <c r="B112" i="4"/>
  <c r="AX111" i="4"/>
  <c r="AW111" i="4"/>
  <c r="AV111" i="4"/>
  <c r="W111" i="4"/>
  <c r="Q111" i="4"/>
  <c r="K111" i="4"/>
  <c r="B111" i="4"/>
  <c r="AX110" i="4"/>
  <c r="AW110" i="4"/>
  <c r="AV110" i="4"/>
  <c r="W110" i="4"/>
  <c r="Q110" i="4"/>
  <c r="K110" i="4"/>
  <c r="B110" i="4"/>
  <c r="AX109" i="4"/>
  <c r="AW109" i="4"/>
  <c r="AV109" i="4"/>
  <c r="W109" i="4"/>
  <c r="Q109" i="4"/>
  <c r="K109" i="4"/>
  <c r="B109" i="4"/>
  <c r="AX108" i="4"/>
  <c r="AW108" i="4"/>
  <c r="AV108" i="4"/>
  <c r="W108" i="4"/>
  <c r="Q108" i="4"/>
  <c r="K108" i="4"/>
  <c r="B108" i="4"/>
  <c r="AX107" i="4"/>
  <c r="AW107" i="4"/>
  <c r="AV107" i="4"/>
  <c r="W107" i="4"/>
  <c r="Q107" i="4"/>
  <c r="K107" i="4"/>
  <c r="B107" i="4"/>
  <c r="AX106" i="4"/>
  <c r="AW106" i="4"/>
  <c r="AV106" i="4"/>
  <c r="W106" i="4"/>
  <c r="Q106" i="4"/>
  <c r="K106" i="4"/>
  <c r="B106" i="4"/>
  <c r="AX105" i="4"/>
  <c r="AW105" i="4"/>
  <c r="AV105" i="4"/>
  <c r="W105" i="4"/>
  <c r="Q105" i="4"/>
  <c r="K105" i="4"/>
  <c r="B105" i="4"/>
  <c r="AX104" i="4"/>
  <c r="AW104" i="4"/>
  <c r="AV104" i="4"/>
  <c r="W104" i="4"/>
  <c r="Q104" i="4"/>
  <c r="K104" i="4"/>
  <c r="B104" i="4"/>
  <c r="AX103" i="4"/>
  <c r="AW103" i="4"/>
  <c r="AV103" i="4"/>
  <c r="W103" i="4"/>
  <c r="Q103" i="4"/>
  <c r="K103" i="4"/>
  <c r="B103" i="4"/>
  <c r="AX102" i="4"/>
  <c r="AW102" i="4"/>
  <c r="AV102" i="4"/>
  <c r="W102" i="4"/>
  <c r="Q102" i="4"/>
  <c r="K102" i="4"/>
  <c r="B102" i="4"/>
  <c r="AX101" i="4"/>
  <c r="AW101" i="4"/>
  <c r="AV101" i="4"/>
  <c r="W101" i="4"/>
  <c r="Q101" i="4"/>
  <c r="K101" i="4"/>
  <c r="B101" i="4"/>
  <c r="AX100" i="4"/>
  <c r="AW100" i="4"/>
  <c r="AV100" i="4"/>
  <c r="W100" i="4"/>
  <c r="Q100" i="4"/>
  <c r="K100" i="4"/>
  <c r="B100" i="4"/>
  <c r="AX99" i="4"/>
  <c r="AW99" i="4"/>
  <c r="AV99" i="4"/>
  <c r="W99" i="4"/>
  <c r="Q99" i="4"/>
  <c r="K99" i="4"/>
  <c r="B99" i="4"/>
  <c r="AX98" i="4"/>
  <c r="AW98" i="4"/>
  <c r="AV98" i="4"/>
  <c r="W98" i="4"/>
  <c r="Q98" i="4"/>
  <c r="K98" i="4"/>
  <c r="B98" i="4"/>
  <c r="AX97" i="4"/>
  <c r="AW97" i="4"/>
  <c r="AV97" i="4"/>
  <c r="W97" i="4"/>
  <c r="Q97" i="4"/>
  <c r="K97" i="4"/>
  <c r="B97" i="4"/>
  <c r="AX96" i="4"/>
  <c r="AW96" i="4"/>
  <c r="AV96" i="4"/>
  <c r="W96" i="4"/>
  <c r="Q96" i="4"/>
  <c r="K96" i="4"/>
  <c r="B96" i="4"/>
  <c r="AX95" i="4"/>
  <c r="AW95" i="4"/>
  <c r="AV95" i="4"/>
  <c r="W95" i="4"/>
  <c r="Q95" i="4"/>
  <c r="K95" i="4"/>
  <c r="B95" i="4"/>
  <c r="AX94" i="4"/>
  <c r="AW94" i="4"/>
  <c r="AV94" i="4"/>
  <c r="W94" i="4"/>
  <c r="Q94" i="4"/>
  <c r="K94" i="4"/>
  <c r="B94" i="4"/>
  <c r="AX93" i="4"/>
  <c r="AW93" i="4"/>
  <c r="AV93" i="4"/>
  <c r="W93" i="4"/>
  <c r="Q93" i="4"/>
  <c r="K93" i="4"/>
  <c r="B93" i="4"/>
  <c r="AX92" i="4"/>
  <c r="AW92" i="4"/>
  <c r="AV92" i="4"/>
  <c r="W92" i="4"/>
  <c r="Q92" i="4"/>
  <c r="K92" i="4"/>
  <c r="B92" i="4"/>
  <c r="AX91" i="4"/>
  <c r="AW91" i="4"/>
  <c r="AV91" i="4"/>
  <c r="W91" i="4"/>
  <c r="Q91" i="4"/>
  <c r="K91" i="4"/>
  <c r="B91" i="4"/>
  <c r="AX90" i="4"/>
  <c r="AW90" i="4"/>
  <c r="AV90" i="4"/>
  <c r="W90" i="4"/>
  <c r="Q90" i="4"/>
  <c r="K90" i="4"/>
  <c r="B90" i="4"/>
  <c r="AX89" i="4"/>
  <c r="AW89" i="4"/>
  <c r="AV89" i="4"/>
  <c r="W89" i="4"/>
  <c r="Q89" i="4"/>
  <c r="K89" i="4"/>
  <c r="B89" i="4"/>
  <c r="AX88" i="4"/>
  <c r="AW88" i="4"/>
  <c r="AV88" i="4"/>
  <c r="W88" i="4"/>
  <c r="Q88" i="4"/>
  <c r="K88" i="4"/>
  <c r="B88" i="4"/>
  <c r="AX87" i="4"/>
  <c r="AW87" i="4"/>
  <c r="AV87" i="4"/>
  <c r="W87" i="4"/>
  <c r="Q87" i="4"/>
  <c r="K87" i="4"/>
  <c r="B87" i="4"/>
  <c r="AX86" i="4"/>
  <c r="AW86" i="4"/>
  <c r="AV86" i="4"/>
  <c r="W86" i="4"/>
  <c r="Q86" i="4"/>
  <c r="K86" i="4"/>
  <c r="B86" i="4"/>
  <c r="AX85" i="4"/>
  <c r="AW85" i="4"/>
  <c r="AV85" i="4"/>
  <c r="W85" i="4"/>
  <c r="Q85" i="4"/>
  <c r="K85" i="4"/>
  <c r="B85" i="4"/>
  <c r="AX84" i="4"/>
  <c r="AW84" i="4"/>
  <c r="AV84" i="4"/>
  <c r="W84" i="4"/>
  <c r="Q84" i="4"/>
  <c r="K84" i="4"/>
  <c r="B84" i="4"/>
  <c r="AX83" i="4"/>
  <c r="AW83" i="4"/>
  <c r="AV83" i="4"/>
  <c r="W83" i="4"/>
  <c r="Q83" i="4"/>
  <c r="K83" i="4"/>
  <c r="B83" i="4"/>
  <c r="AX82" i="4"/>
  <c r="AW82" i="4"/>
  <c r="AV82" i="4"/>
  <c r="W82" i="4"/>
  <c r="Q82" i="4"/>
  <c r="K82" i="4"/>
  <c r="B82" i="4"/>
  <c r="AX81" i="4"/>
  <c r="AW81" i="4"/>
  <c r="AV81" i="4"/>
  <c r="W81" i="4"/>
  <c r="Q81" i="4"/>
  <c r="K81" i="4"/>
  <c r="B81" i="4"/>
  <c r="AX80" i="4"/>
  <c r="AW80" i="4"/>
  <c r="AV80" i="4"/>
  <c r="W80" i="4"/>
  <c r="Q80" i="4"/>
  <c r="K80" i="4"/>
  <c r="B80" i="4"/>
  <c r="AX79" i="4"/>
  <c r="AW79" i="4"/>
  <c r="AV79" i="4"/>
  <c r="W79" i="4"/>
  <c r="Q79" i="4"/>
  <c r="K79" i="4"/>
  <c r="B79" i="4"/>
  <c r="AX78" i="4"/>
  <c r="AW78" i="4"/>
  <c r="AV78" i="4"/>
  <c r="W78" i="4"/>
  <c r="Q78" i="4"/>
  <c r="K78" i="4"/>
  <c r="B78" i="4"/>
  <c r="AX77" i="4"/>
  <c r="AW77" i="4"/>
  <c r="AV77" i="4"/>
  <c r="W77" i="4"/>
  <c r="Q77" i="4"/>
  <c r="K77" i="4"/>
  <c r="B77" i="4"/>
  <c r="AX76" i="4"/>
  <c r="AW76" i="4"/>
  <c r="AV76" i="4"/>
  <c r="W76" i="4"/>
  <c r="Q76" i="4"/>
  <c r="K76" i="4"/>
  <c r="B76" i="4"/>
  <c r="AX75" i="4"/>
  <c r="AW75" i="4"/>
  <c r="AV75" i="4"/>
  <c r="W75" i="4"/>
  <c r="Q75" i="4"/>
  <c r="K75" i="4"/>
  <c r="B75" i="4"/>
  <c r="AX74" i="4"/>
  <c r="AW74" i="4"/>
  <c r="AV74" i="4"/>
  <c r="W74" i="4"/>
  <c r="Q74" i="4"/>
  <c r="K74" i="4"/>
  <c r="B74" i="4"/>
  <c r="AX73" i="4"/>
  <c r="AW73" i="4"/>
  <c r="AV73" i="4"/>
  <c r="W73" i="4"/>
  <c r="Q73" i="4"/>
  <c r="K73" i="4"/>
  <c r="B73" i="4"/>
  <c r="AX72" i="4"/>
  <c r="AW72" i="4"/>
  <c r="AV72" i="4"/>
  <c r="W72" i="4"/>
  <c r="Q72" i="4"/>
  <c r="K72" i="4"/>
  <c r="B72" i="4"/>
  <c r="AX71" i="4"/>
  <c r="AW71" i="4"/>
  <c r="AV71" i="4"/>
  <c r="W71" i="4"/>
  <c r="Q71" i="4"/>
  <c r="K71" i="4"/>
  <c r="B71" i="4"/>
  <c r="AX70" i="4"/>
  <c r="AW70" i="4"/>
  <c r="AV70" i="4"/>
  <c r="W70" i="4"/>
  <c r="Q70" i="4"/>
  <c r="K70" i="4"/>
  <c r="B70" i="4"/>
  <c r="AX69" i="4"/>
  <c r="AW69" i="4"/>
  <c r="AV69" i="4"/>
  <c r="W69" i="4"/>
  <c r="Q69" i="4"/>
  <c r="K69" i="4"/>
  <c r="B69" i="4"/>
  <c r="AX68" i="4"/>
  <c r="AW68" i="4"/>
  <c r="AV68" i="4"/>
  <c r="W68" i="4"/>
  <c r="Q68" i="4"/>
  <c r="K68" i="4"/>
  <c r="B68" i="4"/>
  <c r="AX67" i="4"/>
  <c r="AW67" i="4"/>
  <c r="AV67" i="4"/>
  <c r="W67" i="4"/>
  <c r="Q67" i="4"/>
  <c r="K67" i="4"/>
  <c r="B67" i="4"/>
  <c r="AX66" i="4"/>
  <c r="AW66" i="4"/>
  <c r="AV66" i="4"/>
  <c r="W66" i="4"/>
  <c r="Q66" i="4"/>
  <c r="K66" i="4"/>
  <c r="B66" i="4"/>
  <c r="AX65" i="4"/>
  <c r="AW65" i="4"/>
  <c r="AV65" i="4"/>
  <c r="W65" i="4"/>
  <c r="Q65" i="4"/>
  <c r="K65" i="4"/>
  <c r="B65" i="4"/>
  <c r="AX64" i="4"/>
  <c r="AW64" i="4"/>
  <c r="AV64" i="4"/>
  <c r="W64" i="4"/>
  <c r="Q64" i="4"/>
  <c r="K64" i="4"/>
  <c r="B64" i="4"/>
  <c r="AX63" i="4"/>
  <c r="AW63" i="4"/>
  <c r="AV63" i="4"/>
  <c r="W63" i="4"/>
  <c r="Q63" i="4"/>
  <c r="K63" i="4"/>
  <c r="B63" i="4"/>
  <c r="AX62" i="4"/>
  <c r="AW62" i="4"/>
  <c r="AV62" i="4"/>
  <c r="AX61" i="4"/>
  <c r="AW61" i="4"/>
  <c r="AV61" i="4"/>
  <c r="W61" i="4"/>
  <c r="Q61" i="4"/>
  <c r="K61" i="4"/>
  <c r="B61" i="4"/>
  <c r="AX60" i="4"/>
  <c r="AW60" i="4"/>
  <c r="AV60" i="4"/>
  <c r="W60" i="4"/>
  <c r="Q60" i="4"/>
  <c r="K60" i="4"/>
  <c r="B60" i="4"/>
  <c r="AX59" i="4"/>
  <c r="AW59" i="4"/>
  <c r="AV59" i="4"/>
  <c r="W59" i="4"/>
  <c r="Q59" i="4"/>
  <c r="K59" i="4"/>
  <c r="B59" i="4"/>
  <c r="AX58" i="4"/>
  <c r="AW58" i="4"/>
  <c r="AV58" i="4"/>
  <c r="W58" i="4"/>
  <c r="Q58" i="4"/>
  <c r="K58" i="4"/>
  <c r="B58" i="4"/>
  <c r="AX57" i="4"/>
  <c r="AW57" i="4"/>
  <c r="AV57" i="4"/>
  <c r="W57" i="4"/>
  <c r="Q57" i="4"/>
  <c r="K57" i="4"/>
  <c r="B57" i="4"/>
  <c r="AX56" i="4"/>
  <c r="AW56" i="4"/>
  <c r="AV56" i="4"/>
  <c r="W56" i="4"/>
  <c r="Q56" i="4"/>
  <c r="K56" i="4"/>
  <c r="B56" i="4"/>
  <c r="AX55" i="4"/>
  <c r="AW55" i="4"/>
  <c r="AV55" i="4"/>
  <c r="W55" i="4"/>
  <c r="Q55" i="4"/>
  <c r="K55" i="4"/>
  <c r="B55" i="4"/>
  <c r="AX54" i="4"/>
  <c r="AW54" i="4"/>
  <c r="AV54" i="4"/>
  <c r="W54" i="4"/>
  <c r="Q54" i="4"/>
  <c r="K54" i="4"/>
  <c r="B54" i="4"/>
  <c r="AX53" i="4"/>
  <c r="AW53" i="4"/>
  <c r="AV53" i="4"/>
  <c r="W53" i="4"/>
  <c r="Q53" i="4"/>
  <c r="K53" i="4"/>
  <c r="B53" i="4"/>
  <c r="AX52" i="4"/>
  <c r="AW52" i="4"/>
  <c r="AV52" i="4"/>
  <c r="W52" i="4"/>
  <c r="Q52" i="4"/>
  <c r="K52" i="4"/>
  <c r="B52" i="4"/>
  <c r="AX51" i="4"/>
  <c r="AW51" i="4"/>
  <c r="AV51" i="4"/>
  <c r="W51" i="4"/>
  <c r="Q51" i="4"/>
  <c r="K51" i="4"/>
  <c r="B51" i="4"/>
  <c r="AX50" i="4"/>
  <c r="AW50" i="4"/>
  <c r="AV50" i="4"/>
  <c r="W50" i="4"/>
  <c r="Q50" i="4"/>
  <c r="K50" i="4"/>
  <c r="B50" i="4"/>
  <c r="AX49" i="4"/>
  <c r="AW49" i="4"/>
  <c r="AV49" i="4"/>
  <c r="W49" i="4"/>
  <c r="Q49" i="4"/>
  <c r="K49" i="4"/>
  <c r="B49" i="4"/>
  <c r="AX48" i="4"/>
  <c r="AW48" i="4"/>
  <c r="AV48" i="4"/>
  <c r="W48" i="4"/>
  <c r="Q48" i="4"/>
  <c r="K48" i="4"/>
  <c r="B48" i="4"/>
  <c r="AX47" i="4"/>
  <c r="AW47" i="4"/>
  <c r="AV47" i="4"/>
  <c r="W47" i="4"/>
  <c r="Q47" i="4"/>
  <c r="K47" i="4"/>
  <c r="B47" i="4"/>
  <c r="AX46" i="4"/>
  <c r="AW46" i="4"/>
  <c r="AV46" i="4"/>
  <c r="W46" i="4"/>
  <c r="Q46" i="4"/>
  <c r="K46" i="4"/>
  <c r="B46" i="4"/>
  <c r="AX45" i="4"/>
  <c r="AW45" i="4"/>
  <c r="AV45" i="4"/>
  <c r="W45" i="4"/>
  <c r="Q45" i="4"/>
  <c r="K45" i="4"/>
  <c r="B45" i="4"/>
  <c r="AX44" i="4"/>
  <c r="AW44" i="4"/>
  <c r="AV44" i="4"/>
  <c r="W44" i="4"/>
  <c r="Q44" i="4"/>
  <c r="K44" i="4"/>
  <c r="B44" i="4"/>
  <c r="AX43" i="4"/>
  <c r="AW43" i="4"/>
  <c r="AV43" i="4"/>
  <c r="W43" i="4"/>
  <c r="Q43" i="4"/>
  <c r="K43" i="4"/>
  <c r="B43" i="4"/>
  <c r="AX42" i="4"/>
  <c r="AW42" i="4"/>
  <c r="AV42" i="4"/>
  <c r="W42" i="4"/>
  <c r="Q42" i="4"/>
  <c r="K42" i="4"/>
  <c r="B42" i="4"/>
  <c r="AX41" i="4"/>
  <c r="AW41" i="4"/>
  <c r="AV41" i="4"/>
  <c r="W41" i="4"/>
  <c r="Q41" i="4"/>
  <c r="K41" i="4"/>
  <c r="B41" i="4"/>
  <c r="AX40" i="4"/>
  <c r="AW40" i="4"/>
  <c r="AV40" i="4"/>
  <c r="W40" i="4"/>
  <c r="Q40" i="4"/>
  <c r="K40" i="4"/>
  <c r="B40" i="4"/>
  <c r="AX39" i="4"/>
  <c r="AW39" i="4"/>
  <c r="AV39" i="4"/>
  <c r="W39" i="4"/>
  <c r="Q39" i="4"/>
  <c r="K39" i="4"/>
  <c r="B39" i="4"/>
  <c r="AX38" i="4"/>
  <c r="AW38" i="4"/>
  <c r="AV38" i="4"/>
  <c r="W38" i="4"/>
  <c r="Q38" i="4"/>
  <c r="K38" i="4"/>
  <c r="B38" i="4"/>
  <c r="AX37" i="4"/>
  <c r="AW37" i="4"/>
  <c r="AV37" i="4"/>
  <c r="W37" i="4"/>
  <c r="Q37" i="4"/>
  <c r="K37" i="4"/>
  <c r="B37" i="4"/>
  <c r="AX36" i="4"/>
  <c r="AW36" i="4"/>
  <c r="AV36" i="4"/>
  <c r="W36" i="4"/>
  <c r="Q36" i="4"/>
  <c r="K36" i="4"/>
  <c r="B36" i="4"/>
  <c r="AX35" i="4"/>
  <c r="AW35" i="4"/>
  <c r="AV35" i="4"/>
  <c r="W35" i="4"/>
  <c r="Q35" i="4"/>
  <c r="K35" i="4"/>
  <c r="B35" i="4"/>
  <c r="AX34" i="4"/>
  <c r="AW34" i="4"/>
  <c r="AV34" i="4"/>
  <c r="W34" i="4"/>
  <c r="Q34" i="4"/>
  <c r="K34" i="4"/>
  <c r="B34" i="4"/>
  <c r="AX33" i="4"/>
  <c r="AW33" i="4"/>
  <c r="AV33" i="4"/>
  <c r="W33" i="4"/>
  <c r="Q33" i="4"/>
  <c r="K33" i="4"/>
  <c r="B33" i="4"/>
  <c r="AX32" i="4"/>
  <c r="AW32" i="4"/>
  <c r="AV32" i="4"/>
  <c r="AG32" i="4"/>
  <c r="AF32" i="4"/>
  <c r="AE32" i="4"/>
  <c r="W32" i="4"/>
  <c r="Q32" i="4"/>
  <c r="K32" i="4"/>
  <c r="B32" i="4"/>
  <c r="AX31" i="4"/>
  <c r="AW31" i="4"/>
  <c r="AV31" i="4"/>
  <c r="AG31" i="4"/>
  <c r="AF31" i="4"/>
  <c r="AE31" i="4"/>
  <c r="W31" i="4"/>
  <c r="Q31" i="4"/>
  <c r="K31" i="4"/>
  <c r="B31" i="4"/>
  <c r="AX30" i="4"/>
  <c r="AW30" i="4"/>
  <c r="AV30" i="4"/>
  <c r="AG30" i="4"/>
  <c r="AF30" i="4"/>
  <c r="AE30" i="4"/>
  <c r="W30" i="4"/>
  <c r="Q30" i="4"/>
  <c r="K30" i="4"/>
  <c r="B30" i="4"/>
  <c r="AX29" i="4"/>
  <c r="AW29" i="4"/>
  <c r="AV29" i="4"/>
  <c r="W29" i="4"/>
  <c r="Q29" i="4"/>
  <c r="K29" i="4"/>
  <c r="B29" i="4"/>
  <c r="AX28" i="4"/>
  <c r="AW28" i="4"/>
  <c r="AV28" i="4"/>
  <c r="W28" i="4"/>
  <c r="Q28" i="4"/>
  <c r="K28" i="4"/>
  <c r="B28" i="4"/>
  <c r="AX27" i="4"/>
  <c r="AW27" i="4"/>
  <c r="AV27" i="4"/>
  <c r="W27" i="4"/>
  <c r="Q27" i="4"/>
  <c r="K27" i="4"/>
  <c r="B27" i="4"/>
  <c r="AX26" i="4"/>
  <c r="AW26" i="4"/>
  <c r="AV26" i="4"/>
  <c r="AG26" i="4"/>
  <c r="AF26" i="4"/>
  <c r="AE26" i="4"/>
  <c r="W26" i="4"/>
  <c r="Q26" i="4"/>
  <c r="K26" i="4"/>
  <c r="B26" i="4"/>
  <c r="AX25" i="4"/>
  <c r="AW25" i="4"/>
  <c r="AV25" i="4"/>
  <c r="AG25" i="4"/>
  <c r="AF25" i="4"/>
  <c r="AE25" i="4"/>
  <c r="W25" i="4"/>
  <c r="Q25" i="4"/>
  <c r="K25" i="4"/>
  <c r="B25" i="4"/>
  <c r="AX24" i="4"/>
  <c r="AW24" i="4"/>
  <c r="AV24" i="4"/>
  <c r="AG24" i="4"/>
  <c r="AF24" i="4"/>
  <c r="AE24" i="4"/>
  <c r="W24" i="4"/>
  <c r="Q24" i="4"/>
  <c r="K24" i="4"/>
  <c r="B24" i="4"/>
  <c r="AX23" i="4"/>
  <c r="AW23" i="4"/>
  <c r="AV23" i="4"/>
  <c r="W23" i="4"/>
  <c r="Q23" i="4"/>
  <c r="K23" i="4"/>
  <c r="B23" i="4"/>
  <c r="AX22" i="4"/>
  <c r="AW22" i="4"/>
  <c r="AV22" i="4"/>
  <c r="W22" i="4"/>
  <c r="Q22" i="4"/>
  <c r="K22" i="4"/>
  <c r="B22" i="4"/>
  <c r="AX21" i="4"/>
  <c r="AW21" i="4"/>
  <c r="AV21" i="4"/>
  <c r="W21" i="4"/>
  <c r="Q21" i="4"/>
  <c r="K21" i="4"/>
  <c r="B21" i="4"/>
  <c r="AX20" i="4"/>
  <c r="AW20" i="4"/>
  <c r="AV20" i="4"/>
  <c r="W20" i="4"/>
  <c r="Q20" i="4"/>
  <c r="K20" i="4"/>
  <c r="B20" i="4"/>
  <c r="AX19" i="4"/>
  <c r="AW19" i="4"/>
  <c r="AV19" i="4"/>
  <c r="W19" i="4"/>
  <c r="Q19" i="4"/>
  <c r="K19" i="4"/>
  <c r="B19" i="4"/>
  <c r="AX18" i="4"/>
  <c r="AW18" i="4"/>
  <c r="AV18" i="4"/>
  <c r="W18" i="4"/>
  <c r="Q18" i="4"/>
  <c r="K18" i="4"/>
  <c r="B18" i="4"/>
  <c r="AX17" i="4"/>
  <c r="AW17" i="4"/>
  <c r="AV17" i="4"/>
  <c r="W17" i="4"/>
  <c r="Q17" i="4"/>
  <c r="K17" i="4"/>
  <c r="B17" i="4"/>
  <c r="AX16" i="4"/>
  <c r="AW16" i="4"/>
  <c r="AV16" i="4"/>
  <c r="W16" i="4"/>
  <c r="Q16" i="4"/>
  <c r="K16" i="4"/>
  <c r="B16" i="4"/>
  <c r="AX15" i="4"/>
  <c r="AW15" i="4"/>
  <c r="AV15" i="4"/>
  <c r="AG15" i="4"/>
  <c r="AF15" i="4"/>
  <c r="AE15" i="4"/>
  <c r="W15" i="4"/>
  <c r="Q15" i="4"/>
  <c r="K15" i="4"/>
  <c r="B15" i="4"/>
  <c r="AX14" i="4"/>
  <c r="AW14" i="4"/>
  <c r="AV14" i="4"/>
  <c r="AG14" i="4"/>
  <c r="AF14" i="4"/>
  <c r="AE14" i="4"/>
  <c r="W14" i="4"/>
  <c r="Q14" i="4"/>
  <c r="K14" i="4"/>
  <c r="B14" i="4"/>
  <c r="AX13" i="4"/>
  <c r="AW13" i="4"/>
  <c r="AV13" i="4"/>
  <c r="W13" i="4"/>
  <c r="Q13" i="4"/>
  <c r="K13" i="4"/>
  <c r="B13" i="4"/>
  <c r="AX12" i="4"/>
  <c r="AW12" i="4"/>
  <c r="AF18" i="4" s="1"/>
  <c r="AF19" i="4" s="1"/>
  <c r="AF21" i="4" s="1"/>
  <c r="AV12" i="4"/>
  <c r="W12" i="4"/>
  <c r="Q12" i="4"/>
  <c r="K12" i="4"/>
  <c r="B12" i="4"/>
  <c r="W10" i="4" a="1"/>
  <c r="W10" i="4" s="1"/>
  <c r="Q10" i="4"/>
  <c r="R46" i="4" s="1"/>
  <c r="S46" i="4" s="1"/>
  <c r="K10" i="4"/>
  <c r="Z7" i="4"/>
  <c r="Q7" i="4"/>
  <c r="J7" i="4"/>
  <c r="Z5" i="4"/>
  <c r="S5" i="4"/>
  <c r="G5" i="4"/>
  <c r="L4" i="4"/>
  <c r="G4" i="4"/>
  <c r="AX112" i="3"/>
  <c r="AW112" i="3"/>
  <c r="AV112" i="3"/>
  <c r="W112" i="3"/>
  <c r="Q112" i="3"/>
  <c r="K112" i="3"/>
  <c r="B112" i="3"/>
  <c r="AX111" i="3"/>
  <c r="AW111" i="3"/>
  <c r="AV111" i="3"/>
  <c r="W111" i="3"/>
  <c r="Q111" i="3"/>
  <c r="K111" i="3"/>
  <c r="B111" i="3"/>
  <c r="AX110" i="3"/>
  <c r="AW110" i="3"/>
  <c r="AV110" i="3"/>
  <c r="W110" i="3"/>
  <c r="Q110" i="3"/>
  <c r="K110" i="3"/>
  <c r="B110" i="3"/>
  <c r="AX109" i="3"/>
  <c r="AW109" i="3"/>
  <c r="AV109" i="3"/>
  <c r="W109" i="3"/>
  <c r="Q109" i="3"/>
  <c r="K109" i="3"/>
  <c r="B109" i="3"/>
  <c r="AX108" i="3"/>
  <c r="AW108" i="3"/>
  <c r="AV108" i="3"/>
  <c r="W108" i="3"/>
  <c r="Q108" i="3"/>
  <c r="K108" i="3"/>
  <c r="B108" i="3"/>
  <c r="AX107" i="3"/>
  <c r="AW107" i="3"/>
  <c r="AV107" i="3"/>
  <c r="W107" i="3"/>
  <c r="Q107" i="3"/>
  <c r="K107" i="3"/>
  <c r="B107" i="3"/>
  <c r="AX106" i="3"/>
  <c r="AW106" i="3"/>
  <c r="AV106" i="3"/>
  <c r="W106" i="3"/>
  <c r="Q106" i="3"/>
  <c r="K106" i="3"/>
  <c r="B106" i="3"/>
  <c r="AX105" i="3"/>
  <c r="AW105" i="3"/>
  <c r="AV105" i="3"/>
  <c r="W105" i="3"/>
  <c r="Q105" i="3"/>
  <c r="K105" i="3"/>
  <c r="B105" i="3"/>
  <c r="AX104" i="3"/>
  <c r="AW104" i="3"/>
  <c r="AV104" i="3"/>
  <c r="W104" i="3"/>
  <c r="Q104" i="3"/>
  <c r="K104" i="3"/>
  <c r="B104" i="3"/>
  <c r="AX103" i="3"/>
  <c r="AW103" i="3"/>
  <c r="AV103" i="3"/>
  <c r="W103" i="3"/>
  <c r="Q103" i="3"/>
  <c r="K103" i="3"/>
  <c r="B103" i="3"/>
  <c r="AX102" i="3"/>
  <c r="AW102" i="3"/>
  <c r="AV102" i="3"/>
  <c r="W102" i="3"/>
  <c r="Q102" i="3"/>
  <c r="K102" i="3"/>
  <c r="B102" i="3"/>
  <c r="AX101" i="3"/>
  <c r="AW101" i="3"/>
  <c r="AV101" i="3"/>
  <c r="W101" i="3"/>
  <c r="Q101" i="3"/>
  <c r="K101" i="3"/>
  <c r="B101" i="3"/>
  <c r="AX100" i="3"/>
  <c r="AW100" i="3"/>
  <c r="AV100" i="3"/>
  <c r="W100" i="3"/>
  <c r="Q100" i="3"/>
  <c r="K100" i="3"/>
  <c r="B100" i="3"/>
  <c r="AX99" i="3"/>
  <c r="AW99" i="3"/>
  <c r="AV99" i="3"/>
  <c r="W99" i="3"/>
  <c r="Q99" i="3"/>
  <c r="K99" i="3"/>
  <c r="B99" i="3"/>
  <c r="AX98" i="3"/>
  <c r="AW98" i="3"/>
  <c r="AV98" i="3"/>
  <c r="W98" i="3"/>
  <c r="Q98" i="3"/>
  <c r="K98" i="3"/>
  <c r="B98" i="3"/>
  <c r="AX97" i="3"/>
  <c r="AW97" i="3"/>
  <c r="AV97" i="3"/>
  <c r="W97" i="3"/>
  <c r="Q97" i="3"/>
  <c r="K97" i="3"/>
  <c r="B97" i="3"/>
  <c r="AX96" i="3"/>
  <c r="AW96" i="3"/>
  <c r="AV96" i="3"/>
  <c r="W96" i="3"/>
  <c r="Q96" i="3"/>
  <c r="K96" i="3"/>
  <c r="B96" i="3"/>
  <c r="AX95" i="3"/>
  <c r="AW95" i="3"/>
  <c r="AV95" i="3"/>
  <c r="W95" i="3"/>
  <c r="Q95" i="3"/>
  <c r="K95" i="3"/>
  <c r="B95" i="3"/>
  <c r="AX94" i="3"/>
  <c r="AW94" i="3"/>
  <c r="AV94" i="3"/>
  <c r="W94" i="3"/>
  <c r="Q94" i="3"/>
  <c r="K94" i="3"/>
  <c r="B94" i="3"/>
  <c r="AX93" i="3"/>
  <c r="AW93" i="3"/>
  <c r="AV93" i="3"/>
  <c r="W93" i="3"/>
  <c r="Q93" i="3"/>
  <c r="K93" i="3"/>
  <c r="B93" i="3"/>
  <c r="AX92" i="3"/>
  <c r="AW92" i="3"/>
  <c r="AV92" i="3"/>
  <c r="W92" i="3"/>
  <c r="Q92" i="3"/>
  <c r="K92" i="3"/>
  <c r="B92" i="3"/>
  <c r="AX91" i="3"/>
  <c r="AW91" i="3"/>
  <c r="AV91" i="3"/>
  <c r="W91" i="3"/>
  <c r="Q91" i="3"/>
  <c r="K91" i="3"/>
  <c r="B91" i="3"/>
  <c r="AX90" i="3"/>
  <c r="AW90" i="3"/>
  <c r="AV90" i="3"/>
  <c r="W90" i="3"/>
  <c r="Q90" i="3"/>
  <c r="K90" i="3"/>
  <c r="B90" i="3"/>
  <c r="AX89" i="3"/>
  <c r="AW89" i="3"/>
  <c r="AV89" i="3"/>
  <c r="W89" i="3"/>
  <c r="Q89" i="3"/>
  <c r="K89" i="3"/>
  <c r="B89" i="3"/>
  <c r="AX88" i="3"/>
  <c r="AW88" i="3"/>
  <c r="AV88" i="3"/>
  <c r="W88" i="3"/>
  <c r="Q88" i="3"/>
  <c r="K88" i="3"/>
  <c r="B88" i="3"/>
  <c r="AX87" i="3"/>
  <c r="AW87" i="3"/>
  <c r="AV87" i="3"/>
  <c r="W87" i="3"/>
  <c r="Q87" i="3"/>
  <c r="K87" i="3"/>
  <c r="B87" i="3"/>
  <c r="AX86" i="3"/>
  <c r="AW86" i="3"/>
  <c r="AV86" i="3"/>
  <c r="W86" i="3"/>
  <c r="Q86" i="3"/>
  <c r="K86" i="3"/>
  <c r="B86" i="3"/>
  <c r="AX85" i="3"/>
  <c r="AW85" i="3"/>
  <c r="AV85" i="3"/>
  <c r="W85" i="3"/>
  <c r="Q85" i="3"/>
  <c r="K85" i="3"/>
  <c r="B85" i="3"/>
  <c r="AX84" i="3"/>
  <c r="AW84" i="3"/>
  <c r="AV84" i="3"/>
  <c r="W84" i="3"/>
  <c r="Q84" i="3"/>
  <c r="K84" i="3"/>
  <c r="B84" i="3"/>
  <c r="AX83" i="3"/>
  <c r="AW83" i="3"/>
  <c r="AV83" i="3"/>
  <c r="W83" i="3"/>
  <c r="Q83" i="3"/>
  <c r="K83" i="3"/>
  <c r="B83" i="3"/>
  <c r="AX82" i="3"/>
  <c r="AW82" i="3"/>
  <c r="AV82" i="3"/>
  <c r="W82" i="3"/>
  <c r="Q82" i="3"/>
  <c r="K82" i="3"/>
  <c r="B82" i="3"/>
  <c r="AX81" i="3"/>
  <c r="AW81" i="3"/>
  <c r="AV81" i="3"/>
  <c r="W81" i="3"/>
  <c r="Q81" i="3"/>
  <c r="K81" i="3"/>
  <c r="B81" i="3"/>
  <c r="AX80" i="3"/>
  <c r="AW80" i="3"/>
  <c r="AV80" i="3"/>
  <c r="W80" i="3"/>
  <c r="Q80" i="3"/>
  <c r="K80" i="3"/>
  <c r="B80" i="3"/>
  <c r="AX79" i="3"/>
  <c r="AW79" i="3"/>
  <c r="AV79" i="3"/>
  <c r="W79" i="3"/>
  <c r="Q79" i="3"/>
  <c r="K79" i="3"/>
  <c r="B79" i="3"/>
  <c r="AX78" i="3"/>
  <c r="AW78" i="3"/>
  <c r="AV78" i="3"/>
  <c r="W78" i="3"/>
  <c r="Q78" i="3"/>
  <c r="K78" i="3"/>
  <c r="B78" i="3"/>
  <c r="AX77" i="3"/>
  <c r="AW77" i="3"/>
  <c r="AV77" i="3"/>
  <c r="W77" i="3"/>
  <c r="Q77" i="3"/>
  <c r="K77" i="3"/>
  <c r="B77" i="3"/>
  <c r="AX76" i="3"/>
  <c r="AW76" i="3"/>
  <c r="AV76" i="3"/>
  <c r="W76" i="3"/>
  <c r="Q76" i="3"/>
  <c r="K76" i="3"/>
  <c r="B76" i="3"/>
  <c r="AX75" i="3"/>
  <c r="AW75" i="3"/>
  <c r="AV75" i="3"/>
  <c r="W75" i="3"/>
  <c r="Q75" i="3"/>
  <c r="K75" i="3"/>
  <c r="B75" i="3"/>
  <c r="AX74" i="3"/>
  <c r="AW74" i="3"/>
  <c r="AV74" i="3"/>
  <c r="W74" i="3"/>
  <c r="Q74" i="3"/>
  <c r="K74" i="3"/>
  <c r="B74" i="3"/>
  <c r="AX73" i="3"/>
  <c r="AW73" i="3"/>
  <c r="AV73" i="3"/>
  <c r="W73" i="3"/>
  <c r="Q73" i="3"/>
  <c r="K73" i="3"/>
  <c r="B73" i="3"/>
  <c r="AX72" i="3"/>
  <c r="AW72" i="3"/>
  <c r="AV72" i="3"/>
  <c r="W72" i="3"/>
  <c r="Q72" i="3"/>
  <c r="K72" i="3"/>
  <c r="B72" i="3"/>
  <c r="AX71" i="3"/>
  <c r="AW71" i="3"/>
  <c r="AV71" i="3"/>
  <c r="W71" i="3"/>
  <c r="Q71" i="3"/>
  <c r="K71" i="3"/>
  <c r="B71" i="3"/>
  <c r="AX70" i="3"/>
  <c r="AW70" i="3"/>
  <c r="AV70" i="3"/>
  <c r="W70" i="3"/>
  <c r="Q70" i="3"/>
  <c r="K70" i="3"/>
  <c r="B70" i="3"/>
  <c r="AX69" i="3"/>
  <c r="AW69" i="3"/>
  <c r="AV69" i="3"/>
  <c r="W69" i="3"/>
  <c r="Q69" i="3"/>
  <c r="K69" i="3"/>
  <c r="B69" i="3"/>
  <c r="AX68" i="3"/>
  <c r="AW68" i="3"/>
  <c r="AV68" i="3"/>
  <c r="W68" i="3"/>
  <c r="Q68" i="3"/>
  <c r="K68" i="3"/>
  <c r="B68" i="3"/>
  <c r="AX67" i="3"/>
  <c r="AW67" i="3"/>
  <c r="AV67" i="3"/>
  <c r="W67" i="3"/>
  <c r="Q67" i="3"/>
  <c r="K67" i="3"/>
  <c r="B67" i="3"/>
  <c r="AX66" i="3"/>
  <c r="AW66" i="3"/>
  <c r="AV66" i="3"/>
  <c r="W66" i="3"/>
  <c r="Q66" i="3"/>
  <c r="K66" i="3"/>
  <c r="B66" i="3"/>
  <c r="AX65" i="3"/>
  <c r="AW65" i="3"/>
  <c r="AV65" i="3"/>
  <c r="W65" i="3"/>
  <c r="Q65" i="3"/>
  <c r="K65" i="3"/>
  <c r="B65" i="3"/>
  <c r="AX64" i="3"/>
  <c r="AW64" i="3"/>
  <c r="AV64" i="3"/>
  <c r="W64" i="3"/>
  <c r="Q64" i="3"/>
  <c r="K64" i="3"/>
  <c r="B64" i="3"/>
  <c r="AX63" i="3"/>
  <c r="AW63" i="3"/>
  <c r="AV63" i="3"/>
  <c r="W63" i="3"/>
  <c r="Q63" i="3"/>
  <c r="K63" i="3"/>
  <c r="B63" i="3"/>
  <c r="AX62" i="3"/>
  <c r="AW62" i="3"/>
  <c r="AV62" i="3"/>
  <c r="AX61" i="3"/>
  <c r="AW61" i="3"/>
  <c r="AV61" i="3"/>
  <c r="W61" i="3"/>
  <c r="Q61" i="3"/>
  <c r="K61" i="3"/>
  <c r="B61" i="3"/>
  <c r="AX60" i="3"/>
  <c r="AW60" i="3"/>
  <c r="AV60" i="3"/>
  <c r="W60" i="3"/>
  <c r="Q60" i="3"/>
  <c r="K60" i="3"/>
  <c r="B60" i="3"/>
  <c r="AX59" i="3"/>
  <c r="AW59" i="3"/>
  <c r="AV59" i="3"/>
  <c r="W59" i="3"/>
  <c r="Q59" i="3"/>
  <c r="K59" i="3"/>
  <c r="B59" i="3"/>
  <c r="AX58" i="3"/>
  <c r="AW58" i="3"/>
  <c r="AV58" i="3"/>
  <c r="W58" i="3"/>
  <c r="Q58" i="3"/>
  <c r="K58" i="3"/>
  <c r="B58" i="3"/>
  <c r="AX57" i="3"/>
  <c r="AW57" i="3"/>
  <c r="AV57" i="3"/>
  <c r="W57" i="3"/>
  <c r="Q57" i="3"/>
  <c r="K57" i="3"/>
  <c r="B57" i="3"/>
  <c r="AX56" i="3"/>
  <c r="AW56" i="3"/>
  <c r="AV56" i="3"/>
  <c r="W56" i="3"/>
  <c r="Q56" i="3"/>
  <c r="K56" i="3"/>
  <c r="B56" i="3"/>
  <c r="AX55" i="3"/>
  <c r="AW55" i="3"/>
  <c r="AV55" i="3"/>
  <c r="W55" i="3"/>
  <c r="Q55" i="3"/>
  <c r="K55" i="3"/>
  <c r="B55" i="3"/>
  <c r="AX54" i="3"/>
  <c r="AW54" i="3"/>
  <c r="AV54" i="3"/>
  <c r="W54" i="3"/>
  <c r="Q54" i="3"/>
  <c r="K54" i="3"/>
  <c r="B54" i="3"/>
  <c r="AX53" i="3"/>
  <c r="AW53" i="3"/>
  <c r="AV53" i="3"/>
  <c r="W53" i="3"/>
  <c r="Q53" i="3"/>
  <c r="K53" i="3"/>
  <c r="B53" i="3"/>
  <c r="AX52" i="3"/>
  <c r="AW52" i="3"/>
  <c r="AV52" i="3"/>
  <c r="W52" i="3"/>
  <c r="Q52" i="3"/>
  <c r="K52" i="3"/>
  <c r="B52" i="3"/>
  <c r="AX51" i="3"/>
  <c r="AW51" i="3"/>
  <c r="AV51" i="3"/>
  <c r="W51" i="3"/>
  <c r="Q51" i="3"/>
  <c r="K51" i="3"/>
  <c r="B51" i="3"/>
  <c r="AX50" i="3"/>
  <c r="AW50" i="3"/>
  <c r="AV50" i="3"/>
  <c r="W50" i="3"/>
  <c r="Q50" i="3"/>
  <c r="K50" i="3"/>
  <c r="B50" i="3"/>
  <c r="AX49" i="3"/>
  <c r="AW49" i="3"/>
  <c r="AV49" i="3"/>
  <c r="W49" i="3"/>
  <c r="Q49" i="3"/>
  <c r="K49" i="3"/>
  <c r="B49" i="3"/>
  <c r="AX48" i="3"/>
  <c r="AW48" i="3"/>
  <c r="AV48" i="3"/>
  <c r="W48" i="3"/>
  <c r="Q48" i="3"/>
  <c r="K48" i="3"/>
  <c r="B48" i="3"/>
  <c r="AX47" i="3"/>
  <c r="AW47" i="3"/>
  <c r="AV47" i="3"/>
  <c r="W47" i="3"/>
  <c r="Q47" i="3"/>
  <c r="K47" i="3"/>
  <c r="B47" i="3"/>
  <c r="AX46" i="3"/>
  <c r="AW46" i="3"/>
  <c r="AV46" i="3"/>
  <c r="W46" i="3"/>
  <c r="Q46" i="3"/>
  <c r="K46" i="3"/>
  <c r="B46" i="3"/>
  <c r="AX45" i="3"/>
  <c r="AW45" i="3"/>
  <c r="AV45" i="3"/>
  <c r="W45" i="3"/>
  <c r="Q45" i="3"/>
  <c r="K45" i="3"/>
  <c r="B45" i="3"/>
  <c r="AX44" i="3"/>
  <c r="AW44" i="3"/>
  <c r="AV44" i="3"/>
  <c r="W44" i="3"/>
  <c r="Q44" i="3"/>
  <c r="K44" i="3"/>
  <c r="B44" i="3"/>
  <c r="AX43" i="3"/>
  <c r="AW43" i="3"/>
  <c r="AV43" i="3"/>
  <c r="W43" i="3"/>
  <c r="Q43" i="3"/>
  <c r="K43" i="3"/>
  <c r="B43" i="3"/>
  <c r="AX42" i="3"/>
  <c r="AW42" i="3"/>
  <c r="AV42" i="3"/>
  <c r="W42" i="3"/>
  <c r="Q42" i="3"/>
  <c r="K42" i="3"/>
  <c r="B42" i="3"/>
  <c r="AX41" i="3"/>
  <c r="AW41" i="3"/>
  <c r="AV41" i="3"/>
  <c r="W41" i="3"/>
  <c r="Q41" i="3"/>
  <c r="K41" i="3"/>
  <c r="B41" i="3"/>
  <c r="AX40" i="3"/>
  <c r="AW40" i="3"/>
  <c r="AV40" i="3"/>
  <c r="W40" i="3"/>
  <c r="Q40" i="3"/>
  <c r="K40" i="3"/>
  <c r="B40" i="3"/>
  <c r="AX39" i="3"/>
  <c r="AW39" i="3"/>
  <c r="AV39" i="3"/>
  <c r="W39" i="3"/>
  <c r="Q39" i="3"/>
  <c r="K39" i="3"/>
  <c r="B39" i="3"/>
  <c r="AX38" i="3"/>
  <c r="AW38" i="3"/>
  <c r="AV38" i="3"/>
  <c r="W38" i="3"/>
  <c r="Q38" i="3"/>
  <c r="K38" i="3"/>
  <c r="B38" i="3"/>
  <c r="AX37" i="3"/>
  <c r="AW37" i="3"/>
  <c r="AV37" i="3"/>
  <c r="W37" i="3"/>
  <c r="Q37" i="3"/>
  <c r="K37" i="3"/>
  <c r="B37" i="3"/>
  <c r="AX36" i="3"/>
  <c r="AW36" i="3"/>
  <c r="AV36" i="3"/>
  <c r="W36" i="3"/>
  <c r="Q36" i="3"/>
  <c r="K36" i="3"/>
  <c r="B36" i="3"/>
  <c r="AX35" i="3"/>
  <c r="AW35" i="3"/>
  <c r="AV35" i="3"/>
  <c r="W35" i="3"/>
  <c r="Q35" i="3"/>
  <c r="K35" i="3"/>
  <c r="B35" i="3"/>
  <c r="AX34" i="3"/>
  <c r="AW34" i="3"/>
  <c r="AV34" i="3"/>
  <c r="W34" i="3"/>
  <c r="Q34" i="3"/>
  <c r="K34" i="3"/>
  <c r="B34" i="3"/>
  <c r="AX33" i="3"/>
  <c r="AW33" i="3"/>
  <c r="AV33" i="3"/>
  <c r="W33" i="3"/>
  <c r="Q33" i="3"/>
  <c r="K33" i="3"/>
  <c r="B33" i="3"/>
  <c r="AX32" i="3"/>
  <c r="AW32" i="3"/>
  <c r="AV32" i="3"/>
  <c r="AG32" i="3"/>
  <c r="AF32" i="3"/>
  <c r="AE32" i="3"/>
  <c r="W32" i="3"/>
  <c r="Q32" i="3"/>
  <c r="K32" i="3"/>
  <c r="B32" i="3"/>
  <c r="AX31" i="3"/>
  <c r="AW31" i="3"/>
  <c r="AV31" i="3"/>
  <c r="AG31" i="3"/>
  <c r="AF31" i="3"/>
  <c r="AE31" i="3"/>
  <c r="W31" i="3"/>
  <c r="Q31" i="3"/>
  <c r="K31" i="3"/>
  <c r="B31" i="3"/>
  <c r="AX30" i="3"/>
  <c r="AW30" i="3"/>
  <c r="AV30" i="3"/>
  <c r="AG30" i="3"/>
  <c r="AF30" i="3"/>
  <c r="AE30" i="3"/>
  <c r="W30" i="3"/>
  <c r="Q30" i="3"/>
  <c r="K30" i="3"/>
  <c r="B30" i="3"/>
  <c r="AX29" i="3"/>
  <c r="AW29" i="3"/>
  <c r="AV29" i="3"/>
  <c r="W29" i="3"/>
  <c r="Q29" i="3"/>
  <c r="K29" i="3"/>
  <c r="B29" i="3"/>
  <c r="AX28" i="3"/>
  <c r="AW28" i="3"/>
  <c r="AV28" i="3"/>
  <c r="W28" i="3"/>
  <c r="Q28" i="3"/>
  <c r="K28" i="3"/>
  <c r="B28" i="3"/>
  <c r="AX27" i="3"/>
  <c r="AW27" i="3"/>
  <c r="AV27" i="3"/>
  <c r="W27" i="3"/>
  <c r="Q27" i="3"/>
  <c r="K27" i="3"/>
  <c r="B27" i="3"/>
  <c r="AX26" i="3"/>
  <c r="AW26" i="3"/>
  <c r="AV26" i="3"/>
  <c r="AG26" i="3"/>
  <c r="AF26" i="3"/>
  <c r="AE26" i="3"/>
  <c r="W26" i="3"/>
  <c r="Q26" i="3"/>
  <c r="K26" i="3"/>
  <c r="B26" i="3"/>
  <c r="AX25" i="3"/>
  <c r="AW25" i="3"/>
  <c r="AV25" i="3"/>
  <c r="AG25" i="3"/>
  <c r="AF25" i="3"/>
  <c r="AE25" i="3"/>
  <c r="W25" i="3"/>
  <c r="Q25" i="3"/>
  <c r="K25" i="3"/>
  <c r="B25" i="3"/>
  <c r="AX24" i="3"/>
  <c r="AW24" i="3"/>
  <c r="AV24" i="3"/>
  <c r="AG24" i="3"/>
  <c r="AF24" i="3"/>
  <c r="AE24" i="3"/>
  <c r="W24" i="3"/>
  <c r="Q24" i="3"/>
  <c r="K24" i="3"/>
  <c r="B24" i="3"/>
  <c r="AX23" i="3"/>
  <c r="AW23" i="3"/>
  <c r="AV23" i="3"/>
  <c r="W23" i="3"/>
  <c r="Q23" i="3"/>
  <c r="K23" i="3"/>
  <c r="B23" i="3"/>
  <c r="AX22" i="3"/>
  <c r="AW22" i="3"/>
  <c r="AV22" i="3"/>
  <c r="W22" i="3"/>
  <c r="Q22" i="3"/>
  <c r="K22" i="3"/>
  <c r="B22" i="3"/>
  <c r="AX21" i="3"/>
  <c r="AW21" i="3"/>
  <c r="AV21" i="3"/>
  <c r="W21" i="3"/>
  <c r="Q21" i="3"/>
  <c r="K21" i="3"/>
  <c r="B21" i="3"/>
  <c r="AX20" i="3"/>
  <c r="AW20" i="3"/>
  <c r="AV20" i="3"/>
  <c r="W20" i="3"/>
  <c r="Q20" i="3"/>
  <c r="K20" i="3"/>
  <c r="B20" i="3"/>
  <c r="AX19" i="3"/>
  <c r="AW19" i="3"/>
  <c r="AV19" i="3"/>
  <c r="W19" i="3"/>
  <c r="Q19" i="3"/>
  <c r="K19" i="3"/>
  <c r="B19" i="3"/>
  <c r="AX18" i="3"/>
  <c r="AW18" i="3"/>
  <c r="AV18" i="3"/>
  <c r="W18" i="3"/>
  <c r="Q18" i="3"/>
  <c r="K18" i="3"/>
  <c r="B18" i="3"/>
  <c r="AX17" i="3"/>
  <c r="AW17" i="3"/>
  <c r="AV17" i="3"/>
  <c r="W17" i="3"/>
  <c r="Q17" i="3"/>
  <c r="K17" i="3"/>
  <c r="B17" i="3"/>
  <c r="AX16" i="3"/>
  <c r="AW16" i="3"/>
  <c r="AV16" i="3"/>
  <c r="W16" i="3"/>
  <c r="Q16" i="3"/>
  <c r="K16" i="3"/>
  <c r="B16" i="3"/>
  <c r="AX15" i="3"/>
  <c r="AW15" i="3"/>
  <c r="AV15" i="3"/>
  <c r="AG15" i="3"/>
  <c r="AF15" i="3"/>
  <c r="AE15" i="3"/>
  <c r="W15" i="3"/>
  <c r="Q15" i="3"/>
  <c r="K15" i="3"/>
  <c r="B15" i="3"/>
  <c r="AX14" i="3"/>
  <c r="AW14" i="3"/>
  <c r="AV14" i="3"/>
  <c r="AG14" i="3"/>
  <c r="AF14" i="3"/>
  <c r="AE14" i="3"/>
  <c r="W14" i="3"/>
  <c r="Q14" i="3"/>
  <c r="K14" i="3"/>
  <c r="B14" i="3"/>
  <c r="AX13" i="3"/>
  <c r="AW13" i="3"/>
  <c r="AV13" i="3"/>
  <c r="W13" i="3"/>
  <c r="Q13" i="3"/>
  <c r="K13" i="3"/>
  <c r="B13" i="3"/>
  <c r="AX12" i="3"/>
  <c r="AW12" i="3"/>
  <c r="AV12" i="3"/>
  <c r="W12" i="3"/>
  <c r="Q12" i="3"/>
  <c r="K12" i="3"/>
  <c r="B12" i="3"/>
  <c r="W10" i="3" a="1"/>
  <c r="W10" i="3" s="1"/>
  <c r="X22" i="3" s="1"/>
  <c r="Y22" i="3" s="1"/>
  <c r="Q10" i="3"/>
  <c r="K10" i="3"/>
  <c r="Z7" i="3"/>
  <c r="Q7" i="3"/>
  <c r="J7" i="3"/>
  <c r="Z5" i="3"/>
  <c r="S5" i="3"/>
  <c r="G5" i="3"/>
  <c r="L4" i="3"/>
  <c r="G4" i="3"/>
  <c r="AX112" i="2"/>
  <c r="AW112" i="2"/>
  <c r="AV112" i="2"/>
  <c r="W112" i="2"/>
  <c r="Q112" i="2"/>
  <c r="K112" i="2"/>
  <c r="B112" i="2"/>
  <c r="AX111" i="2"/>
  <c r="AW111" i="2"/>
  <c r="AV111" i="2"/>
  <c r="W111" i="2"/>
  <c r="Q111" i="2"/>
  <c r="K111" i="2"/>
  <c r="B111" i="2"/>
  <c r="AX110" i="2"/>
  <c r="AW110" i="2"/>
  <c r="AV110" i="2"/>
  <c r="W110" i="2"/>
  <c r="Q110" i="2"/>
  <c r="K110" i="2"/>
  <c r="B110" i="2"/>
  <c r="AX109" i="2"/>
  <c r="AW109" i="2"/>
  <c r="AV109" i="2"/>
  <c r="W109" i="2"/>
  <c r="Q109" i="2"/>
  <c r="K109" i="2"/>
  <c r="B109" i="2"/>
  <c r="AX108" i="2"/>
  <c r="AW108" i="2"/>
  <c r="AV108" i="2"/>
  <c r="W108" i="2"/>
  <c r="Q108" i="2"/>
  <c r="K108" i="2"/>
  <c r="B108" i="2"/>
  <c r="AX107" i="2"/>
  <c r="AW107" i="2"/>
  <c r="AV107" i="2"/>
  <c r="W107" i="2"/>
  <c r="Q107" i="2"/>
  <c r="K107" i="2"/>
  <c r="B107" i="2"/>
  <c r="AX106" i="2"/>
  <c r="AW106" i="2"/>
  <c r="AV106" i="2"/>
  <c r="W106" i="2"/>
  <c r="Q106" i="2"/>
  <c r="K106" i="2"/>
  <c r="B106" i="2"/>
  <c r="AX105" i="2"/>
  <c r="AW105" i="2"/>
  <c r="AV105" i="2"/>
  <c r="W105" i="2"/>
  <c r="Q105" i="2"/>
  <c r="K105" i="2"/>
  <c r="B105" i="2"/>
  <c r="AX104" i="2"/>
  <c r="AW104" i="2"/>
  <c r="AV104" i="2"/>
  <c r="W104" i="2"/>
  <c r="Q104" i="2"/>
  <c r="K104" i="2"/>
  <c r="B104" i="2"/>
  <c r="AX103" i="2"/>
  <c r="AW103" i="2"/>
  <c r="AV103" i="2"/>
  <c r="W103" i="2"/>
  <c r="Q103" i="2"/>
  <c r="K103" i="2"/>
  <c r="B103" i="2"/>
  <c r="AX102" i="2"/>
  <c r="AW102" i="2"/>
  <c r="AV102" i="2"/>
  <c r="W102" i="2"/>
  <c r="Q102" i="2"/>
  <c r="K102" i="2"/>
  <c r="B102" i="2"/>
  <c r="AX101" i="2"/>
  <c r="AW101" i="2"/>
  <c r="AV101" i="2"/>
  <c r="W101" i="2"/>
  <c r="Q101" i="2"/>
  <c r="K101" i="2"/>
  <c r="B101" i="2"/>
  <c r="AX100" i="2"/>
  <c r="AW100" i="2"/>
  <c r="AV100" i="2"/>
  <c r="W100" i="2"/>
  <c r="Q100" i="2"/>
  <c r="K100" i="2"/>
  <c r="B100" i="2"/>
  <c r="AX99" i="2"/>
  <c r="AW99" i="2"/>
  <c r="AV99" i="2"/>
  <c r="W99" i="2"/>
  <c r="Q99" i="2"/>
  <c r="K99" i="2"/>
  <c r="B99" i="2"/>
  <c r="AX98" i="2"/>
  <c r="AW98" i="2"/>
  <c r="AV98" i="2"/>
  <c r="W98" i="2"/>
  <c r="Q98" i="2"/>
  <c r="K98" i="2"/>
  <c r="B98" i="2"/>
  <c r="AX97" i="2"/>
  <c r="AW97" i="2"/>
  <c r="AV97" i="2"/>
  <c r="W97" i="2"/>
  <c r="Q97" i="2"/>
  <c r="K97" i="2"/>
  <c r="B97" i="2"/>
  <c r="AX96" i="2"/>
  <c r="AW96" i="2"/>
  <c r="AV96" i="2"/>
  <c r="W96" i="2"/>
  <c r="Q96" i="2"/>
  <c r="K96" i="2"/>
  <c r="B96" i="2"/>
  <c r="AX95" i="2"/>
  <c r="AW95" i="2"/>
  <c r="AV95" i="2"/>
  <c r="W95" i="2"/>
  <c r="Q95" i="2"/>
  <c r="K95" i="2"/>
  <c r="B95" i="2"/>
  <c r="AX94" i="2"/>
  <c r="AW94" i="2"/>
  <c r="AV94" i="2"/>
  <c r="W94" i="2"/>
  <c r="Q94" i="2"/>
  <c r="K94" i="2"/>
  <c r="B94" i="2"/>
  <c r="AX93" i="2"/>
  <c r="AW93" i="2"/>
  <c r="AV93" i="2"/>
  <c r="W93" i="2"/>
  <c r="Q93" i="2"/>
  <c r="K93" i="2"/>
  <c r="B93" i="2"/>
  <c r="AX92" i="2"/>
  <c r="AW92" i="2"/>
  <c r="AV92" i="2"/>
  <c r="W92" i="2"/>
  <c r="Q92" i="2"/>
  <c r="K92" i="2"/>
  <c r="B92" i="2"/>
  <c r="AX91" i="2"/>
  <c r="AW91" i="2"/>
  <c r="AV91" i="2"/>
  <c r="W91" i="2"/>
  <c r="Q91" i="2"/>
  <c r="K91" i="2"/>
  <c r="B91" i="2"/>
  <c r="AX90" i="2"/>
  <c r="AW90" i="2"/>
  <c r="AV90" i="2"/>
  <c r="W90" i="2"/>
  <c r="Q90" i="2"/>
  <c r="K90" i="2"/>
  <c r="B90" i="2"/>
  <c r="AX89" i="2"/>
  <c r="AW89" i="2"/>
  <c r="AV89" i="2"/>
  <c r="W89" i="2"/>
  <c r="Q89" i="2"/>
  <c r="K89" i="2"/>
  <c r="B89" i="2"/>
  <c r="AX88" i="2"/>
  <c r="AW88" i="2"/>
  <c r="AV88" i="2"/>
  <c r="W88" i="2"/>
  <c r="Q88" i="2"/>
  <c r="K88" i="2"/>
  <c r="B88" i="2"/>
  <c r="AX87" i="2"/>
  <c r="AW87" i="2"/>
  <c r="AV87" i="2"/>
  <c r="W87" i="2"/>
  <c r="Q87" i="2"/>
  <c r="K87" i="2"/>
  <c r="B87" i="2"/>
  <c r="AX86" i="2"/>
  <c r="AW86" i="2"/>
  <c r="AV86" i="2"/>
  <c r="W86" i="2"/>
  <c r="Q86" i="2"/>
  <c r="K86" i="2"/>
  <c r="B86" i="2"/>
  <c r="AX85" i="2"/>
  <c r="AW85" i="2"/>
  <c r="AV85" i="2"/>
  <c r="W85" i="2"/>
  <c r="Q85" i="2"/>
  <c r="K85" i="2"/>
  <c r="B85" i="2"/>
  <c r="AX84" i="2"/>
  <c r="AW84" i="2"/>
  <c r="AV84" i="2"/>
  <c r="W84" i="2"/>
  <c r="Q84" i="2"/>
  <c r="K84" i="2"/>
  <c r="B84" i="2"/>
  <c r="AX83" i="2"/>
  <c r="AW83" i="2"/>
  <c r="AV83" i="2"/>
  <c r="W83" i="2"/>
  <c r="Q83" i="2"/>
  <c r="K83" i="2"/>
  <c r="B83" i="2"/>
  <c r="AX82" i="2"/>
  <c r="AW82" i="2"/>
  <c r="AV82" i="2"/>
  <c r="W82" i="2"/>
  <c r="Q82" i="2"/>
  <c r="K82" i="2"/>
  <c r="B82" i="2"/>
  <c r="AX81" i="2"/>
  <c r="AW81" i="2"/>
  <c r="AV81" i="2"/>
  <c r="W81" i="2"/>
  <c r="Q81" i="2"/>
  <c r="K81" i="2"/>
  <c r="B81" i="2"/>
  <c r="AX80" i="2"/>
  <c r="AW80" i="2"/>
  <c r="AV80" i="2"/>
  <c r="W80" i="2"/>
  <c r="Q80" i="2"/>
  <c r="K80" i="2"/>
  <c r="B80" i="2"/>
  <c r="AX79" i="2"/>
  <c r="AW79" i="2"/>
  <c r="AV79" i="2"/>
  <c r="W79" i="2"/>
  <c r="Q79" i="2"/>
  <c r="K79" i="2"/>
  <c r="B79" i="2"/>
  <c r="AX78" i="2"/>
  <c r="AW78" i="2"/>
  <c r="AV78" i="2"/>
  <c r="W78" i="2"/>
  <c r="Q78" i="2"/>
  <c r="K78" i="2"/>
  <c r="B78" i="2"/>
  <c r="AX77" i="2"/>
  <c r="AW77" i="2"/>
  <c r="AV77" i="2"/>
  <c r="W77" i="2"/>
  <c r="Q77" i="2"/>
  <c r="K77" i="2"/>
  <c r="B77" i="2"/>
  <c r="AX76" i="2"/>
  <c r="AW76" i="2"/>
  <c r="AV76" i="2"/>
  <c r="W76" i="2"/>
  <c r="Q76" i="2"/>
  <c r="K76" i="2"/>
  <c r="B76" i="2"/>
  <c r="AX75" i="2"/>
  <c r="AW75" i="2"/>
  <c r="AV75" i="2"/>
  <c r="W75" i="2"/>
  <c r="Q75" i="2"/>
  <c r="K75" i="2"/>
  <c r="B75" i="2"/>
  <c r="AX74" i="2"/>
  <c r="AW74" i="2"/>
  <c r="AV74" i="2"/>
  <c r="W74" i="2"/>
  <c r="Q74" i="2"/>
  <c r="K74" i="2"/>
  <c r="B74" i="2"/>
  <c r="AX73" i="2"/>
  <c r="AW73" i="2"/>
  <c r="AV73" i="2"/>
  <c r="W73" i="2"/>
  <c r="Q73" i="2"/>
  <c r="K73" i="2"/>
  <c r="B73" i="2"/>
  <c r="AX72" i="2"/>
  <c r="AW72" i="2"/>
  <c r="AV72" i="2"/>
  <c r="W72" i="2"/>
  <c r="Q72" i="2"/>
  <c r="K72" i="2"/>
  <c r="B72" i="2"/>
  <c r="AX71" i="2"/>
  <c r="AW71" i="2"/>
  <c r="AV71" i="2"/>
  <c r="W71" i="2"/>
  <c r="Q71" i="2"/>
  <c r="K71" i="2"/>
  <c r="B71" i="2"/>
  <c r="AX70" i="2"/>
  <c r="AW70" i="2"/>
  <c r="AV70" i="2"/>
  <c r="W70" i="2"/>
  <c r="Q70" i="2"/>
  <c r="K70" i="2"/>
  <c r="B70" i="2"/>
  <c r="AX69" i="2"/>
  <c r="AW69" i="2"/>
  <c r="AV69" i="2"/>
  <c r="W69" i="2"/>
  <c r="Q69" i="2"/>
  <c r="K69" i="2"/>
  <c r="B69" i="2"/>
  <c r="AX68" i="2"/>
  <c r="AW68" i="2"/>
  <c r="AV68" i="2"/>
  <c r="W68" i="2"/>
  <c r="Q68" i="2"/>
  <c r="K68" i="2"/>
  <c r="B68" i="2"/>
  <c r="AX67" i="2"/>
  <c r="AW67" i="2"/>
  <c r="AV67" i="2"/>
  <c r="W67" i="2"/>
  <c r="Q67" i="2"/>
  <c r="K67" i="2"/>
  <c r="B67" i="2"/>
  <c r="AX66" i="2"/>
  <c r="AW66" i="2"/>
  <c r="AV66" i="2"/>
  <c r="W66" i="2"/>
  <c r="Q66" i="2"/>
  <c r="K66" i="2"/>
  <c r="B66" i="2"/>
  <c r="AX65" i="2"/>
  <c r="AW65" i="2"/>
  <c r="AV65" i="2"/>
  <c r="W65" i="2"/>
  <c r="Q65" i="2"/>
  <c r="K65" i="2"/>
  <c r="B65" i="2"/>
  <c r="AX64" i="2"/>
  <c r="AW64" i="2"/>
  <c r="AV64" i="2"/>
  <c r="W64" i="2"/>
  <c r="Q64" i="2"/>
  <c r="K64" i="2"/>
  <c r="B64" i="2"/>
  <c r="AX63" i="2"/>
  <c r="AW63" i="2"/>
  <c r="AV63" i="2"/>
  <c r="W63" i="2"/>
  <c r="Q63" i="2"/>
  <c r="K63" i="2"/>
  <c r="B63" i="2"/>
  <c r="AX62" i="2"/>
  <c r="AW62" i="2"/>
  <c r="AV62" i="2"/>
  <c r="AX61" i="2"/>
  <c r="AW61" i="2"/>
  <c r="AV61" i="2"/>
  <c r="W61" i="2"/>
  <c r="Q61" i="2"/>
  <c r="K61" i="2"/>
  <c r="B61" i="2"/>
  <c r="AX60" i="2"/>
  <c r="AW60" i="2"/>
  <c r="AV60" i="2"/>
  <c r="W60" i="2"/>
  <c r="Q60" i="2"/>
  <c r="K60" i="2"/>
  <c r="B60" i="2"/>
  <c r="AX59" i="2"/>
  <c r="AW59" i="2"/>
  <c r="AV59" i="2"/>
  <c r="W59" i="2"/>
  <c r="Q59" i="2"/>
  <c r="K59" i="2"/>
  <c r="B59" i="2"/>
  <c r="AX58" i="2"/>
  <c r="AW58" i="2"/>
  <c r="AV58" i="2"/>
  <c r="W58" i="2"/>
  <c r="Q58" i="2"/>
  <c r="K58" i="2"/>
  <c r="B58" i="2"/>
  <c r="AX57" i="2"/>
  <c r="AW57" i="2"/>
  <c r="AV57" i="2"/>
  <c r="W57" i="2"/>
  <c r="Q57" i="2"/>
  <c r="K57" i="2"/>
  <c r="B57" i="2"/>
  <c r="AX56" i="2"/>
  <c r="AW56" i="2"/>
  <c r="AV56" i="2"/>
  <c r="W56" i="2"/>
  <c r="Q56" i="2"/>
  <c r="K56" i="2"/>
  <c r="B56" i="2"/>
  <c r="AX55" i="2"/>
  <c r="AW55" i="2"/>
  <c r="AV55" i="2"/>
  <c r="W55" i="2"/>
  <c r="Q55" i="2"/>
  <c r="K55" i="2"/>
  <c r="B55" i="2"/>
  <c r="AX54" i="2"/>
  <c r="AW54" i="2"/>
  <c r="AV54" i="2"/>
  <c r="W54" i="2"/>
  <c r="Q54" i="2"/>
  <c r="K54" i="2"/>
  <c r="B54" i="2"/>
  <c r="AX53" i="2"/>
  <c r="AW53" i="2"/>
  <c r="AV53" i="2"/>
  <c r="W53" i="2"/>
  <c r="Q53" i="2"/>
  <c r="K53" i="2"/>
  <c r="B53" i="2"/>
  <c r="AX52" i="2"/>
  <c r="AW52" i="2"/>
  <c r="AV52" i="2"/>
  <c r="W52" i="2"/>
  <c r="Q52" i="2"/>
  <c r="K52" i="2"/>
  <c r="B52" i="2"/>
  <c r="AX51" i="2"/>
  <c r="AW51" i="2"/>
  <c r="AV51" i="2"/>
  <c r="W51" i="2"/>
  <c r="Q51" i="2"/>
  <c r="K51" i="2"/>
  <c r="B51" i="2"/>
  <c r="AX50" i="2"/>
  <c r="AW50" i="2"/>
  <c r="AV50" i="2"/>
  <c r="W50" i="2"/>
  <c r="Q50" i="2"/>
  <c r="K50" i="2"/>
  <c r="B50" i="2"/>
  <c r="AX49" i="2"/>
  <c r="AW49" i="2"/>
  <c r="AV49" i="2"/>
  <c r="W49" i="2"/>
  <c r="Q49" i="2"/>
  <c r="K49" i="2"/>
  <c r="B49" i="2"/>
  <c r="AX48" i="2"/>
  <c r="AW48" i="2"/>
  <c r="AV48" i="2"/>
  <c r="W48" i="2"/>
  <c r="Q48" i="2"/>
  <c r="K48" i="2"/>
  <c r="B48" i="2"/>
  <c r="AX47" i="2"/>
  <c r="AW47" i="2"/>
  <c r="AV47" i="2"/>
  <c r="W47" i="2"/>
  <c r="Q47" i="2"/>
  <c r="K47" i="2"/>
  <c r="B47" i="2"/>
  <c r="AX46" i="2"/>
  <c r="AW46" i="2"/>
  <c r="AV46" i="2"/>
  <c r="W46" i="2"/>
  <c r="Q46" i="2"/>
  <c r="K46" i="2"/>
  <c r="B46" i="2"/>
  <c r="AX45" i="2"/>
  <c r="AW45" i="2"/>
  <c r="AV45" i="2"/>
  <c r="W45" i="2"/>
  <c r="Q45" i="2"/>
  <c r="K45" i="2"/>
  <c r="B45" i="2"/>
  <c r="AX44" i="2"/>
  <c r="AW44" i="2"/>
  <c r="AV44" i="2"/>
  <c r="W44" i="2"/>
  <c r="Q44" i="2"/>
  <c r="K44" i="2"/>
  <c r="B44" i="2"/>
  <c r="AX43" i="2"/>
  <c r="AW43" i="2"/>
  <c r="AV43" i="2"/>
  <c r="W43" i="2"/>
  <c r="Q43" i="2"/>
  <c r="K43" i="2"/>
  <c r="B43" i="2"/>
  <c r="AX42" i="2"/>
  <c r="AW42" i="2"/>
  <c r="AV42" i="2"/>
  <c r="W42" i="2"/>
  <c r="Q42" i="2"/>
  <c r="K42" i="2"/>
  <c r="B42" i="2"/>
  <c r="AX41" i="2"/>
  <c r="AW41" i="2"/>
  <c r="AV41" i="2"/>
  <c r="W41" i="2"/>
  <c r="Q41" i="2"/>
  <c r="K41" i="2"/>
  <c r="B41" i="2"/>
  <c r="AX40" i="2"/>
  <c r="AW40" i="2"/>
  <c r="AV40" i="2"/>
  <c r="W40" i="2"/>
  <c r="Q40" i="2"/>
  <c r="K40" i="2"/>
  <c r="B40" i="2"/>
  <c r="AX39" i="2"/>
  <c r="AW39" i="2"/>
  <c r="AV39" i="2"/>
  <c r="W39" i="2"/>
  <c r="Q39" i="2"/>
  <c r="K39" i="2"/>
  <c r="B39" i="2"/>
  <c r="AX38" i="2"/>
  <c r="AW38" i="2"/>
  <c r="AV38" i="2"/>
  <c r="W38" i="2"/>
  <c r="Q38" i="2"/>
  <c r="K38" i="2"/>
  <c r="B38" i="2"/>
  <c r="AX37" i="2"/>
  <c r="AW37" i="2"/>
  <c r="AV37" i="2"/>
  <c r="W37" i="2"/>
  <c r="Q37" i="2"/>
  <c r="K37" i="2"/>
  <c r="B37" i="2"/>
  <c r="AX36" i="2"/>
  <c r="AW36" i="2"/>
  <c r="AV36" i="2"/>
  <c r="W36" i="2"/>
  <c r="Q36" i="2"/>
  <c r="K36" i="2"/>
  <c r="B36" i="2"/>
  <c r="AX35" i="2"/>
  <c r="AW35" i="2"/>
  <c r="AV35" i="2"/>
  <c r="W35" i="2"/>
  <c r="Q35" i="2"/>
  <c r="K35" i="2"/>
  <c r="B35" i="2"/>
  <c r="AX34" i="2"/>
  <c r="AW34" i="2"/>
  <c r="AV34" i="2"/>
  <c r="W34" i="2"/>
  <c r="Q34" i="2"/>
  <c r="K34" i="2"/>
  <c r="B34" i="2"/>
  <c r="AX33" i="2"/>
  <c r="AW33" i="2"/>
  <c r="AV33" i="2"/>
  <c r="W33" i="2"/>
  <c r="Q33" i="2"/>
  <c r="K33" i="2"/>
  <c r="B33" i="2"/>
  <c r="AX32" i="2"/>
  <c r="AW32" i="2"/>
  <c r="AV32" i="2"/>
  <c r="AG32" i="2"/>
  <c r="AF32" i="2"/>
  <c r="AE32" i="2"/>
  <c r="W32" i="2"/>
  <c r="Q32" i="2"/>
  <c r="K32" i="2"/>
  <c r="B32" i="2"/>
  <c r="AX31" i="2"/>
  <c r="AW31" i="2"/>
  <c r="AV31" i="2"/>
  <c r="AG31" i="2"/>
  <c r="AF31" i="2"/>
  <c r="AE31" i="2"/>
  <c r="W31" i="2"/>
  <c r="Q31" i="2"/>
  <c r="K31" i="2"/>
  <c r="B31" i="2"/>
  <c r="AX30" i="2"/>
  <c r="AW30" i="2"/>
  <c r="AV30" i="2"/>
  <c r="AG30" i="2"/>
  <c r="AF30" i="2"/>
  <c r="AE30" i="2"/>
  <c r="W30" i="2"/>
  <c r="Q30" i="2"/>
  <c r="K30" i="2"/>
  <c r="B30" i="2"/>
  <c r="AX29" i="2"/>
  <c r="AW29" i="2"/>
  <c r="AV29" i="2"/>
  <c r="W29" i="2"/>
  <c r="Q29" i="2"/>
  <c r="K29" i="2"/>
  <c r="B29" i="2"/>
  <c r="AX28" i="2"/>
  <c r="AW28" i="2"/>
  <c r="AV28" i="2"/>
  <c r="W28" i="2"/>
  <c r="Q28" i="2"/>
  <c r="K28" i="2"/>
  <c r="B28" i="2"/>
  <c r="AX27" i="2"/>
  <c r="AW27" i="2"/>
  <c r="AV27" i="2"/>
  <c r="W27" i="2"/>
  <c r="Q27" i="2"/>
  <c r="K27" i="2"/>
  <c r="B27" i="2"/>
  <c r="AX26" i="2"/>
  <c r="AW26" i="2"/>
  <c r="AV26" i="2"/>
  <c r="AG26" i="2"/>
  <c r="AF26" i="2"/>
  <c r="AE26" i="2"/>
  <c r="W26" i="2"/>
  <c r="Q26" i="2"/>
  <c r="K26" i="2"/>
  <c r="B26" i="2"/>
  <c r="AX25" i="2"/>
  <c r="AW25" i="2"/>
  <c r="AV25" i="2"/>
  <c r="AG25" i="2"/>
  <c r="AF25" i="2"/>
  <c r="AE25" i="2"/>
  <c r="W25" i="2"/>
  <c r="Q25" i="2"/>
  <c r="K25" i="2"/>
  <c r="B25" i="2"/>
  <c r="AX24" i="2"/>
  <c r="AW24" i="2"/>
  <c r="AV24" i="2"/>
  <c r="AG24" i="2"/>
  <c r="AF24" i="2"/>
  <c r="AE24" i="2"/>
  <c r="W24" i="2"/>
  <c r="Q24" i="2"/>
  <c r="K24" i="2"/>
  <c r="B24" i="2"/>
  <c r="AX23" i="2"/>
  <c r="AW23" i="2"/>
  <c r="AV23" i="2"/>
  <c r="W23" i="2"/>
  <c r="Q23" i="2"/>
  <c r="K23" i="2"/>
  <c r="B23" i="2"/>
  <c r="AX22" i="2"/>
  <c r="AW22" i="2"/>
  <c r="AV22" i="2"/>
  <c r="W22" i="2"/>
  <c r="Q22" i="2"/>
  <c r="K22" i="2"/>
  <c r="B22" i="2"/>
  <c r="AX21" i="2"/>
  <c r="AW21" i="2"/>
  <c r="AV21" i="2"/>
  <c r="W21" i="2"/>
  <c r="Q21" i="2"/>
  <c r="K21" i="2"/>
  <c r="B21" i="2"/>
  <c r="AX20" i="2"/>
  <c r="AW20" i="2"/>
  <c r="AV20" i="2"/>
  <c r="W20" i="2"/>
  <c r="Q20" i="2"/>
  <c r="K20" i="2"/>
  <c r="B20" i="2"/>
  <c r="AX19" i="2"/>
  <c r="AW19" i="2"/>
  <c r="AV19" i="2"/>
  <c r="W19" i="2"/>
  <c r="Q19" i="2"/>
  <c r="K19" i="2"/>
  <c r="B19" i="2"/>
  <c r="AX18" i="2"/>
  <c r="AW18" i="2"/>
  <c r="AV18" i="2"/>
  <c r="W18" i="2"/>
  <c r="Q18" i="2"/>
  <c r="K18" i="2"/>
  <c r="B18" i="2"/>
  <c r="AX17" i="2"/>
  <c r="AW17" i="2"/>
  <c r="AV17" i="2"/>
  <c r="W17" i="2"/>
  <c r="Q17" i="2"/>
  <c r="K17" i="2"/>
  <c r="B17" i="2"/>
  <c r="AX16" i="2"/>
  <c r="AW16" i="2"/>
  <c r="AV16" i="2"/>
  <c r="W16" i="2"/>
  <c r="Q16" i="2"/>
  <c r="K16" i="2"/>
  <c r="B16" i="2"/>
  <c r="AX15" i="2"/>
  <c r="AW15" i="2"/>
  <c r="AV15" i="2"/>
  <c r="AG15" i="2"/>
  <c r="AF15" i="2"/>
  <c r="AE15" i="2"/>
  <c r="W15" i="2"/>
  <c r="Q15" i="2"/>
  <c r="K15" i="2"/>
  <c r="B15" i="2"/>
  <c r="AX14" i="2"/>
  <c r="AW14" i="2"/>
  <c r="AV14" i="2"/>
  <c r="AG14" i="2"/>
  <c r="AF14" i="2"/>
  <c r="AE14" i="2"/>
  <c r="W14" i="2"/>
  <c r="Q14" i="2"/>
  <c r="K14" i="2"/>
  <c r="B14" i="2"/>
  <c r="AX13" i="2"/>
  <c r="AW13" i="2"/>
  <c r="AV13" i="2"/>
  <c r="W13" i="2"/>
  <c r="Q13" i="2"/>
  <c r="K13" i="2"/>
  <c r="B13" i="2"/>
  <c r="AX12" i="2"/>
  <c r="AW12" i="2"/>
  <c r="AV12" i="2"/>
  <c r="W12" i="2"/>
  <c r="Q12" i="2"/>
  <c r="K12" i="2"/>
  <c r="B12" i="2"/>
  <c r="W10" i="2" a="1"/>
  <c r="W10" i="2" s="1"/>
  <c r="Q10" i="2"/>
  <c r="R112" i="2" s="1"/>
  <c r="S112" i="2" s="1"/>
  <c r="K10" i="2"/>
  <c r="L112" i="2" s="1"/>
  <c r="M112" i="2" s="1"/>
  <c r="Z7" i="2"/>
  <c r="Q7" i="2"/>
  <c r="J7" i="2"/>
  <c r="Z5" i="2"/>
  <c r="S5" i="2"/>
  <c r="G5" i="2"/>
  <c r="L4" i="2"/>
  <c r="G4" i="2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F27" i="3" l="1"/>
  <c r="R34" i="3"/>
  <c r="S34" i="3" s="1"/>
  <c r="R38" i="3"/>
  <c r="S38" i="3" s="1"/>
  <c r="R42" i="3"/>
  <c r="S42" i="3" s="1"/>
  <c r="R46" i="3"/>
  <c r="S46" i="3" s="1"/>
  <c r="AF27" i="4"/>
  <c r="R15" i="3"/>
  <c r="S15" i="3" s="1"/>
  <c r="AE27" i="4"/>
  <c r="L16" i="4"/>
  <c r="M16" i="4" s="1"/>
  <c r="AE18" i="4"/>
  <c r="AE19" i="4" s="1"/>
  <c r="AE21" i="4" s="1"/>
  <c r="X13" i="4"/>
  <c r="Y13" i="4" s="1"/>
  <c r="AG27" i="4"/>
  <c r="X14" i="4"/>
  <c r="Y14" i="4" s="1"/>
  <c r="X17" i="4"/>
  <c r="Y17" i="4" s="1"/>
  <c r="R14" i="4"/>
  <c r="S14" i="4" s="1"/>
  <c r="R15" i="4"/>
  <c r="S15" i="4" s="1"/>
  <c r="R31" i="4"/>
  <c r="S31" i="4" s="1"/>
  <c r="R13" i="4"/>
  <c r="S13" i="4" s="1"/>
  <c r="R20" i="4"/>
  <c r="S20" i="4" s="1"/>
  <c r="R21" i="4"/>
  <c r="S21" i="4" s="1"/>
  <c r="R27" i="4"/>
  <c r="S27" i="4" s="1"/>
  <c r="R12" i="4"/>
  <c r="S12" i="4" s="1"/>
  <c r="R26" i="4"/>
  <c r="S26" i="4" s="1"/>
  <c r="R32" i="4"/>
  <c r="S32" i="4" s="1"/>
  <c r="R16" i="4"/>
  <c r="S16" i="4" s="1"/>
  <c r="L15" i="4"/>
  <c r="M15" i="4" s="1"/>
  <c r="L14" i="4"/>
  <c r="M14" i="4" s="1"/>
  <c r="L17" i="4"/>
  <c r="M17" i="4" s="1"/>
  <c r="L21" i="4"/>
  <c r="M21" i="4" s="1"/>
  <c r="L23" i="4"/>
  <c r="M23" i="4" s="1"/>
  <c r="L34" i="4"/>
  <c r="M34" i="4" s="1"/>
  <c r="L38" i="4"/>
  <c r="M38" i="4" s="1"/>
  <c r="L42" i="4"/>
  <c r="M42" i="4" s="1"/>
  <c r="L46" i="4"/>
  <c r="M46" i="4" s="1"/>
  <c r="L27" i="4"/>
  <c r="M27" i="4" s="1"/>
  <c r="L33" i="4"/>
  <c r="M33" i="4" s="1"/>
  <c r="L37" i="4"/>
  <c r="M37" i="4" s="1"/>
  <c r="L41" i="4"/>
  <c r="M41" i="4" s="1"/>
  <c r="L45" i="4"/>
  <c r="M45" i="4" s="1"/>
  <c r="R94" i="3"/>
  <c r="S94" i="3" s="1"/>
  <c r="L26" i="3"/>
  <c r="M26" i="3" s="1"/>
  <c r="AG27" i="3"/>
  <c r="AF18" i="3"/>
  <c r="AF19" i="3" s="1"/>
  <c r="AF21" i="3" s="1"/>
  <c r="AE18" i="3"/>
  <c r="AE19" i="3" s="1"/>
  <c r="AE21" i="3" s="1"/>
  <c r="AE27" i="3"/>
  <c r="X27" i="3"/>
  <c r="Y27" i="3" s="1"/>
  <c r="R22" i="3"/>
  <c r="S22" i="3" s="1"/>
  <c r="R21" i="3"/>
  <c r="S21" i="3" s="1"/>
  <c r="R31" i="3"/>
  <c r="S31" i="3" s="1"/>
  <c r="R33" i="3"/>
  <c r="S33" i="3" s="1"/>
  <c r="R37" i="3"/>
  <c r="S37" i="3" s="1"/>
  <c r="R41" i="3"/>
  <c r="S41" i="3" s="1"/>
  <c r="R45" i="3"/>
  <c r="S45" i="3" s="1"/>
  <c r="R65" i="3"/>
  <c r="S65" i="3" s="1"/>
  <c r="R69" i="3"/>
  <c r="S69" i="3" s="1"/>
  <c r="R73" i="3"/>
  <c r="S73" i="3" s="1"/>
  <c r="R77" i="3"/>
  <c r="S77" i="3" s="1"/>
  <c r="R81" i="3"/>
  <c r="S81" i="3" s="1"/>
  <c r="R85" i="3"/>
  <c r="S85" i="3" s="1"/>
  <c r="R89" i="3"/>
  <c r="S89" i="3" s="1"/>
  <c r="R93" i="3"/>
  <c r="S93" i="3" s="1"/>
  <c r="R18" i="3"/>
  <c r="S18" i="3" s="1"/>
  <c r="R19" i="3"/>
  <c r="S19" i="3" s="1"/>
  <c r="R25" i="3"/>
  <c r="S25" i="3" s="1"/>
  <c r="R30" i="3"/>
  <c r="S30" i="3" s="1"/>
  <c r="R36" i="3"/>
  <c r="S36" i="3" s="1"/>
  <c r="R40" i="3"/>
  <c r="S40" i="3" s="1"/>
  <c r="R44" i="3"/>
  <c r="S44" i="3" s="1"/>
  <c r="R48" i="3"/>
  <c r="S48" i="3" s="1"/>
  <c r="R64" i="3"/>
  <c r="S64" i="3" s="1"/>
  <c r="R68" i="3"/>
  <c r="S68" i="3" s="1"/>
  <c r="R72" i="3"/>
  <c r="S72" i="3" s="1"/>
  <c r="R76" i="3"/>
  <c r="S76" i="3" s="1"/>
  <c r="R80" i="3"/>
  <c r="S80" i="3" s="1"/>
  <c r="R84" i="3"/>
  <c r="S84" i="3" s="1"/>
  <c r="R88" i="3"/>
  <c r="S88" i="3" s="1"/>
  <c r="R92" i="3"/>
  <c r="S92" i="3" s="1"/>
  <c r="R16" i="3"/>
  <c r="S16" i="3" s="1"/>
  <c r="R17" i="3"/>
  <c r="S17" i="3" s="1"/>
  <c r="R23" i="3"/>
  <c r="S23" i="3" s="1"/>
  <c r="R24" i="3"/>
  <c r="S24" i="3" s="1"/>
  <c r="R27" i="3"/>
  <c r="S27" i="3" s="1"/>
  <c r="R28" i="3"/>
  <c r="S28" i="3" s="1"/>
  <c r="R29" i="3"/>
  <c r="S29" i="3" s="1"/>
  <c r="R35" i="3"/>
  <c r="S35" i="3" s="1"/>
  <c r="R39" i="3"/>
  <c r="S39" i="3" s="1"/>
  <c r="R43" i="3"/>
  <c r="S43" i="3" s="1"/>
  <c r="R47" i="3"/>
  <c r="S47" i="3" s="1"/>
  <c r="L19" i="3"/>
  <c r="M19" i="3" s="1"/>
  <c r="L23" i="3"/>
  <c r="M23" i="3" s="1"/>
  <c r="L28" i="3"/>
  <c r="M28" i="3" s="1"/>
  <c r="L29" i="3"/>
  <c r="M29" i="3" s="1"/>
  <c r="L30" i="3"/>
  <c r="M30" i="3" s="1"/>
  <c r="L16" i="3"/>
  <c r="M16" i="3" s="1"/>
  <c r="L17" i="3"/>
  <c r="M17" i="3" s="1"/>
  <c r="L18" i="3"/>
  <c r="M18" i="3" s="1"/>
  <c r="L22" i="3"/>
  <c r="M22" i="3" s="1"/>
  <c r="L15" i="3"/>
  <c r="M15" i="3" s="1"/>
  <c r="L20" i="3"/>
  <c r="M20" i="3" s="1"/>
  <c r="L25" i="3"/>
  <c r="M25" i="3" s="1"/>
  <c r="L31" i="3"/>
  <c r="M31" i="3" s="1"/>
  <c r="L32" i="3"/>
  <c r="M32" i="3" s="1"/>
  <c r="L12" i="3"/>
  <c r="M12" i="3" s="1"/>
  <c r="L13" i="3"/>
  <c r="M13" i="3" s="1"/>
  <c r="L14" i="3"/>
  <c r="M14" i="3" s="1"/>
  <c r="L24" i="3"/>
  <c r="M24" i="3" s="1"/>
  <c r="AE18" i="2"/>
  <c r="AE19" i="2" s="1"/>
  <c r="AE21" i="2" s="1"/>
  <c r="AG27" i="2"/>
  <c r="X17" i="2"/>
  <c r="Y17" i="2" s="1"/>
  <c r="AF27" i="2"/>
  <c r="X19" i="2"/>
  <c r="Y19" i="2" s="1"/>
  <c r="AE27" i="2"/>
  <c r="X25" i="2"/>
  <c r="Y25" i="2" s="1"/>
  <c r="X27" i="2"/>
  <c r="Y27" i="2" s="1"/>
  <c r="X35" i="2"/>
  <c r="Y35" i="2" s="1"/>
  <c r="X39" i="2"/>
  <c r="Y39" i="2" s="1"/>
  <c r="X34" i="2"/>
  <c r="Y34" i="2" s="1"/>
  <c r="X38" i="2"/>
  <c r="Y38" i="2" s="1"/>
  <c r="R17" i="2"/>
  <c r="S17" i="2" s="1"/>
  <c r="R18" i="2"/>
  <c r="S18" i="2" s="1"/>
  <c r="R19" i="2"/>
  <c r="S19" i="2" s="1"/>
  <c r="R20" i="2"/>
  <c r="S20" i="2" s="1"/>
  <c r="R30" i="2"/>
  <c r="S30" i="2" s="1"/>
  <c r="R36" i="2"/>
  <c r="S36" i="2" s="1"/>
  <c r="R40" i="2"/>
  <c r="S40" i="2" s="1"/>
  <c r="R44" i="2"/>
  <c r="S44" i="2" s="1"/>
  <c r="R48" i="2"/>
  <c r="S48" i="2" s="1"/>
  <c r="R52" i="2"/>
  <c r="S52" i="2" s="1"/>
  <c r="R56" i="2"/>
  <c r="S56" i="2" s="1"/>
  <c r="R60" i="2"/>
  <c r="S60" i="2" s="1"/>
  <c r="R64" i="2"/>
  <c r="S64" i="2" s="1"/>
  <c r="R16" i="2"/>
  <c r="S16" i="2" s="1"/>
  <c r="R25" i="2"/>
  <c r="S25" i="2" s="1"/>
  <c r="R29" i="2"/>
  <c r="S29" i="2" s="1"/>
  <c r="R35" i="2"/>
  <c r="S35" i="2" s="1"/>
  <c r="R39" i="2"/>
  <c r="S39" i="2" s="1"/>
  <c r="R43" i="2"/>
  <c r="S43" i="2" s="1"/>
  <c r="R47" i="2"/>
  <c r="S47" i="2" s="1"/>
  <c r="R51" i="2"/>
  <c r="S51" i="2" s="1"/>
  <c r="R55" i="2"/>
  <c r="S55" i="2" s="1"/>
  <c r="R59" i="2"/>
  <c r="S59" i="2" s="1"/>
  <c r="R63" i="2"/>
  <c r="S63" i="2" s="1"/>
  <c r="R15" i="2"/>
  <c r="S15" i="2" s="1"/>
  <c r="R22" i="2"/>
  <c r="S22" i="2" s="1"/>
  <c r="R23" i="2"/>
  <c r="S23" i="2" s="1"/>
  <c r="R24" i="2"/>
  <c r="S24" i="2" s="1"/>
  <c r="R27" i="2"/>
  <c r="S27" i="2" s="1"/>
  <c r="R28" i="2"/>
  <c r="S28" i="2" s="1"/>
  <c r="R34" i="2"/>
  <c r="S34" i="2" s="1"/>
  <c r="R38" i="2"/>
  <c r="S38" i="2" s="1"/>
  <c r="R42" i="2"/>
  <c r="S42" i="2" s="1"/>
  <c r="R46" i="2"/>
  <c r="S46" i="2" s="1"/>
  <c r="R50" i="2"/>
  <c r="S50" i="2" s="1"/>
  <c r="R54" i="2"/>
  <c r="S54" i="2" s="1"/>
  <c r="R58" i="2"/>
  <c r="S58" i="2" s="1"/>
  <c r="R12" i="2"/>
  <c r="S12" i="2" s="1"/>
  <c r="R13" i="2"/>
  <c r="S13" i="2" s="1"/>
  <c r="R14" i="2"/>
  <c r="S14" i="2" s="1"/>
  <c r="R21" i="2"/>
  <c r="S21" i="2" s="1"/>
  <c r="R31" i="2"/>
  <c r="S31" i="2" s="1"/>
  <c r="R33" i="2"/>
  <c r="S33" i="2" s="1"/>
  <c r="R37" i="2"/>
  <c r="S37" i="2" s="1"/>
  <c r="R41" i="2"/>
  <c r="S41" i="2" s="1"/>
  <c r="R45" i="2"/>
  <c r="S45" i="2" s="1"/>
  <c r="R49" i="2"/>
  <c r="S49" i="2" s="1"/>
  <c r="R53" i="2"/>
  <c r="S53" i="2" s="1"/>
  <c r="R57" i="2"/>
  <c r="S57" i="2" s="1"/>
  <c r="R61" i="2"/>
  <c r="S61" i="2" s="1"/>
  <c r="L13" i="2"/>
  <c r="M13" i="2" s="1"/>
  <c r="L15" i="2"/>
  <c r="M15" i="2" s="1"/>
  <c r="L23" i="2"/>
  <c r="M23" i="2" s="1"/>
  <c r="L24" i="2"/>
  <c r="M24" i="2" s="1"/>
  <c r="L25" i="2"/>
  <c r="M25" i="2" s="1"/>
  <c r="Z25" i="2" s="1"/>
  <c r="AA25" i="2" s="1"/>
  <c r="F26" i="5" s="1"/>
  <c r="L31" i="2"/>
  <c r="M31" i="2" s="1"/>
  <c r="L32" i="2"/>
  <c r="M32" i="2" s="1"/>
  <c r="L51" i="2"/>
  <c r="M51" i="2" s="1"/>
  <c r="L55" i="2"/>
  <c r="M55" i="2" s="1"/>
  <c r="L59" i="2"/>
  <c r="M59" i="2" s="1"/>
  <c r="L63" i="2"/>
  <c r="M63" i="2" s="1"/>
  <c r="L67" i="2"/>
  <c r="M67" i="2" s="1"/>
  <c r="L71" i="2"/>
  <c r="M71" i="2" s="1"/>
  <c r="L75" i="2"/>
  <c r="M75" i="2" s="1"/>
  <c r="L79" i="2"/>
  <c r="M79" i="2" s="1"/>
  <c r="L83" i="2"/>
  <c r="M83" i="2" s="1"/>
  <c r="L87" i="2"/>
  <c r="M87" i="2" s="1"/>
  <c r="L91" i="2"/>
  <c r="M91" i="2" s="1"/>
  <c r="L95" i="2"/>
  <c r="M95" i="2" s="1"/>
  <c r="L99" i="2"/>
  <c r="M99" i="2" s="1"/>
  <c r="L103" i="2"/>
  <c r="M103" i="2" s="1"/>
  <c r="L14" i="2"/>
  <c r="M14" i="2" s="1"/>
  <c r="L20" i="2"/>
  <c r="M20" i="2" s="1"/>
  <c r="L21" i="2"/>
  <c r="M21" i="2" s="1"/>
  <c r="L22" i="2"/>
  <c r="M22" i="2" s="1"/>
  <c r="L26" i="2"/>
  <c r="M26" i="2" s="1"/>
  <c r="L50" i="2"/>
  <c r="M50" i="2" s="1"/>
  <c r="L54" i="2"/>
  <c r="M54" i="2" s="1"/>
  <c r="L58" i="2"/>
  <c r="M58" i="2" s="1"/>
  <c r="L66" i="2"/>
  <c r="M66" i="2" s="1"/>
  <c r="L70" i="2"/>
  <c r="M70" i="2" s="1"/>
  <c r="L74" i="2"/>
  <c r="M74" i="2" s="1"/>
  <c r="L78" i="2"/>
  <c r="M78" i="2" s="1"/>
  <c r="L82" i="2"/>
  <c r="M82" i="2" s="1"/>
  <c r="L86" i="2"/>
  <c r="M86" i="2" s="1"/>
  <c r="L90" i="2"/>
  <c r="M90" i="2" s="1"/>
  <c r="L94" i="2"/>
  <c r="M94" i="2" s="1"/>
  <c r="L98" i="2"/>
  <c r="M98" i="2" s="1"/>
  <c r="L102" i="2"/>
  <c r="M102" i="2" s="1"/>
  <c r="L106" i="2"/>
  <c r="M106" i="2" s="1"/>
  <c r="L110" i="2"/>
  <c r="M110" i="2" s="1"/>
  <c r="L30" i="2"/>
  <c r="M30" i="2" s="1"/>
  <c r="L49" i="2"/>
  <c r="M49" i="2" s="1"/>
  <c r="L53" i="2"/>
  <c r="M53" i="2" s="1"/>
  <c r="L57" i="2"/>
  <c r="M57" i="2" s="1"/>
  <c r="L61" i="2"/>
  <c r="M61" i="2" s="1"/>
  <c r="L65" i="2"/>
  <c r="M65" i="2" s="1"/>
  <c r="L69" i="2"/>
  <c r="M69" i="2" s="1"/>
  <c r="L73" i="2"/>
  <c r="M73" i="2" s="1"/>
  <c r="L77" i="2"/>
  <c r="M77" i="2" s="1"/>
  <c r="L81" i="2"/>
  <c r="M81" i="2" s="1"/>
  <c r="L85" i="2"/>
  <c r="M85" i="2" s="1"/>
  <c r="L89" i="2"/>
  <c r="M89" i="2" s="1"/>
  <c r="L93" i="2"/>
  <c r="M93" i="2" s="1"/>
  <c r="L97" i="2"/>
  <c r="M97" i="2" s="1"/>
  <c r="L101" i="2"/>
  <c r="M101" i="2" s="1"/>
  <c r="L12" i="2"/>
  <c r="M12" i="2" s="1"/>
  <c r="L16" i="2"/>
  <c r="M16" i="2" s="1"/>
  <c r="L17" i="2"/>
  <c r="M17" i="2" s="1"/>
  <c r="Z17" i="2" s="1"/>
  <c r="AA17" i="2" s="1"/>
  <c r="L18" i="2"/>
  <c r="M18" i="2" s="1"/>
  <c r="L19" i="2"/>
  <c r="M19" i="2" s="1"/>
  <c r="L28" i="2"/>
  <c r="M28" i="2" s="1"/>
  <c r="L29" i="2"/>
  <c r="M29" i="2" s="1"/>
  <c r="L48" i="2"/>
  <c r="M48" i="2" s="1"/>
  <c r="L52" i="2"/>
  <c r="M52" i="2" s="1"/>
  <c r="L56" i="2"/>
  <c r="M56" i="2" s="1"/>
  <c r="L60" i="2"/>
  <c r="M60" i="2" s="1"/>
  <c r="L64" i="2"/>
  <c r="M64" i="2" s="1"/>
  <c r="L68" i="2"/>
  <c r="M68" i="2" s="1"/>
  <c r="L72" i="2"/>
  <c r="M72" i="2" s="1"/>
  <c r="L76" i="2"/>
  <c r="M76" i="2" s="1"/>
  <c r="L80" i="2"/>
  <c r="M80" i="2" s="1"/>
  <c r="L84" i="2"/>
  <c r="M84" i="2" s="1"/>
  <c r="L88" i="2"/>
  <c r="M88" i="2" s="1"/>
  <c r="L92" i="2"/>
  <c r="M92" i="2" s="1"/>
  <c r="L96" i="2"/>
  <c r="M96" i="2" s="1"/>
  <c r="L100" i="2"/>
  <c r="M100" i="2" s="1"/>
  <c r="L104" i="2"/>
  <c r="M104" i="2" s="1"/>
  <c r="L108" i="2"/>
  <c r="M108" i="2" s="1"/>
  <c r="X58" i="2"/>
  <c r="Y58" i="2" s="1"/>
  <c r="X57" i="2"/>
  <c r="Y57" i="2" s="1"/>
  <c r="X56" i="2"/>
  <c r="Y56" i="2" s="1"/>
  <c r="Z56" i="2" s="1"/>
  <c r="AA56" i="2" s="1"/>
  <c r="X55" i="2"/>
  <c r="Y55" i="2" s="1"/>
  <c r="X54" i="2"/>
  <c r="Y54" i="2" s="1"/>
  <c r="Z54" i="2" s="1"/>
  <c r="AA54" i="2" s="1"/>
  <c r="X53" i="2"/>
  <c r="Y53" i="2" s="1"/>
  <c r="X52" i="2"/>
  <c r="Y52" i="2" s="1"/>
  <c r="X51" i="2"/>
  <c r="Y51" i="2" s="1"/>
  <c r="Z51" i="2" s="1"/>
  <c r="AA51" i="2" s="1"/>
  <c r="X50" i="2"/>
  <c r="Y50" i="2" s="1"/>
  <c r="X49" i="2"/>
  <c r="Y49" i="2" s="1"/>
  <c r="X48" i="2"/>
  <c r="Y48" i="2" s="1"/>
  <c r="X47" i="2"/>
  <c r="Y47" i="2" s="1"/>
  <c r="X46" i="2"/>
  <c r="Y46" i="2" s="1"/>
  <c r="X45" i="2"/>
  <c r="Y45" i="2" s="1"/>
  <c r="X103" i="2"/>
  <c r="Y103" i="2" s="1"/>
  <c r="X102" i="2"/>
  <c r="Y102" i="2" s="1"/>
  <c r="X101" i="2"/>
  <c r="Y101" i="2" s="1"/>
  <c r="X100" i="2"/>
  <c r="Y100" i="2" s="1"/>
  <c r="X99" i="2"/>
  <c r="Y99" i="2" s="1"/>
  <c r="X98" i="2"/>
  <c r="Y98" i="2" s="1"/>
  <c r="X97" i="2"/>
  <c r="Y97" i="2" s="1"/>
  <c r="X96" i="2"/>
  <c r="Y96" i="2" s="1"/>
  <c r="X95" i="2"/>
  <c r="Y95" i="2" s="1"/>
  <c r="X94" i="2"/>
  <c r="Y94" i="2" s="1"/>
  <c r="X93" i="2"/>
  <c r="Y93" i="2" s="1"/>
  <c r="X92" i="2"/>
  <c r="Y92" i="2" s="1"/>
  <c r="X91" i="2"/>
  <c r="Y91" i="2" s="1"/>
  <c r="X90" i="2"/>
  <c r="Y90" i="2" s="1"/>
  <c r="X89" i="2"/>
  <c r="Y89" i="2" s="1"/>
  <c r="X88" i="2"/>
  <c r="Y88" i="2" s="1"/>
  <c r="X87" i="2"/>
  <c r="Y87" i="2" s="1"/>
  <c r="X86" i="2"/>
  <c r="Y86" i="2" s="1"/>
  <c r="X85" i="2"/>
  <c r="Y85" i="2" s="1"/>
  <c r="X84" i="2"/>
  <c r="Y84" i="2" s="1"/>
  <c r="X83" i="2"/>
  <c r="Y83" i="2" s="1"/>
  <c r="X82" i="2"/>
  <c r="Y82" i="2" s="1"/>
  <c r="X81" i="2"/>
  <c r="Y81" i="2" s="1"/>
  <c r="X80" i="2"/>
  <c r="Y80" i="2" s="1"/>
  <c r="X79" i="2"/>
  <c r="Y79" i="2" s="1"/>
  <c r="X78" i="2"/>
  <c r="Y78" i="2" s="1"/>
  <c r="X77" i="2"/>
  <c r="Y77" i="2" s="1"/>
  <c r="X76" i="2"/>
  <c r="Y76" i="2" s="1"/>
  <c r="X75" i="2"/>
  <c r="Y75" i="2" s="1"/>
  <c r="X74" i="2"/>
  <c r="Y74" i="2" s="1"/>
  <c r="X73" i="2"/>
  <c r="Y73" i="2" s="1"/>
  <c r="X72" i="2"/>
  <c r="Y72" i="2" s="1"/>
  <c r="X71" i="2"/>
  <c r="Y71" i="2" s="1"/>
  <c r="X70" i="2"/>
  <c r="Y70" i="2" s="1"/>
  <c r="X69" i="2"/>
  <c r="Y69" i="2" s="1"/>
  <c r="X68" i="2"/>
  <c r="Y68" i="2" s="1"/>
  <c r="X67" i="2"/>
  <c r="Y67" i="2" s="1"/>
  <c r="X66" i="2"/>
  <c r="Y66" i="2" s="1"/>
  <c r="X65" i="2"/>
  <c r="Y65" i="2" s="1"/>
  <c r="X64" i="2"/>
  <c r="Y64" i="2" s="1"/>
  <c r="X63" i="2"/>
  <c r="Y63" i="2" s="1"/>
  <c r="X12" i="2"/>
  <c r="Y12" i="2" s="1"/>
  <c r="AG18" i="2"/>
  <c r="AG19" i="2" s="1"/>
  <c r="AG21" i="2" s="1"/>
  <c r="X20" i="2"/>
  <c r="Y20" i="2" s="1"/>
  <c r="X23" i="2"/>
  <c r="Y23" i="2" s="1"/>
  <c r="X31" i="2"/>
  <c r="Y31" i="2" s="1"/>
  <c r="Z31" i="2" s="1"/>
  <c r="AA31" i="2" s="1"/>
  <c r="X40" i="2"/>
  <c r="Y40" i="2" s="1"/>
  <c r="X44" i="2"/>
  <c r="Y44" i="2" s="1"/>
  <c r="X61" i="2"/>
  <c r="Y61" i="2" s="1"/>
  <c r="Z61" i="2" s="1"/>
  <c r="AA61" i="2" s="1"/>
  <c r="AF18" i="2"/>
  <c r="AF19" i="2" s="1"/>
  <c r="AF21" i="2" s="1"/>
  <c r="X13" i="2"/>
  <c r="Y13" i="2" s="1"/>
  <c r="X14" i="2"/>
  <c r="Y14" i="2" s="1"/>
  <c r="X16" i="2"/>
  <c r="Y16" i="2" s="1"/>
  <c r="X15" i="2"/>
  <c r="Y15" i="2" s="1"/>
  <c r="X18" i="2"/>
  <c r="Y18" i="2" s="1"/>
  <c r="X21" i="2"/>
  <c r="Y21" i="2" s="1"/>
  <c r="X22" i="2"/>
  <c r="Y22" i="2" s="1"/>
  <c r="X26" i="2"/>
  <c r="Y26" i="2" s="1"/>
  <c r="X30" i="2"/>
  <c r="Y30" i="2" s="1"/>
  <c r="X33" i="2"/>
  <c r="Y33" i="2" s="1"/>
  <c r="X37" i="2"/>
  <c r="Y37" i="2" s="1"/>
  <c r="X41" i="2"/>
  <c r="Y41" i="2" s="1"/>
  <c r="X60" i="2"/>
  <c r="Y60" i="2" s="1"/>
  <c r="X29" i="2"/>
  <c r="Y29" i="2" s="1"/>
  <c r="X36" i="2"/>
  <c r="Y36" i="2" s="1"/>
  <c r="X42" i="2"/>
  <c r="Y42" i="2" s="1"/>
  <c r="X59" i="2"/>
  <c r="Y59" i="2" s="1"/>
  <c r="Z59" i="2" s="1"/>
  <c r="AA59" i="2" s="1"/>
  <c r="X24" i="2"/>
  <c r="Y24" i="2" s="1"/>
  <c r="X28" i="2"/>
  <c r="Y28" i="2" s="1"/>
  <c r="Z28" i="2" s="1"/>
  <c r="AA28" i="2" s="1"/>
  <c r="X32" i="2"/>
  <c r="Y32" i="2" s="1"/>
  <c r="X43" i="2"/>
  <c r="Y43" i="2" s="1"/>
  <c r="Z48" i="2"/>
  <c r="AA48" i="2" s="1"/>
  <c r="AG18" i="3"/>
  <c r="AG19" i="3" s="1"/>
  <c r="AG21" i="3" s="1"/>
  <c r="X16" i="3"/>
  <c r="Y16" i="3" s="1"/>
  <c r="X24" i="3"/>
  <c r="Y24" i="3" s="1"/>
  <c r="X28" i="3"/>
  <c r="Y28" i="3" s="1"/>
  <c r="X35" i="3"/>
  <c r="Y35" i="3" s="1"/>
  <c r="X39" i="3"/>
  <c r="Y39" i="3" s="1"/>
  <c r="X43" i="3"/>
  <c r="Y43" i="3" s="1"/>
  <c r="X47" i="3"/>
  <c r="Y47" i="3" s="1"/>
  <c r="X55" i="3"/>
  <c r="Y55" i="3" s="1"/>
  <c r="X59" i="3"/>
  <c r="Y59" i="3" s="1"/>
  <c r="R26" i="2"/>
  <c r="S26" i="2" s="1"/>
  <c r="L27" i="2"/>
  <c r="M27" i="2" s="1"/>
  <c r="Z27" i="2" s="1"/>
  <c r="AA27" i="2" s="1"/>
  <c r="R32" i="2"/>
  <c r="S32" i="2" s="1"/>
  <c r="L33" i="2"/>
  <c r="M33" i="2" s="1"/>
  <c r="L34" i="2"/>
  <c r="M34" i="2" s="1"/>
  <c r="Z34" i="2" s="1"/>
  <c r="AA34" i="2" s="1"/>
  <c r="L35" i="2"/>
  <c r="M35" i="2" s="1"/>
  <c r="L36" i="2"/>
  <c r="M36" i="2" s="1"/>
  <c r="L37" i="2"/>
  <c r="M37" i="2" s="1"/>
  <c r="L38" i="2"/>
  <c r="M38" i="2" s="1"/>
  <c r="L39" i="2"/>
  <c r="M39" i="2" s="1"/>
  <c r="Z39" i="2" s="1"/>
  <c r="AA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Z45" i="2" s="1"/>
  <c r="AA45" i="2" s="1"/>
  <c r="L46" i="2"/>
  <c r="M46" i="2" s="1"/>
  <c r="L47" i="2"/>
  <c r="M47" i="2" s="1"/>
  <c r="X104" i="2"/>
  <c r="Y104" i="2" s="1"/>
  <c r="R105" i="2"/>
  <c r="S105" i="2" s="1"/>
  <c r="X106" i="2"/>
  <c r="Y106" i="2" s="1"/>
  <c r="R107" i="2"/>
  <c r="S107" i="2" s="1"/>
  <c r="X108" i="2"/>
  <c r="Y108" i="2" s="1"/>
  <c r="R109" i="2"/>
  <c r="S109" i="2" s="1"/>
  <c r="X110" i="2"/>
  <c r="Y110" i="2" s="1"/>
  <c r="R111" i="2"/>
  <c r="S111" i="2" s="1"/>
  <c r="X20" i="3"/>
  <c r="Y20" i="3" s="1"/>
  <c r="X23" i="3"/>
  <c r="Y23" i="3" s="1"/>
  <c r="X30" i="3"/>
  <c r="Y30" i="3" s="1"/>
  <c r="Z30" i="3" s="1"/>
  <c r="AA30" i="3" s="1"/>
  <c r="X34" i="3"/>
  <c r="Y34" i="3" s="1"/>
  <c r="X38" i="3"/>
  <c r="Y38" i="3" s="1"/>
  <c r="X42" i="3"/>
  <c r="Y42" i="3" s="1"/>
  <c r="X46" i="3"/>
  <c r="Y46" i="3" s="1"/>
  <c r="X50" i="3"/>
  <c r="Y50" i="3" s="1"/>
  <c r="X54" i="3"/>
  <c r="Y54" i="3" s="1"/>
  <c r="X58" i="3"/>
  <c r="Y58" i="3" s="1"/>
  <c r="L105" i="2"/>
  <c r="M105" i="2" s="1"/>
  <c r="L107" i="2"/>
  <c r="M107" i="2" s="1"/>
  <c r="L109" i="2"/>
  <c r="M109" i="2" s="1"/>
  <c r="L111" i="2"/>
  <c r="M111" i="2" s="1"/>
  <c r="X15" i="3"/>
  <c r="Y15" i="3" s="1"/>
  <c r="X18" i="3"/>
  <c r="Y18" i="3" s="1"/>
  <c r="X21" i="3"/>
  <c r="Y21" i="3" s="1"/>
  <c r="Z22" i="3"/>
  <c r="AA22" i="3" s="1"/>
  <c r="X26" i="3"/>
  <c r="Y26" i="3" s="1"/>
  <c r="X32" i="3"/>
  <c r="Y32" i="3" s="1"/>
  <c r="X33" i="3"/>
  <c r="Y33" i="3" s="1"/>
  <c r="X37" i="3"/>
  <c r="Y37" i="3" s="1"/>
  <c r="X41" i="3"/>
  <c r="Y41" i="3" s="1"/>
  <c r="X45" i="3"/>
  <c r="Y45" i="3" s="1"/>
  <c r="R65" i="2"/>
  <c r="S65" i="2" s="1"/>
  <c r="R66" i="2"/>
  <c r="S66" i="2" s="1"/>
  <c r="Z66" i="2" s="1"/>
  <c r="AA66" i="2" s="1"/>
  <c r="R67" i="2"/>
  <c r="S67" i="2" s="1"/>
  <c r="Z67" i="2" s="1"/>
  <c r="AA67" i="2" s="1"/>
  <c r="R68" i="2"/>
  <c r="S68" i="2" s="1"/>
  <c r="R69" i="2"/>
  <c r="S69" i="2" s="1"/>
  <c r="R70" i="2"/>
  <c r="S70" i="2" s="1"/>
  <c r="R71" i="2"/>
  <c r="S71" i="2" s="1"/>
  <c r="Z71" i="2" s="1"/>
  <c r="AA71" i="2" s="1"/>
  <c r="R72" i="2"/>
  <c r="S72" i="2" s="1"/>
  <c r="R73" i="2"/>
  <c r="S73" i="2" s="1"/>
  <c r="Z73" i="2" s="1"/>
  <c r="AA73" i="2" s="1"/>
  <c r="R74" i="2"/>
  <c r="S74" i="2" s="1"/>
  <c r="Z74" i="2" s="1"/>
  <c r="AA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Z83" i="2" s="1"/>
  <c r="AA83" i="2" s="1"/>
  <c r="R84" i="2"/>
  <c r="S84" i="2" s="1"/>
  <c r="R85" i="2"/>
  <c r="S85" i="2" s="1"/>
  <c r="Z85" i="2" s="1"/>
  <c r="AA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Z91" i="2" s="1"/>
  <c r="AA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Z99" i="2" s="1"/>
  <c r="AA99" i="2" s="1"/>
  <c r="R100" i="2"/>
  <c r="S100" i="2" s="1"/>
  <c r="R101" i="2"/>
  <c r="S101" i="2" s="1"/>
  <c r="Z101" i="2" s="1"/>
  <c r="AA101" i="2" s="1"/>
  <c r="R102" i="2"/>
  <c r="S102" i="2" s="1"/>
  <c r="R103" i="2"/>
  <c r="S103" i="2" s="1"/>
  <c r="Z103" i="2" s="1"/>
  <c r="AA103" i="2" s="1"/>
  <c r="R104" i="2"/>
  <c r="S104" i="2" s="1"/>
  <c r="X105" i="2"/>
  <c r="Y105" i="2" s="1"/>
  <c r="R106" i="2"/>
  <c r="S106" i="2" s="1"/>
  <c r="X107" i="2"/>
  <c r="Y107" i="2" s="1"/>
  <c r="R108" i="2"/>
  <c r="S108" i="2" s="1"/>
  <c r="X109" i="2"/>
  <c r="Y109" i="2" s="1"/>
  <c r="R110" i="2"/>
  <c r="S110" i="2" s="1"/>
  <c r="X111" i="2"/>
  <c r="Y111" i="2" s="1"/>
  <c r="X112" i="2"/>
  <c r="Y112" i="2" s="1"/>
  <c r="Z112" i="2" s="1"/>
  <c r="AA112" i="2" s="1"/>
  <c r="X98" i="3"/>
  <c r="Y98" i="3" s="1"/>
  <c r="X95" i="3"/>
  <c r="Y95" i="3" s="1"/>
  <c r="X91" i="3"/>
  <c r="Y91" i="3" s="1"/>
  <c r="X87" i="3"/>
  <c r="Y87" i="3" s="1"/>
  <c r="X83" i="3"/>
  <c r="Y83" i="3" s="1"/>
  <c r="X79" i="3"/>
  <c r="Y79" i="3" s="1"/>
  <c r="X75" i="3"/>
  <c r="Y75" i="3" s="1"/>
  <c r="X71" i="3"/>
  <c r="Y71" i="3" s="1"/>
  <c r="X67" i="3"/>
  <c r="Y67" i="3" s="1"/>
  <c r="X63" i="3"/>
  <c r="Y63" i="3" s="1"/>
  <c r="X109" i="3"/>
  <c r="Y109" i="3" s="1"/>
  <c r="X105" i="3"/>
  <c r="Y105" i="3" s="1"/>
  <c r="X101" i="3"/>
  <c r="Y101" i="3" s="1"/>
  <c r="X97" i="3"/>
  <c r="Y97" i="3" s="1"/>
  <c r="X92" i="3"/>
  <c r="Y92" i="3" s="1"/>
  <c r="X88" i="3"/>
  <c r="Y88" i="3" s="1"/>
  <c r="X84" i="3"/>
  <c r="Y84" i="3" s="1"/>
  <c r="X80" i="3"/>
  <c r="Y80" i="3" s="1"/>
  <c r="X76" i="3"/>
  <c r="Y76" i="3" s="1"/>
  <c r="X72" i="3"/>
  <c r="Y72" i="3" s="1"/>
  <c r="X68" i="3"/>
  <c r="Y68" i="3" s="1"/>
  <c r="X64" i="3"/>
  <c r="Y64" i="3" s="1"/>
  <c r="X60" i="3"/>
  <c r="Y60" i="3" s="1"/>
  <c r="X56" i="3"/>
  <c r="Y56" i="3" s="1"/>
  <c r="X53" i="3"/>
  <c r="Y53" i="3" s="1"/>
  <c r="X51" i="3"/>
  <c r="Y51" i="3" s="1"/>
  <c r="X49" i="3"/>
  <c r="Y49" i="3" s="1"/>
  <c r="X96" i="3"/>
  <c r="Y96" i="3" s="1"/>
  <c r="X93" i="3"/>
  <c r="Y93" i="3" s="1"/>
  <c r="X89" i="3"/>
  <c r="Y89" i="3" s="1"/>
  <c r="X85" i="3"/>
  <c r="Y85" i="3" s="1"/>
  <c r="X81" i="3"/>
  <c r="Y81" i="3" s="1"/>
  <c r="X77" i="3"/>
  <c r="Y77" i="3" s="1"/>
  <c r="X73" i="3"/>
  <c r="Y73" i="3" s="1"/>
  <c r="X69" i="3"/>
  <c r="Y69" i="3" s="1"/>
  <c r="X65" i="3"/>
  <c r="Y65" i="3" s="1"/>
  <c r="X61" i="3"/>
  <c r="Y61" i="3" s="1"/>
  <c r="X57" i="3"/>
  <c r="Y57" i="3" s="1"/>
  <c r="X31" i="3"/>
  <c r="Y31" i="3" s="1"/>
  <c r="Z31" i="3" s="1"/>
  <c r="AA31" i="3" s="1"/>
  <c r="X25" i="3"/>
  <c r="Y25" i="3" s="1"/>
  <c r="X19" i="3"/>
  <c r="Y19" i="3" s="1"/>
  <c r="X99" i="3"/>
  <c r="Y99" i="3" s="1"/>
  <c r="X94" i="3"/>
  <c r="Y94" i="3" s="1"/>
  <c r="X90" i="3"/>
  <c r="Y90" i="3" s="1"/>
  <c r="X86" i="3"/>
  <c r="Y86" i="3" s="1"/>
  <c r="X82" i="3"/>
  <c r="Y82" i="3" s="1"/>
  <c r="X78" i="3"/>
  <c r="Y78" i="3" s="1"/>
  <c r="X74" i="3"/>
  <c r="Y74" i="3" s="1"/>
  <c r="X70" i="3"/>
  <c r="Y70" i="3" s="1"/>
  <c r="X66" i="3"/>
  <c r="Y66" i="3" s="1"/>
  <c r="X12" i="3"/>
  <c r="Y12" i="3" s="1"/>
  <c r="X13" i="3"/>
  <c r="Y13" i="3" s="1"/>
  <c r="X14" i="3"/>
  <c r="Y14" i="3" s="1"/>
  <c r="X17" i="3"/>
  <c r="Y17" i="3" s="1"/>
  <c r="X29" i="3"/>
  <c r="Y29" i="3" s="1"/>
  <c r="X36" i="3"/>
  <c r="Y36" i="3" s="1"/>
  <c r="X40" i="3"/>
  <c r="Y40" i="3" s="1"/>
  <c r="X44" i="3"/>
  <c r="Y44" i="3" s="1"/>
  <c r="X48" i="3"/>
  <c r="Y48" i="3" s="1"/>
  <c r="X52" i="3"/>
  <c r="Y52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0" i="3"/>
  <c r="M100" i="3" s="1"/>
  <c r="L101" i="3"/>
  <c r="M101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R56" i="3"/>
  <c r="S56" i="3" s="1"/>
  <c r="R60" i="3"/>
  <c r="S60" i="3" s="1"/>
  <c r="L66" i="3"/>
  <c r="M66" i="3" s="1"/>
  <c r="L70" i="3"/>
  <c r="M70" i="3" s="1"/>
  <c r="L74" i="3"/>
  <c r="M74" i="3" s="1"/>
  <c r="L78" i="3"/>
  <c r="M78" i="3" s="1"/>
  <c r="L82" i="3"/>
  <c r="M82" i="3" s="1"/>
  <c r="L86" i="3"/>
  <c r="M86" i="3" s="1"/>
  <c r="L90" i="3"/>
  <c r="M90" i="3" s="1"/>
  <c r="L94" i="3"/>
  <c r="M94" i="3" s="1"/>
  <c r="R97" i="3"/>
  <c r="S97" i="3" s="1"/>
  <c r="L98" i="3"/>
  <c r="M98" i="3" s="1"/>
  <c r="X100" i="3"/>
  <c r="Y100" i="3" s="1"/>
  <c r="R12" i="3"/>
  <c r="S12" i="3" s="1"/>
  <c r="R13" i="3"/>
  <c r="S13" i="3" s="1"/>
  <c r="R14" i="3"/>
  <c r="S14" i="3" s="1"/>
  <c r="R20" i="3"/>
  <c r="S20" i="3" s="1"/>
  <c r="Z20" i="3" s="1"/>
  <c r="AA20" i="3" s="1"/>
  <c r="L21" i="3"/>
  <c r="M21" i="3" s="1"/>
  <c r="R26" i="3"/>
  <c r="S26" i="3" s="1"/>
  <c r="L27" i="3"/>
  <c r="M27" i="3" s="1"/>
  <c r="R32" i="3"/>
  <c r="S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Z46" i="3" s="1"/>
  <c r="AA46" i="3" s="1"/>
  <c r="L47" i="3"/>
  <c r="M47" i="3" s="1"/>
  <c r="L48" i="3"/>
  <c r="M48" i="3" s="1"/>
  <c r="L49" i="3"/>
  <c r="M49" i="3" s="1"/>
  <c r="R50" i="3"/>
  <c r="S50" i="3" s="1"/>
  <c r="L51" i="3"/>
  <c r="M51" i="3" s="1"/>
  <c r="R52" i="3"/>
  <c r="S52" i="3" s="1"/>
  <c r="L53" i="3"/>
  <c r="M53" i="3" s="1"/>
  <c r="R54" i="3"/>
  <c r="S54" i="3" s="1"/>
  <c r="R55" i="3"/>
  <c r="S55" i="3" s="1"/>
  <c r="R59" i="3"/>
  <c r="S59" i="3" s="1"/>
  <c r="R63" i="3"/>
  <c r="S63" i="3" s="1"/>
  <c r="L65" i="3"/>
  <c r="M65" i="3" s="1"/>
  <c r="R67" i="3"/>
  <c r="S67" i="3" s="1"/>
  <c r="L69" i="3"/>
  <c r="M69" i="3" s="1"/>
  <c r="R71" i="3"/>
  <c r="S71" i="3" s="1"/>
  <c r="L73" i="3"/>
  <c r="M73" i="3" s="1"/>
  <c r="R75" i="3"/>
  <c r="S75" i="3" s="1"/>
  <c r="L77" i="3"/>
  <c r="M77" i="3" s="1"/>
  <c r="R79" i="3"/>
  <c r="S79" i="3" s="1"/>
  <c r="L81" i="3"/>
  <c r="M81" i="3" s="1"/>
  <c r="R83" i="3"/>
  <c r="S83" i="3" s="1"/>
  <c r="L85" i="3"/>
  <c r="M85" i="3" s="1"/>
  <c r="R87" i="3"/>
  <c r="S87" i="3" s="1"/>
  <c r="L89" i="3"/>
  <c r="M89" i="3" s="1"/>
  <c r="R91" i="3"/>
  <c r="S91" i="3" s="1"/>
  <c r="L93" i="3"/>
  <c r="M93" i="3" s="1"/>
  <c r="R95" i="3"/>
  <c r="S95" i="3" s="1"/>
  <c r="R98" i="3"/>
  <c r="S98" i="3" s="1"/>
  <c r="L99" i="3"/>
  <c r="M99" i="3" s="1"/>
  <c r="R103" i="3"/>
  <c r="S103" i="3" s="1"/>
  <c r="R107" i="3"/>
  <c r="S107" i="3" s="1"/>
  <c r="R111" i="3"/>
  <c r="S111" i="3" s="1"/>
  <c r="R58" i="3"/>
  <c r="S58" i="3" s="1"/>
  <c r="L64" i="3"/>
  <c r="M64" i="3" s="1"/>
  <c r="R66" i="3"/>
  <c r="S66" i="3" s="1"/>
  <c r="L68" i="3"/>
  <c r="M68" i="3" s="1"/>
  <c r="R70" i="3"/>
  <c r="S70" i="3" s="1"/>
  <c r="L72" i="3"/>
  <c r="M72" i="3" s="1"/>
  <c r="R74" i="3"/>
  <c r="S74" i="3" s="1"/>
  <c r="L76" i="3"/>
  <c r="M76" i="3" s="1"/>
  <c r="Z76" i="3" s="1"/>
  <c r="AA76" i="3" s="1"/>
  <c r="R78" i="3"/>
  <c r="S78" i="3" s="1"/>
  <c r="L80" i="3"/>
  <c r="M80" i="3" s="1"/>
  <c r="R82" i="3"/>
  <c r="S82" i="3" s="1"/>
  <c r="L84" i="3"/>
  <c r="M84" i="3" s="1"/>
  <c r="R86" i="3"/>
  <c r="S86" i="3" s="1"/>
  <c r="L88" i="3"/>
  <c r="M88" i="3" s="1"/>
  <c r="R90" i="3"/>
  <c r="S90" i="3" s="1"/>
  <c r="L92" i="3"/>
  <c r="M92" i="3" s="1"/>
  <c r="L96" i="3"/>
  <c r="M96" i="3" s="1"/>
  <c r="R99" i="3"/>
  <c r="S99" i="3" s="1"/>
  <c r="X102" i="3"/>
  <c r="Y102" i="3" s="1"/>
  <c r="X103" i="3"/>
  <c r="Y103" i="3" s="1"/>
  <c r="X104" i="3"/>
  <c r="Y104" i="3" s="1"/>
  <c r="X106" i="3"/>
  <c r="Y106" i="3" s="1"/>
  <c r="X107" i="3"/>
  <c r="Y107" i="3" s="1"/>
  <c r="X108" i="3"/>
  <c r="Y108" i="3" s="1"/>
  <c r="X110" i="3"/>
  <c r="Y110" i="3" s="1"/>
  <c r="X111" i="3"/>
  <c r="Y111" i="3" s="1"/>
  <c r="X112" i="3"/>
  <c r="Y112" i="3" s="1"/>
  <c r="R49" i="3"/>
  <c r="S49" i="3" s="1"/>
  <c r="L50" i="3"/>
  <c r="M50" i="3" s="1"/>
  <c r="R51" i="3"/>
  <c r="S51" i="3" s="1"/>
  <c r="L52" i="3"/>
  <c r="M52" i="3" s="1"/>
  <c r="R53" i="3"/>
  <c r="S53" i="3" s="1"/>
  <c r="L54" i="3"/>
  <c r="M54" i="3" s="1"/>
  <c r="R57" i="3"/>
  <c r="S57" i="3" s="1"/>
  <c r="R61" i="3"/>
  <c r="S61" i="3" s="1"/>
  <c r="L63" i="3"/>
  <c r="M63" i="3" s="1"/>
  <c r="L67" i="3"/>
  <c r="M67" i="3" s="1"/>
  <c r="L71" i="3"/>
  <c r="M71" i="3" s="1"/>
  <c r="L75" i="3"/>
  <c r="M75" i="3" s="1"/>
  <c r="L79" i="3"/>
  <c r="M79" i="3" s="1"/>
  <c r="L83" i="3"/>
  <c r="M83" i="3" s="1"/>
  <c r="L87" i="3"/>
  <c r="M87" i="3" s="1"/>
  <c r="L91" i="3"/>
  <c r="M91" i="3" s="1"/>
  <c r="L95" i="3"/>
  <c r="M95" i="3" s="1"/>
  <c r="R96" i="3"/>
  <c r="S96" i="3" s="1"/>
  <c r="L97" i="3"/>
  <c r="M97" i="3" s="1"/>
  <c r="R105" i="3"/>
  <c r="S105" i="3" s="1"/>
  <c r="R109" i="3"/>
  <c r="S109" i="3" s="1"/>
  <c r="X12" i="4"/>
  <c r="Y12" i="4" s="1"/>
  <c r="AG18" i="4"/>
  <c r="AG19" i="4" s="1"/>
  <c r="AG21" i="4" s="1"/>
  <c r="X16" i="4"/>
  <c r="Y16" i="4" s="1"/>
  <c r="Z16" i="4" s="1"/>
  <c r="AA16" i="4" s="1"/>
  <c r="X18" i="4"/>
  <c r="Y18" i="4" s="1"/>
  <c r="X20" i="4"/>
  <c r="Y20" i="4" s="1"/>
  <c r="X25" i="4"/>
  <c r="Y25" i="4" s="1"/>
  <c r="X29" i="4"/>
  <c r="Y29" i="4" s="1"/>
  <c r="L36" i="4"/>
  <c r="M36" i="4" s="1"/>
  <c r="L40" i="4"/>
  <c r="M40" i="4" s="1"/>
  <c r="L44" i="4"/>
  <c r="M44" i="4" s="1"/>
  <c r="R100" i="3"/>
  <c r="S100" i="3" s="1"/>
  <c r="R102" i="3"/>
  <c r="S102" i="3" s="1"/>
  <c r="R104" i="3"/>
  <c r="S104" i="3" s="1"/>
  <c r="R108" i="3"/>
  <c r="S108" i="3" s="1"/>
  <c r="R112" i="3"/>
  <c r="S112" i="3" s="1"/>
  <c r="L61" i="4"/>
  <c r="M61" i="4" s="1"/>
  <c r="L51" i="4"/>
  <c r="M51" i="4" s="1"/>
  <c r="L49" i="4"/>
  <c r="M49" i="4" s="1"/>
  <c r="L30" i="4"/>
  <c r="M30" i="4" s="1"/>
  <c r="L29" i="4"/>
  <c r="M29" i="4" s="1"/>
  <c r="L28" i="4"/>
  <c r="M28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0" i="4"/>
  <c r="M50" i="4" s="1"/>
  <c r="L48" i="4"/>
  <c r="M48" i="4" s="1"/>
  <c r="L31" i="4"/>
  <c r="M31" i="4" s="1"/>
  <c r="L25" i="4"/>
  <c r="M25" i="4" s="1"/>
  <c r="L19" i="4"/>
  <c r="M19" i="4" s="1"/>
  <c r="L20" i="4"/>
  <c r="M20" i="4" s="1"/>
  <c r="L13" i="4"/>
  <c r="M13" i="4" s="1"/>
  <c r="L12" i="4"/>
  <c r="M12" i="4" s="1"/>
  <c r="AF20" i="4"/>
  <c r="L18" i="4"/>
  <c r="M18" i="4" s="1"/>
  <c r="L22" i="4"/>
  <c r="M22" i="4" s="1"/>
  <c r="L24" i="4"/>
  <c r="M24" i="4" s="1"/>
  <c r="L26" i="4"/>
  <c r="M26" i="4" s="1"/>
  <c r="X28" i="4"/>
  <c r="Y28" i="4" s="1"/>
  <c r="X31" i="4"/>
  <c r="Y31" i="4" s="1"/>
  <c r="L32" i="4"/>
  <c r="M32" i="4" s="1"/>
  <c r="L35" i="4"/>
  <c r="M35" i="4" s="1"/>
  <c r="L39" i="4"/>
  <c r="M39" i="4" s="1"/>
  <c r="L43" i="4"/>
  <c r="M43" i="4" s="1"/>
  <c r="L47" i="4"/>
  <c r="M47" i="4" s="1"/>
  <c r="X49" i="4"/>
  <c r="Y49" i="4" s="1"/>
  <c r="X19" i="4"/>
  <c r="Y19" i="4" s="1"/>
  <c r="R101" i="3"/>
  <c r="S101" i="3" s="1"/>
  <c r="R106" i="3"/>
  <c r="S106" i="3" s="1"/>
  <c r="R110" i="3"/>
  <c r="S110" i="3" s="1"/>
  <c r="X111" i="4"/>
  <c r="Y111" i="4" s="1"/>
  <c r="X108" i="4"/>
  <c r="Y108" i="4" s="1"/>
  <c r="X104" i="4"/>
  <c r="Y104" i="4" s="1"/>
  <c r="X100" i="4"/>
  <c r="Y100" i="4" s="1"/>
  <c r="X96" i="4"/>
  <c r="Y96" i="4" s="1"/>
  <c r="X92" i="4"/>
  <c r="Y92" i="4" s="1"/>
  <c r="X88" i="4"/>
  <c r="Y88" i="4" s="1"/>
  <c r="X112" i="4"/>
  <c r="Y112" i="4" s="1"/>
  <c r="X109" i="4"/>
  <c r="Y109" i="4" s="1"/>
  <c r="X105" i="4"/>
  <c r="Y105" i="4" s="1"/>
  <c r="X101" i="4"/>
  <c r="Y101" i="4" s="1"/>
  <c r="X97" i="4"/>
  <c r="Y97" i="4" s="1"/>
  <c r="X93" i="4"/>
  <c r="Y93" i="4" s="1"/>
  <c r="X89" i="4"/>
  <c r="Y89" i="4" s="1"/>
  <c r="X84" i="4"/>
  <c r="Y84" i="4" s="1"/>
  <c r="X82" i="4"/>
  <c r="Y82" i="4" s="1"/>
  <c r="X110" i="4"/>
  <c r="Y110" i="4" s="1"/>
  <c r="X106" i="4"/>
  <c r="Y106" i="4" s="1"/>
  <c r="X102" i="4"/>
  <c r="Y102" i="4" s="1"/>
  <c r="X98" i="4"/>
  <c r="Y98" i="4" s="1"/>
  <c r="X94" i="4"/>
  <c r="Y94" i="4" s="1"/>
  <c r="X90" i="4"/>
  <c r="Y90" i="4" s="1"/>
  <c r="X86" i="4"/>
  <c r="Y86" i="4" s="1"/>
  <c r="X107" i="4"/>
  <c r="Y107" i="4" s="1"/>
  <c r="X103" i="4"/>
  <c r="Y103" i="4" s="1"/>
  <c r="X99" i="4"/>
  <c r="Y99" i="4" s="1"/>
  <c r="X95" i="4"/>
  <c r="Y95" i="4" s="1"/>
  <c r="X91" i="4"/>
  <c r="Y91" i="4" s="1"/>
  <c r="X87" i="4"/>
  <c r="Y87" i="4" s="1"/>
  <c r="X85" i="4"/>
  <c r="Y85" i="4" s="1"/>
  <c r="X83" i="4"/>
  <c r="Y83" i="4" s="1"/>
  <c r="X50" i="4"/>
  <c r="Y50" i="4" s="1"/>
  <c r="X48" i="4"/>
  <c r="Y48" i="4" s="1"/>
  <c r="X32" i="4"/>
  <c r="Y32" i="4" s="1"/>
  <c r="X26" i="4"/>
  <c r="Y26" i="4" s="1"/>
  <c r="X46" i="4"/>
  <c r="Y46" i="4" s="1"/>
  <c r="Z46" i="4" s="1"/>
  <c r="AA46" i="4" s="1"/>
  <c r="X45" i="4"/>
  <c r="Y45" i="4" s="1"/>
  <c r="X44" i="4"/>
  <c r="Y44" i="4" s="1"/>
  <c r="X43" i="4"/>
  <c r="Y43" i="4" s="1"/>
  <c r="X42" i="4"/>
  <c r="Y42" i="4" s="1"/>
  <c r="X41" i="4"/>
  <c r="Y41" i="4" s="1"/>
  <c r="X40" i="4"/>
  <c r="Y40" i="4" s="1"/>
  <c r="X39" i="4"/>
  <c r="Y39" i="4" s="1"/>
  <c r="X38" i="4"/>
  <c r="Y38" i="4" s="1"/>
  <c r="X37" i="4"/>
  <c r="Y37" i="4" s="1"/>
  <c r="X36" i="4"/>
  <c r="Y36" i="4" s="1"/>
  <c r="X35" i="4"/>
  <c r="Y35" i="4" s="1"/>
  <c r="X34" i="4"/>
  <c r="Y34" i="4" s="1"/>
  <c r="X33" i="4"/>
  <c r="Y33" i="4" s="1"/>
  <c r="X27" i="4"/>
  <c r="Y27" i="4" s="1"/>
  <c r="X21" i="4"/>
  <c r="Y21" i="4" s="1"/>
  <c r="X15" i="4"/>
  <c r="Y15" i="4" s="1"/>
  <c r="X24" i="4"/>
  <c r="Y24" i="4" s="1"/>
  <c r="X23" i="4"/>
  <c r="Y23" i="4" s="1"/>
  <c r="X22" i="4"/>
  <c r="Y22" i="4" s="1"/>
  <c r="X30" i="4"/>
  <c r="Y30" i="4" s="1"/>
  <c r="X47" i="4"/>
  <c r="Y47" i="4" s="1"/>
  <c r="X51" i="4"/>
  <c r="Y51" i="4" s="1"/>
  <c r="R19" i="4"/>
  <c r="S19" i="4" s="1"/>
  <c r="R25" i="4"/>
  <c r="S25" i="4" s="1"/>
  <c r="X60" i="4"/>
  <c r="Y60" i="4" s="1"/>
  <c r="R61" i="4"/>
  <c r="S61" i="4" s="1"/>
  <c r="L64" i="4"/>
  <c r="M64" i="4" s="1"/>
  <c r="R65" i="4"/>
  <c r="S65" i="4" s="1"/>
  <c r="X66" i="4"/>
  <c r="Y66" i="4" s="1"/>
  <c r="L68" i="4"/>
  <c r="M68" i="4" s="1"/>
  <c r="R69" i="4"/>
  <c r="S69" i="4" s="1"/>
  <c r="X70" i="4"/>
  <c r="Y70" i="4" s="1"/>
  <c r="L72" i="4"/>
  <c r="M72" i="4" s="1"/>
  <c r="R73" i="4"/>
  <c r="S73" i="4" s="1"/>
  <c r="X74" i="4"/>
  <c r="Y74" i="4" s="1"/>
  <c r="L76" i="4"/>
  <c r="M76" i="4" s="1"/>
  <c r="R77" i="4"/>
  <c r="S77" i="4" s="1"/>
  <c r="X78" i="4"/>
  <c r="Y78" i="4" s="1"/>
  <c r="L80" i="4"/>
  <c r="M80" i="4" s="1"/>
  <c r="R81" i="4"/>
  <c r="S81" i="4" s="1"/>
  <c r="L84" i="4"/>
  <c r="M84" i="4" s="1"/>
  <c r="R85" i="4"/>
  <c r="S85" i="4" s="1"/>
  <c r="R89" i="4"/>
  <c r="S89" i="4" s="1"/>
  <c r="R93" i="4"/>
  <c r="S93" i="4" s="1"/>
  <c r="R97" i="4"/>
  <c r="S97" i="4" s="1"/>
  <c r="R101" i="4"/>
  <c r="S101" i="4" s="1"/>
  <c r="R105" i="4"/>
  <c r="S105" i="4" s="1"/>
  <c r="R109" i="4"/>
  <c r="S109" i="4" s="1"/>
  <c r="R17" i="4"/>
  <c r="S17" i="4" s="1"/>
  <c r="R18" i="4"/>
  <c r="S18" i="4" s="1"/>
  <c r="R22" i="4"/>
  <c r="S22" i="4" s="1"/>
  <c r="R23" i="4"/>
  <c r="S23" i="4" s="1"/>
  <c r="R24" i="4"/>
  <c r="S24" i="4" s="1"/>
  <c r="R28" i="4"/>
  <c r="S28" i="4" s="1"/>
  <c r="R29" i="4"/>
  <c r="S29" i="4" s="1"/>
  <c r="R30" i="4"/>
  <c r="S30" i="4" s="1"/>
  <c r="R47" i="4"/>
  <c r="S47" i="4" s="1"/>
  <c r="R49" i="4"/>
  <c r="S49" i="4" s="1"/>
  <c r="R51" i="4"/>
  <c r="S51" i="4" s="1"/>
  <c r="X52" i="4"/>
  <c r="Y52" i="4" s="1"/>
  <c r="X53" i="4"/>
  <c r="Y53" i="4" s="1"/>
  <c r="X54" i="4"/>
  <c r="Y54" i="4" s="1"/>
  <c r="X55" i="4"/>
  <c r="Y55" i="4" s="1"/>
  <c r="X56" i="4"/>
  <c r="Y56" i="4" s="1"/>
  <c r="X57" i="4"/>
  <c r="Y57" i="4" s="1"/>
  <c r="X58" i="4"/>
  <c r="Y58" i="4" s="1"/>
  <c r="X59" i="4"/>
  <c r="Y59" i="4" s="1"/>
  <c r="R63" i="4"/>
  <c r="S63" i="4" s="1"/>
  <c r="R64" i="4"/>
  <c r="S64" i="4" s="1"/>
  <c r="X65" i="4"/>
  <c r="Y65" i="4" s="1"/>
  <c r="L67" i="4"/>
  <c r="M67" i="4" s="1"/>
  <c r="R68" i="4"/>
  <c r="S68" i="4" s="1"/>
  <c r="X69" i="4"/>
  <c r="Y69" i="4" s="1"/>
  <c r="L71" i="4"/>
  <c r="M71" i="4" s="1"/>
  <c r="R72" i="4"/>
  <c r="S72" i="4" s="1"/>
  <c r="X73" i="4"/>
  <c r="Y73" i="4" s="1"/>
  <c r="L75" i="4"/>
  <c r="M75" i="4" s="1"/>
  <c r="R76" i="4"/>
  <c r="S76" i="4" s="1"/>
  <c r="X77" i="4"/>
  <c r="Y77" i="4" s="1"/>
  <c r="L79" i="4"/>
  <c r="M79" i="4" s="1"/>
  <c r="R80" i="4"/>
  <c r="S80" i="4" s="1"/>
  <c r="X81" i="4"/>
  <c r="Y81" i="4" s="1"/>
  <c r="L83" i="4"/>
  <c r="M83" i="4" s="1"/>
  <c r="R84" i="4"/>
  <c r="S84" i="4" s="1"/>
  <c r="R88" i="4"/>
  <c r="S88" i="4" s="1"/>
  <c r="R92" i="4"/>
  <c r="S92" i="4" s="1"/>
  <c r="R96" i="4"/>
  <c r="S96" i="4" s="1"/>
  <c r="R100" i="4"/>
  <c r="S100" i="4" s="1"/>
  <c r="R104" i="4"/>
  <c r="S104" i="4" s="1"/>
  <c r="R108" i="4"/>
  <c r="S108" i="4" s="1"/>
  <c r="L111" i="4"/>
  <c r="M111" i="4" s="1"/>
  <c r="R112" i="4"/>
  <c r="S11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60" i="4"/>
  <c r="S60" i="4" s="1"/>
  <c r="X61" i="4"/>
  <c r="Y61" i="4" s="1"/>
  <c r="X63" i="4"/>
  <c r="Y63" i="4" s="1"/>
  <c r="X64" i="4"/>
  <c r="Y64" i="4" s="1"/>
  <c r="L66" i="4"/>
  <c r="M66" i="4" s="1"/>
  <c r="R67" i="4"/>
  <c r="S67" i="4" s="1"/>
  <c r="X68" i="4"/>
  <c r="Y68" i="4" s="1"/>
  <c r="L70" i="4"/>
  <c r="M70" i="4" s="1"/>
  <c r="R71" i="4"/>
  <c r="S71" i="4" s="1"/>
  <c r="X72" i="4"/>
  <c r="Y72" i="4" s="1"/>
  <c r="L74" i="4"/>
  <c r="M74" i="4" s="1"/>
  <c r="R75" i="4"/>
  <c r="S75" i="4" s="1"/>
  <c r="X76" i="4"/>
  <c r="Y76" i="4" s="1"/>
  <c r="L78" i="4"/>
  <c r="M78" i="4" s="1"/>
  <c r="R79" i="4"/>
  <c r="S79" i="4" s="1"/>
  <c r="X80" i="4"/>
  <c r="Y80" i="4" s="1"/>
  <c r="L82" i="4"/>
  <c r="M82" i="4" s="1"/>
  <c r="R83" i="4"/>
  <c r="S83" i="4" s="1"/>
  <c r="L86" i="4"/>
  <c r="M86" i="4" s="1"/>
  <c r="R110" i="4"/>
  <c r="S110" i="4" s="1"/>
  <c r="R107" i="4"/>
  <c r="S107" i="4" s="1"/>
  <c r="R103" i="4"/>
  <c r="S103" i="4" s="1"/>
  <c r="R99" i="4"/>
  <c r="S99" i="4" s="1"/>
  <c r="R95" i="4"/>
  <c r="S95" i="4" s="1"/>
  <c r="R91" i="4"/>
  <c r="S91" i="4" s="1"/>
  <c r="R87" i="4"/>
  <c r="S87" i="4" s="1"/>
  <c r="R48" i="4"/>
  <c r="S48" i="4" s="1"/>
  <c r="R50" i="4"/>
  <c r="S50" i="4" s="1"/>
  <c r="R52" i="4"/>
  <c r="S52" i="4" s="1"/>
  <c r="R53" i="4"/>
  <c r="S53" i="4" s="1"/>
  <c r="R54" i="4"/>
  <c r="S54" i="4" s="1"/>
  <c r="R55" i="4"/>
  <c r="S55" i="4" s="1"/>
  <c r="R56" i="4"/>
  <c r="S56" i="4" s="1"/>
  <c r="R57" i="4"/>
  <c r="S57" i="4" s="1"/>
  <c r="R58" i="4"/>
  <c r="S58" i="4" s="1"/>
  <c r="R59" i="4"/>
  <c r="S59" i="4" s="1"/>
  <c r="L63" i="4"/>
  <c r="M63" i="4" s="1"/>
  <c r="L65" i="4"/>
  <c r="M65" i="4" s="1"/>
  <c r="R66" i="4"/>
  <c r="S66" i="4" s="1"/>
  <c r="X67" i="4"/>
  <c r="Y67" i="4" s="1"/>
  <c r="L69" i="4"/>
  <c r="M69" i="4" s="1"/>
  <c r="R70" i="4"/>
  <c r="S70" i="4" s="1"/>
  <c r="X71" i="4"/>
  <c r="Y71" i="4" s="1"/>
  <c r="L73" i="4"/>
  <c r="M73" i="4" s="1"/>
  <c r="R74" i="4"/>
  <c r="S74" i="4" s="1"/>
  <c r="X75" i="4"/>
  <c r="Y75" i="4" s="1"/>
  <c r="L77" i="4"/>
  <c r="M77" i="4" s="1"/>
  <c r="R78" i="4"/>
  <c r="S78" i="4" s="1"/>
  <c r="X79" i="4"/>
  <c r="Y79" i="4" s="1"/>
  <c r="L81" i="4"/>
  <c r="M81" i="4" s="1"/>
  <c r="R82" i="4"/>
  <c r="S82" i="4" s="1"/>
  <c r="L85" i="4"/>
  <c r="M85" i="4" s="1"/>
  <c r="R86" i="4"/>
  <c r="S86" i="4" s="1"/>
  <c r="R90" i="4"/>
  <c r="S90" i="4" s="1"/>
  <c r="R94" i="4"/>
  <c r="S94" i="4" s="1"/>
  <c r="R98" i="4"/>
  <c r="S98" i="4" s="1"/>
  <c r="R102" i="4"/>
  <c r="S102" i="4" s="1"/>
  <c r="R106" i="4"/>
  <c r="S106" i="4" s="1"/>
  <c r="L87" i="4"/>
  <c r="M87" i="4" s="1"/>
  <c r="L91" i="4"/>
  <c r="M91" i="4" s="1"/>
  <c r="L95" i="4"/>
  <c r="M95" i="4" s="1"/>
  <c r="L99" i="4"/>
  <c r="M99" i="4" s="1"/>
  <c r="L103" i="4"/>
  <c r="M103" i="4" s="1"/>
  <c r="L107" i="4"/>
  <c r="M107" i="4" s="1"/>
  <c r="L90" i="4"/>
  <c r="M90" i="4" s="1"/>
  <c r="L94" i="4"/>
  <c r="M94" i="4" s="1"/>
  <c r="L98" i="4"/>
  <c r="M98" i="4" s="1"/>
  <c r="L102" i="4"/>
  <c r="M102" i="4" s="1"/>
  <c r="L106" i="4"/>
  <c r="M106" i="4" s="1"/>
  <c r="L110" i="4"/>
  <c r="M110" i="4" s="1"/>
  <c r="R111" i="4"/>
  <c r="S111" i="4" s="1"/>
  <c r="L89" i="4"/>
  <c r="M89" i="4" s="1"/>
  <c r="L93" i="4"/>
  <c r="M93" i="4" s="1"/>
  <c r="L97" i="4"/>
  <c r="M97" i="4" s="1"/>
  <c r="L101" i="4"/>
  <c r="M101" i="4" s="1"/>
  <c r="L105" i="4"/>
  <c r="M105" i="4" s="1"/>
  <c r="L109" i="4"/>
  <c r="M109" i="4" s="1"/>
  <c r="L112" i="4"/>
  <c r="M112" i="4" s="1"/>
  <c r="L88" i="4"/>
  <c r="M88" i="4" s="1"/>
  <c r="L92" i="4"/>
  <c r="M92" i="4" s="1"/>
  <c r="L96" i="4"/>
  <c r="M96" i="4" s="1"/>
  <c r="L100" i="4"/>
  <c r="M100" i="4" s="1"/>
  <c r="L104" i="4"/>
  <c r="M104" i="4" s="1"/>
  <c r="L108" i="4"/>
  <c r="M108" i="4" s="1"/>
  <c r="Z112" i="4" l="1"/>
  <c r="AA112" i="4" s="1"/>
  <c r="AB112" i="4" s="1"/>
  <c r="Z109" i="4"/>
  <c r="AA109" i="4" s="1"/>
  <c r="N110" i="5" s="1"/>
  <c r="Z100" i="4"/>
  <c r="AA100" i="4" s="1"/>
  <c r="AB100" i="4" s="1"/>
  <c r="Z96" i="4"/>
  <c r="AA96" i="4" s="1"/>
  <c r="AB96" i="4" s="1"/>
  <c r="Z93" i="4"/>
  <c r="AA93" i="4" s="1"/>
  <c r="N94" i="5" s="1"/>
  <c r="Z81" i="4"/>
  <c r="AA81" i="4" s="1"/>
  <c r="AB81" i="4" s="1"/>
  <c r="Z65" i="4"/>
  <c r="AA65" i="4" s="1"/>
  <c r="N66" i="5" s="1"/>
  <c r="Z45" i="4"/>
  <c r="AA45" i="4" s="1"/>
  <c r="N46" i="5" s="1"/>
  <c r="Z42" i="4"/>
  <c r="AA42" i="4" s="1"/>
  <c r="AB42" i="4" s="1"/>
  <c r="Z41" i="4"/>
  <c r="AA41" i="4" s="1"/>
  <c r="N42" i="5" s="1"/>
  <c r="Z38" i="4"/>
  <c r="AA38" i="4" s="1"/>
  <c r="AB38" i="4" s="1"/>
  <c r="Z34" i="4"/>
  <c r="AA34" i="4" s="1"/>
  <c r="AB34" i="4" s="1"/>
  <c r="Z27" i="4"/>
  <c r="AA27" i="4" s="1"/>
  <c r="N28" i="5" s="1"/>
  <c r="Z23" i="4"/>
  <c r="AA23" i="4" s="1"/>
  <c r="AB23" i="4" s="1"/>
  <c r="Z17" i="4"/>
  <c r="AA17" i="4" s="1"/>
  <c r="AB17" i="4" s="1"/>
  <c r="Z15" i="4"/>
  <c r="AA15" i="4" s="1"/>
  <c r="AB15" i="4" s="1"/>
  <c r="AE20" i="4"/>
  <c r="Z14" i="4"/>
  <c r="AA14" i="4" s="1"/>
  <c r="N15" i="5" s="1"/>
  <c r="Z63" i="4"/>
  <c r="AA63" i="4" s="1"/>
  <c r="AB63" i="4" s="1"/>
  <c r="AG20" i="4"/>
  <c r="Z33" i="4"/>
  <c r="AA33" i="4" s="1"/>
  <c r="AB33" i="4" s="1"/>
  <c r="Z69" i="4"/>
  <c r="AA69" i="4" s="1"/>
  <c r="N70" i="5" s="1"/>
  <c r="Z20" i="4"/>
  <c r="AA20" i="4" s="1"/>
  <c r="N21" i="5" s="1"/>
  <c r="Z12" i="4"/>
  <c r="AA12" i="4" s="1"/>
  <c r="N13" i="5" s="1"/>
  <c r="Z97" i="4"/>
  <c r="AA97" i="4" s="1"/>
  <c r="AB97" i="4" s="1"/>
  <c r="Z13" i="4"/>
  <c r="AA13" i="4" s="1"/>
  <c r="N14" i="5" s="1"/>
  <c r="Z95" i="4"/>
  <c r="AA95" i="4" s="1"/>
  <c r="N96" i="5" s="1"/>
  <c r="Z110" i="4"/>
  <c r="AA110" i="4" s="1"/>
  <c r="AB110" i="4" s="1"/>
  <c r="Z48" i="4"/>
  <c r="AA48" i="4" s="1"/>
  <c r="N49" i="5" s="1"/>
  <c r="Z94" i="4"/>
  <c r="AA94" i="4" s="1"/>
  <c r="AB94" i="4" s="1"/>
  <c r="Z99" i="4"/>
  <c r="AA99" i="4" s="1"/>
  <c r="N100" i="5" s="1"/>
  <c r="Z78" i="4"/>
  <c r="AA78" i="4" s="1"/>
  <c r="AB78" i="4" s="1"/>
  <c r="Z111" i="4"/>
  <c r="AA111" i="4" s="1"/>
  <c r="AB111" i="4" s="1"/>
  <c r="Z80" i="4"/>
  <c r="AA80" i="4" s="1"/>
  <c r="N81" i="5" s="1"/>
  <c r="Z64" i="4"/>
  <c r="AA64" i="4" s="1"/>
  <c r="N65" i="5" s="1"/>
  <c r="Z82" i="4"/>
  <c r="AA82" i="4" s="1"/>
  <c r="AB82" i="4" s="1"/>
  <c r="Z66" i="4"/>
  <c r="AA66" i="4" s="1"/>
  <c r="AB66" i="4" s="1"/>
  <c r="Z68" i="4"/>
  <c r="AA68" i="4" s="1"/>
  <c r="N69" i="5" s="1"/>
  <c r="Z37" i="4"/>
  <c r="AA37" i="4" s="1"/>
  <c r="AB37" i="4" s="1"/>
  <c r="Z21" i="4"/>
  <c r="AA21" i="4" s="1"/>
  <c r="N22" i="5" s="1"/>
  <c r="Z94" i="3"/>
  <c r="AA94" i="3" s="1"/>
  <c r="AB94" i="3" s="1"/>
  <c r="Z92" i="3"/>
  <c r="AA92" i="3" s="1"/>
  <c r="AB92" i="3" s="1"/>
  <c r="Z83" i="3"/>
  <c r="AA83" i="3" s="1"/>
  <c r="AB83" i="3" s="1"/>
  <c r="Z81" i="3"/>
  <c r="AA81" i="3" s="1"/>
  <c r="Z67" i="3"/>
  <c r="AA67" i="3" s="1"/>
  <c r="AB67" i="3" s="1"/>
  <c r="Z65" i="3"/>
  <c r="AA65" i="3" s="1"/>
  <c r="J66" i="5" s="1"/>
  <c r="Z41" i="3"/>
  <c r="AA41" i="3" s="1"/>
  <c r="J42" i="5" s="1"/>
  <c r="Z38" i="3"/>
  <c r="AA38" i="3" s="1"/>
  <c r="Z35" i="3"/>
  <c r="AA35" i="3" s="1"/>
  <c r="AB35" i="3" s="1"/>
  <c r="Z34" i="3"/>
  <c r="AA34" i="3" s="1"/>
  <c r="J35" i="5" s="1"/>
  <c r="Z15" i="3"/>
  <c r="AA15" i="3" s="1"/>
  <c r="J16" i="5" s="1"/>
  <c r="Z14" i="3"/>
  <c r="AA14" i="3" s="1"/>
  <c r="J15" i="5" s="1"/>
  <c r="Z13" i="3"/>
  <c r="AA13" i="3" s="1"/>
  <c r="AB13" i="3" s="1"/>
  <c r="AF20" i="3"/>
  <c r="AE20" i="3"/>
  <c r="Z12" i="3"/>
  <c r="AA12" i="3" s="1"/>
  <c r="J13" i="5" s="1"/>
  <c r="Z42" i="3"/>
  <c r="AA42" i="3" s="1"/>
  <c r="AB42" i="3" s="1"/>
  <c r="Z52" i="3"/>
  <c r="AA52" i="3" s="1"/>
  <c r="J53" i="5" s="1"/>
  <c r="Z93" i="3"/>
  <c r="AA93" i="3" s="1"/>
  <c r="J94" i="5" s="1"/>
  <c r="Z77" i="3"/>
  <c r="AA77" i="3" s="1"/>
  <c r="J78" i="5" s="1"/>
  <c r="Z45" i="3"/>
  <c r="AA45" i="3" s="1"/>
  <c r="J46" i="5" s="1"/>
  <c r="Z21" i="3"/>
  <c r="AA21" i="3" s="1"/>
  <c r="J22" i="5" s="1"/>
  <c r="Z32" i="3"/>
  <c r="AA32" i="3" s="1"/>
  <c r="J33" i="5" s="1"/>
  <c r="Z17" i="3"/>
  <c r="AA17" i="3" s="1"/>
  <c r="J18" i="5" s="1"/>
  <c r="Z28" i="3"/>
  <c r="AA28" i="3" s="1"/>
  <c r="J29" i="5" s="1"/>
  <c r="Z16" i="3"/>
  <c r="AA16" i="3" s="1"/>
  <c r="J17" i="5" s="1"/>
  <c r="Z26" i="3"/>
  <c r="AA26" i="3" s="1"/>
  <c r="J27" i="5" s="1"/>
  <c r="Z37" i="3"/>
  <c r="AA37" i="3" s="1"/>
  <c r="J38" i="5" s="1"/>
  <c r="Z47" i="3"/>
  <c r="AA47" i="3" s="1"/>
  <c r="AB47" i="3" s="1"/>
  <c r="Z89" i="3"/>
  <c r="AA89" i="3" s="1"/>
  <c r="J90" i="5" s="1"/>
  <c r="Z73" i="3"/>
  <c r="AA73" i="3" s="1"/>
  <c r="AB73" i="3" s="1"/>
  <c r="Z29" i="3"/>
  <c r="AA29" i="3" s="1"/>
  <c r="J30" i="5" s="1"/>
  <c r="Z25" i="3"/>
  <c r="AA25" i="3" s="1"/>
  <c r="AB25" i="3" s="1"/>
  <c r="Z23" i="3"/>
  <c r="AA23" i="3" s="1"/>
  <c r="J24" i="5" s="1"/>
  <c r="Z88" i="3"/>
  <c r="AA88" i="3" s="1"/>
  <c r="AB88" i="3" s="1"/>
  <c r="Z72" i="3"/>
  <c r="AA72" i="3" s="1"/>
  <c r="J73" i="5" s="1"/>
  <c r="Z33" i="3"/>
  <c r="AA33" i="3" s="1"/>
  <c r="AB33" i="3" s="1"/>
  <c r="Z18" i="3"/>
  <c r="AA18" i="3" s="1"/>
  <c r="J19" i="5" s="1"/>
  <c r="Z97" i="3"/>
  <c r="AA97" i="3" s="1"/>
  <c r="J98" i="5" s="1"/>
  <c r="Z80" i="3"/>
  <c r="AA80" i="3" s="1"/>
  <c r="J81" i="5" s="1"/>
  <c r="Z64" i="3"/>
  <c r="AA64" i="3" s="1"/>
  <c r="AB64" i="3" s="1"/>
  <c r="Z54" i="3"/>
  <c r="AA54" i="3" s="1"/>
  <c r="J55" i="5" s="1"/>
  <c r="Z50" i="3"/>
  <c r="AA50" i="3" s="1"/>
  <c r="AB50" i="3" s="1"/>
  <c r="Z39" i="3"/>
  <c r="AA39" i="3" s="1"/>
  <c r="J40" i="5" s="1"/>
  <c r="Z27" i="3"/>
  <c r="AA27" i="3" s="1"/>
  <c r="J28" i="5" s="1"/>
  <c r="Z87" i="3"/>
  <c r="AA87" i="3" s="1"/>
  <c r="AB87" i="3" s="1"/>
  <c r="Z71" i="3"/>
  <c r="AA71" i="3" s="1"/>
  <c r="J72" i="5" s="1"/>
  <c r="Z85" i="3"/>
  <c r="AA85" i="3" s="1"/>
  <c r="AB85" i="3" s="1"/>
  <c r="Z69" i="3"/>
  <c r="AA69" i="3" s="1"/>
  <c r="J70" i="5" s="1"/>
  <c r="Z40" i="3"/>
  <c r="AA40" i="3" s="1"/>
  <c r="J41" i="5" s="1"/>
  <c r="Z43" i="3"/>
  <c r="AA43" i="3" s="1"/>
  <c r="AB43" i="3" s="1"/>
  <c r="Z59" i="3"/>
  <c r="AA59" i="3" s="1"/>
  <c r="AB59" i="3" s="1"/>
  <c r="Z95" i="3"/>
  <c r="AA95" i="3" s="1"/>
  <c r="J96" i="5" s="1"/>
  <c r="Z79" i="3"/>
  <c r="AA79" i="3" s="1"/>
  <c r="AB79" i="3" s="1"/>
  <c r="Z63" i="3"/>
  <c r="AA63" i="3" s="1"/>
  <c r="AB63" i="3" s="1"/>
  <c r="Z84" i="3"/>
  <c r="AA84" i="3" s="1"/>
  <c r="AB84" i="3" s="1"/>
  <c r="Z68" i="3"/>
  <c r="AA68" i="3" s="1"/>
  <c r="J69" i="5" s="1"/>
  <c r="Z56" i="3"/>
  <c r="AA56" i="3" s="1"/>
  <c r="AB56" i="3" s="1"/>
  <c r="Z60" i="3"/>
  <c r="AA60" i="3" s="1"/>
  <c r="J61" i="5" s="1"/>
  <c r="Z19" i="3"/>
  <c r="AA19" i="3" s="1"/>
  <c r="J20" i="5" s="1"/>
  <c r="Z24" i="3"/>
  <c r="AA24" i="3" s="1"/>
  <c r="J25" i="5" s="1"/>
  <c r="Z110" i="2"/>
  <c r="AA110" i="2" s="1"/>
  <c r="F111" i="5" s="1"/>
  <c r="Z106" i="2"/>
  <c r="AA106" i="2" s="1"/>
  <c r="AB106" i="2" s="1"/>
  <c r="Z104" i="2"/>
  <c r="AA104" i="2" s="1"/>
  <c r="AB104" i="2" s="1"/>
  <c r="Z100" i="2"/>
  <c r="AA100" i="2" s="1"/>
  <c r="F101" i="5" s="1"/>
  <c r="Z98" i="2"/>
  <c r="AA98" i="2" s="1"/>
  <c r="F99" i="5" s="1"/>
  <c r="Z97" i="2"/>
  <c r="AA97" i="2" s="1"/>
  <c r="AB97" i="2" s="1"/>
  <c r="Z96" i="2"/>
  <c r="AA96" i="2" s="1"/>
  <c r="F97" i="5" s="1"/>
  <c r="Z94" i="2"/>
  <c r="AA94" i="2" s="1"/>
  <c r="AB94" i="2" s="1"/>
  <c r="Z93" i="2"/>
  <c r="AA93" i="2" s="1"/>
  <c r="F94" i="5" s="1"/>
  <c r="Z90" i="2"/>
  <c r="AA90" i="2" s="1"/>
  <c r="F91" i="5" s="1"/>
  <c r="Z89" i="2"/>
  <c r="AA89" i="2" s="1"/>
  <c r="F90" i="5" s="1"/>
  <c r="Z88" i="2"/>
  <c r="AA88" i="2" s="1"/>
  <c r="F89" i="5" s="1"/>
  <c r="Z87" i="2"/>
  <c r="AA87" i="2" s="1"/>
  <c r="F88" i="5" s="1"/>
  <c r="Z84" i="2"/>
  <c r="AA84" i="2" s="1"/>
  <c r="F85" i="5" s="1"/>
  <c r="Z82" i="2"/>
  <c r="AA82" i="2" s="1"/>
  <c r="AB82" i="2" s="1"/>
  <c r="Z80" i="2"/>
  <c r="AA80" i="2" s="1"/>
  <c r="F81" i="5" s="1"/>
  <c r="Z78" i="2"/>
  <c r="AA78" i="2" s="1"/>
  <c r="F79" i="5" s="1"/>
  <c r="Z77" i="2"/>
  <c r="AA77" i="2" s="1"/>
  <c r="F78" i="5" s="1"/>
  <c r="Z75" i="2"/>
  <c r="AA75" i="2" s="1"/>
  <c r="F76" i="5" s="1"/>
  <c r="AE20" i="2"/>
  <c r="Z72" i="2"/>
  <c r="AA72" i="2" s="1"/>
  <c r="AB72" i="2" s="1"/>
  <c r="Z69" i="2"/>
  <c r="AA69" i="2" s="1"/>
  <c r="F70" i="5" s="1"/>
  <c r="Z68" i="2"/>
  <c r="AA68" i="2" s="1"/>
  <c r="AB68" i="2" s="1"/>
  <c r="Z64" i="2"/>
  <c r="AA64" i="2" s="1"/>
  <c r="Z58" i="2"/>
  <c r="AA58" i="2" s="1"/>
  <c r="F59" i="5" s="1"/>
  <c r="Z57" i="2"/>
  <c r="AA57" i="2" s="1"/>
  <c r="Z55" i="2"/>
  <c r="AA55" i="2" s="1"/>
  <c r="F56" i="5" s="1"/>
  <c r="Z53" i="2"/>
  <c r="AA53" i="2" s="1"/>
  <c r="AB53" i="2" s="1"/>
  <c r="Z52" i="2"/>
  <c r="AA52" i="2" s="1"/>
  <c r="AB52" i="2" s="1"/>
  <c r="Z47" i="2"/>
  <c r="AA47" i="2" s="1"/>
  <c r="F48" i="5" s="1"/>
  <c r="Z46" i="2"/>
  <c r="AA46" i="2" s="1"/>
  <c r="Z44" i="2"/>
  <c r="AA44" i="2" s="1"/>
  <c r="Z41" i="2"/>
  <c r="AA41" i="2" s="1"/>
  <c r="AB41" i="2" s="1"/>
  <c r="Z38" i="2"/>
  <c r="AA38" i="2" s="1"/>
  <c r="Z36" i="2"/>
  <c r="AA36" i="2" s="1"/>
  <c r="Z35" i="2"/>
  <c r="AA35" i="2" s="1"/>
  <c r="F36" i="5" s="1"/>
  <c r="Z33" i="2"/>
  <c r="AA33" i="2" s="1"/>
  <c r="Z30" i="2"/>
  <c r="AA30" i="2" s="1"/>
  <c r="F31" i="5" s="1"/>
  <c r="Z24" i="2"/>
  <c r="AA24" i="2" s="1"/>
  <c r="F25" i="5" s="1"/>
  <c r="Z21" i="2"/>
  <c r="AA21" i="2" s="1"/>
  <c r="AB21" i="2" s="1"/>
  <c r="Z20" i="2"/>
  <c r="AA20" i="2" s="1"/>
  <c r="AB20" i="2" s="1"/>
  <c r="Z19" i="2"/>
  <c r="AA19" i="2" s="1"/>
  <c r="F20" i="5" s="1"/>
  <c r="Z18" i="2"/>
  <c r="AA18" i="2" s="1"/>
  <c r="AB18" i="2" s="1"/>
  <c r="Z16" i="2"/>
  <c r="AA16" i="2" s="1"/>
  <c r="Z15" i="2"/>
  <c r="AA15" i="2" s="1"/>
  <c r="AB15" i="2" s="1"/>
  <c r="Z14" i="2"/>
  <c r="AA14" i="2" s="1"/>
  <c r="F15" i="5" s="1"/>
  <c r="Z13" i="2"/>
  <c r="AA13" i="2" s="1"/>
  <c r="F14" i="5" s="1"/>
  <c r="Z40" i="2"/>
  <c r="AA40" i="2" s="1"/>
  <c r="AB40" i="2" s="1"/>
  <c r="Z43" i="2"/>
  <c r="AA43" i="2" s="1"/>
  <c r="AB43" i="2" s="1"/>
  <c r="Z37" i="2"/>
  <c r="AA37" i="2" s="1"/>
  <c r="F38" i="5" s="1"/>
  <c r="Z12" i="2"/>
  <c r="AA12" i="2" s="1"/>
  <c r="F13" i="5" s="1"/>
  <c r="Z42" i="2"/>
  <c r="AA42" i="2" s="1"/>
  <c r="F43" i="5" s="1"/>
  <c r="Z26" i="2"/>
  <c r="AA26" i="2" s="1"/>
  <c r="AB26" i="2" s="1"/>
  <c r="Z60" i="2"/>
  <c r="AA60" i="2" s="1"/>
  <c r="AB60" i="2" s="1"/>
  <c r="Z29" i="2"/>
  <c r="AA29" i="2" s="1"/>
  <c r="AB29" i="2" s="1"/>
  <c r="Z49" i="2"/>
  <c r="AA49" i="2" s="1"/>
  <c r="F50" i="5" s="1"/>
  <c r="Z50" i="2"/>
  <c r="AA50" i="2" s="1"/>
  <c r="AB50" i="2" s="1"/>
  <c r="Z63" i="2"/>
  <c r="AA63" i="2" s="1"/>
  <c r="AB63" i="2" s="1"/>
  <c r="AB25" i="2"/>
  <c r="Z102" i="2"/>
  <c r="AA102" i="2" s="1"/>
  <c r="F103" i="5" s="1"/>
  <c r="Z86" i="2"/>
  <c r="AA86" i="2" s="1"/>
  <c r="F87" i="5" s="1"/>
  <c r="Z70" i="2"/>
  <c r="AA70" i="2" s="1"/>
  <c r="F71" i="5" s="1"/>
  <c r="Z108" i="2"/>
  <c r="AA108" i="2" s="1"/>
  <c r="F109" i="5" s="1"/>
  <c r="Z92" i="2"/>
  <c r="AA92" i="2" s="1"/>
  <c r="AB92" i="2" s="1"/>
  <c r="Z95" i="2"/>
  <c r="AA95" i="2" s="1"/>
  <c r="AB95" i="2" s="1"/>
  <c r="Z22" i="2"/>
  <c r="AA22" i="2" s="1"/>
  <c r="F23" i="5" s="1"/>
  <c r="Z79" i="2"/>
  <c r="AA79" i="2" s="1"/>
  <c r="F80" i="5" s="1"/>
  <c r="Z32" i="2"/>
  <c r="AA32" i="2" s="1"/>
  <c r="AB32" i="2" s="1"/>
  <c r="Z23" i="2"/>
  <c r="AA23" i="2" s="1"/>
  <c r="F24" i="5" s="1"/>
  <c r="Z81" i="2"/>
  <c r="AA81" i="2" s="1"/>
  <c r="F82" i="5" s="1"/>
  <c r="Z65" i="2"/>
  <c r="AA65" i="2" s="1"/>
  <c r="AB65" i="2" s="1"/>
  <c r="Z76" i="2"/>
  <c r="AA76" i="2" s="1"/>
  <c r="F77" i="5" s="1"/>
  <c r="F75" i="5"/>
  <c r="AB74" i="2"/>
  <c r="F67" i="5"/>
  <c r="AB66" i="2"/>
  <c r="F60" i="5"/>
  <c r="AB59" i="2"/>
  <c r="F21" i="5"/>
  <c r="N43" i="5"/>
  <c r="N39" i="5"/>
  <c r="N17" i="5"/>
  <c r="AB16" i="4"/>
  <c r="J14" i="5"/>
  <c r="F102" i="5"/>
  <c r="AB101" i="2"/>
  <c r="F98" i="5"/>
  <c r="F86" i="5"/>
  <c r="AB85" i="2"/>
  <c r="F74" i="5"/>
  <c r="AB73" i="2"/>
  <c r="F27" i="5"/>
  <c r="F29" i="5"/>
  <c r="AB28" i="2"/>
  <c r="F19" i="5"/>
  <c r="F95" i="5"/>
  <c r="N18" i="5"/>
  <c r="F113" i="5"/>
  <c r="AB112" i="2"/>
  <c r="F73" i="5"/>
  <c r="F69" i="5"/>
  <c r="F32" i="5"/>
  <c r="AB31" i="2"/>
  <c r="N47" i="5"/>
  <c r="AB46" i="4"/>
  <c r="F83" i="5"/>
  <c r="N24" i="5"/>
  <c r="J21" i="5"/>
  <c r="AB20" i="3"/>
  <c r="J32" i="5"/>
  <c r="AB31" i="3"/>
  <c r="F104" i="5"/>
  <c r="AB103" i="2"/>
  <c r="F100" i="5"/>
  <c r="AB99" i="2"/>
  <c r="F92" i="5"/>
  <c r="AB91" i="2"/>
  <c r="F84" i="5"/>
  <c r="AB83" i="2"/>
  <c r="F72" i="5"/>
  <c r="AB71" i="2"/>
  <c r="F68" i="5"/>
  <c r="AB67" i="2"/>
  <c r="N82" i="5"/>
  <c r="Z83" i="4"/>
  <c r="AA83" i="4" s="1"/>
  <c r="Z67" i="4"/>
  <c r="AA67" i="4" s="1"/>
  <c r="Z43" i="4"/>
  <c r="AA43" i="4" s="1"/>
  <c r="Z22" i="4"/>
  <c r="AA22" i="4" s="1"/>
  <c r="Z31" i="4"/>
  <c r="AA31" i="4" s="1"/>
  <c r="Z53" i="4"/>
  <c r="AA53" i="4" s="1"/>
  <c r="Z57" i="4"/>
  <c r="AA57" i="4" s="1"/>
  <c r="Z28" i="4"/>
  <c r="AA28" i="4" s="1"/>
  <c r="Z51" i="4"/>
  <c r="AA51" i="4" s="1"/>
  <c r="Z40" i="4"/>
  <c r="AA40" i="4" s="1"/>
  <c r="J77" i="5"/>
  <c r="AB76" i="3"/>
  <c r="Z99" i="3"/>
  <c r="AA99" i="3" s="1"/>
  <c r="Z51" i="3"/>
  <c r="AA51" i="3" s="1"/>
  <c r="J44" i="5"/>
  <c r="J36" i="5"/>
  <c r="Z98" i="3"/>
  <c r="AA98" i="3" s="1"/>
  <c r="Z86" i="3"/>
  <c r="AA86" i="3" s="1"/>
  <c r="Z70" i="3"/>
  <c r="AA70" i="3" s="1"/>
  <c r="Z55" i="3"/>
  <c r="AA55" i="3" s="1"/>
  <c r="Z100" i="3"/>
  <c r="AA100" i="3" s="1"/>
  <c r="Z105" i="3"/>
  <c r="AA105" i="3" s="1"/>
  <c r="Z109" i="3"/>
  <c r="AA109" i="3" s="1"/>
  <c r="Z105" i="2"/>
  <c r="AA105" i="2" s="1"/>
  <c r="F44" i="5"/>
  <c r="F40" i="5"/>
  <c r="AB39" i="2"/>
  <c r="F28" i="5"/>
  <c r="AB27" i="2"/>
  <c r="F18" i="5"/>
  <c r="AB17" i="2"/>
  <c r="F54" i="5"/>
  <c r="Z106" i="4"/>
  <c r="AA106" i="4" s="1"/>
  <c r="AB27" i="4"/>
  <c r="Z39" i="4"/>
  <c r="AA39" i="4" s="1"/>
  <c r="Z18" i="4"/>
  <c r="AA18" i="4" s="1"/>
  <c r="Z54" i="4"/>
  <c r="AA54" i="4" s="1"/>
  <c r="Z58" i="4"/>
  <c r="AA58" i="4" s="1"/>
  <c r="Z29" i="4"/>
  <c r="AA29" i="4" s="1"/>
  <c r="Z61" i="4"/>
  <c r="AA61" i="4" s="1"/>
  <c r="Z36" i="4"/>
  <c r="AA36" i="4" s="1"/>
  <c r="J68" i="5"/>
  <c r="J82" i="5"/>
  <c r="AB81" i="3"/>
  <c r="J47" i="5"/>
  <c r="AB46" i="3"/>
  <c r="J39" i="5"/>
  <c r="AB38" i="3"/>
  <c r="AB34" i="3"/>
  <c r="Z82" i="3"/>
  <c r="AA82" i="3" s="1"/>
  <c r="Z66" i="3"/>
  <c r="AA66" i="3" s="1"/>
  <c r="Z102" i="3"/>
  <c r="AA102" i="3" s="1"/>
  <c r="Z106" i="3"/>
  <c r="AA106" i="3" s="1"/>
  <c r="Z110" i="3"/>
  <c r="AA110" i="3" s="1"/>
  <c r="J31" i="5"/>
  <c r="AB30" i="3"/>
  <c r="Z111" i="2"/>
  <c r="AA111" i="2" s="1"/>
  <c r="F47" i="5"/>
  <c r="AB46" i="2"/>
  <c r="F39" i="5"/>
  <c r="AB38" i="2"/>
  <c r="F35" i="5"/>
  <c r="AB34" i="2"/>
  <c r="F57" i="5"/>
  <c r="AB56" i="2"/>
  <c r="F62" i="5"/>
  <c r="AB61" i="2"/>
  <c r="F30" i="5"/>
  <c r="Z90" i="4"/>
  <c r="AA90" i="4" s="1"/>
  <c r="AB41" i="4"/>
  <c r="Z105" i="4"/>
  <c r="AA105" i="4" s="1"/>
  <c r="Z102" i="4"/>
  <c r="AA102" i="4" s="1"/>
  <c r="Z91" i="4"/>
  <c r="AA91" i="4" s="1"/>
  <c r="Z85" i="4"/>
  <c r="AA85" i="4" s="1"/>
  <c r="Z73" i="4"/>
  <c r="AA73" i="4" s="1"/>
  <c r="Z70" i="4"/>
  <c r="AA70" i="4" s="1"/>
  <c r="Z84" i="4"/>
  <c r="AA84" i="4" s="1"/>
  <c r="Z72" i="4"/>
  <c r="AA72" i="4" s="1"/>
  <c r="Z35" i="4"/>
  <c r="AA35" i="4" s="1"/>
  <c r="Z26" i="4"/>
  <c r="AA26" i="4" s="1"/>
  <c r="Z19" i="4"/>
  <c r="AA19" i="4" s="1"/>
  <c r="Z50" i="4"/>
  <c r="AA50" i="4" s="1"/>
  <c r="Z55" i="4"/>
  <c r="AA55" i="4" s="1"/>
  <c r="Z59" i="4"/>
  <c r="AA59" i="4" s="1"/>
  <c r="Z30" i="4"/>
  <c r="AA30" i="4" s="1"/>
  <c r="J64" i="5"/>
  <c r="Z53" i="3"/>
  <c r="AA53" i="3" s="1"/>
  <c r="Z49" i="3"/>
  <c r="AA49" i="3" s="1"/>
  <c r="J95" i="5"/>
  <c r="Z78" i="3"/>
  <c r="AA78" i="3" s="1"/>
  <c r="Z57" i="3"/>
  <c r="AA57" i="3" s="1"/>
  <c r="Z61" i="3"/>
  <c r="AA61" i="3" s="1"/>
  <c r="Z103" i="3"/>
  <c r="AA103" i="3" s="1"/>
  <c r="Z107" i="3"/>
  <c r="AA107" i="3" s="1"/>
  <c r="Z111" i="3"/>
  <c r="AA111" i="3" s="1"/>
  <c r="Z109" i="2"/>
  <c r="AA109" i="2" s="1"/>
  <c r="F46" i="5"/>
  <c r="AB45" i="2"/>
  <c r="F42" i="5"/>
  <c r="F34" i="5"/>
  <c r="AB33" i="2"/>
  <c r="F53" i="5"/>
  <c r="F17" i="5"/>
  <c r="AB16" i="2"/>
  <c r="F16" i="5"/>
  <c r="F55" i="5"/>
  <c r="AB54" i="2"/>
  <c r="F64" i="5"/>
  <c r="F52" i="5"/>
  <c r="AB51" i="2"/>
  <c r="AG20" i="2"/>
  <c r="N113" i="5"/>
  <c r="N97" i="5"/>
  <c r="Z71" i="4"/>
  <c r="AA71" i="4" s="1"/>
  <c r="Z108" i="4"/>
  <c r="AA108" i="4" s="1"/>
  <c r="Z92" i="4"/>
  <c r="AA92" i="4" s="1"/>
  <c r="Z89" i="4"/>
  <c r="AA89" i="4" s="1"/>
  <c r="Z107" i="4"/>
  <c r="AA107" i="4" s="1"/>
  <c r="Z75" i="4"/>
  <c r="AA75" i="4" s="1"/>
  <c r="Z104" i="4"/>
  <c r="AA104" i="4" s="1"/>
  <c r="Z88" i="4"/>
  <c r="AA88" i="4" s="1"/>
  <c r="Z101" i="4"/>
  <c r="AA101" i="4" s="1"/>
  <c r="Z98" i="4"/>
  <c r="AA98" i="4" s="1"/>
  <c r="Z103" i="4"/>
  <c r="AA103" i="4" s="1"/>
  <c r="Z87" i="4"/>
  <c r="AA87" i="4" s="1"/>
  <c r="Z77" i="4"/>
  <c r="AA77" i="4" s="1"/>
  <c r="Z86" i="4"/>
  <c r="AA86" i="4" s="1"/>
  <c r="Z74" i="4"/>
  <c r="AA74" i="4" s="1"/>
  <c r="Z79" i="4"/>
  <c r="AA79" i="4" s="1"/>
  <c r="Z76" i="4"/>
  <c r="AA76" i="4" s="1"/>
  <c r="Z47" i="4"/>
  <c r="AA47" i="4" s="1"/>
  <c r="Z32" i="4"/>
  <c r="AA32" i="4" s="1"/>
  <c r="Z24" i="4"/>
  <c r="AA24" i="4" s="1"/>
  <c r="Z25" i="4"/>
  <c r="AA25" i="4" s="1"/>
  <c r="Z52" i="4"/>
  <c r="AA52" i="4" s="1"/>
  <c r="Z56" i="4"/>
  <c r="AA56" i="4" s="1"/>
  <c r="Z60" i="4"/>
  <c r="AA60" i="4" s="1"/>
  <c r="Z49" i="4"/>
  <c r="AA49" i="4" s="1"/>
  <c r="Z44" i="4"/>
  <c r="AA44" i="4" s="1"/>
  <c r="Z91" i="3"/>
  <c r="AA91" i="3" s="1"/>
  <c r="Z75" i="3"/>
  <c r="AA75" i="3" s="1"/>
  <c r="Z96" i="3"/>
  <c r="AA96" i="3" s="1"/>
  <c r="Z48" i="3"/>
  <c r="AA48" i="3" s="1"/>
  <c r="Z44" i="3"/>
  <c r="AA44" i="3" s="1"/>
  <c r="Z36" i="3"/>
  <c r="AA36" i="3" s="1"/>
  <c r="Z90" i="3"/>
  <c r="AA90" i="3" s="1"/>
  <c r="Z74" i="3"/>
  <c r="AA74" i="3" s="1"/>
  <c r="Z58" i="3"/>
  <c r="AA58" i="3" s="1"/>
  <c r="Z101" i="3"/>
  <c r="AA101" i="3" s="1"/>
  <c r="Z104" i="3"/>
  <c r="AA104" i="3" s="1"/>
  <c r="Z108" i="3"/>
  <c r="AA108" i="3" s="1"/>
  <c r="Z112" i="3"/>
  <c r="AA112" i="3" s="1"/>
  <c r="J23" i="5"/>
  <c r="AB22" i="3"/>
  <c r="Z107" i="2"/>
  <c r="AA107" i="2" s="1"/>
  <c r="F45" i="5"/>
  <c r="AB44" i="2"/>
  <c r="F37" i="5"/>
  <c r="AB36" i="2"/>
  <c r="F65" i="5"/>
  <c r="AB64" i="2"/>
  <c r="F49" i="5"/>
  <c r="AB48" i="2"/>
  <c r="F58" i="5"/>
  <c r="AB57" i="2"/>
  <c r="F51" i="5"/>
  <c r="AG20" i="3"/>
  <c r="AF20" i="2"/>
  <c r="N112" i="5" l="1"/>
  <c r="N111" i="5"/>
  <c r="AB109" i="4"/>
  <c r="N101" i="5"/>
  <c r="AB99" i="4"/>
  <c r="N98" i="5"/>
  <c r="AB95" i="4"/>
  <c r="N95" i="5"/>
  <c r="AB93" i="4"/>
  <c r="AB80" i="4"/>
  <c r="N79" i="5"/>
  <c r="AB69" i="4"/>
  <c r="AB68" i="4"/>
  <c r="N67" i="5"/>
  <c r="AB65" i="4"/>
  <c r="N64" i="5"/>
  <c r="AB48" i="4"/>
  <c r="AB45" i="4"/>
  <c r="N38" i="5"/>
  <c r="N35" i="5"/>
  <c r="N34" i="5"/>
  <c r="AB20" i="4"/>
  <c r="N16" i="5"/>
  <c r="R16" i="5" s="1"/>
  <c r="V16" i="5" s="1"/>
  <c r="AB14" i="4"/>
  <c r="AB13" i="4"/>
  <c r="AB12" i="4"/>
  <c r="N83" i="5"/>
  <c r="AB64" i="4"/>
  <c r="AB21" i="4"/>
  <c r="AB97" i="3"/>
  <c r="AB93" i="3"/>
  <c r="J93" i="5"/>
  <c r="AB89" i="3"/>
  <c r="J89" i="5"/>
  <c r="J88" i="5"/>
  <c r="J84" i="5"/>
  <c r="J80" i="5"/>
  <c r="AB77" i="3"/>
  <c r="J74" i="5"/>
  <c r="AB71" i="3"/>
  <c r="AB65" i="3"/>
  <c r="J65" i="5"/>
  <c r="AB60" i="3"/>
  <c r="J57" i="5"/>
  <c r="AB54" i="3"/>
  <c r="AB52" i="3"/>
  <c r="J51" i="5"/>
  <c r="J48" i="5"/>
  <c r="AB45" i="3"/>
  <c r="J43" i="5"/>
  <c r="AB41" i="3"/>
  <c r="AB40" i="3"/>
  <c r="J34" i="5"/>
  <c r="AB32" i="3"/>
  <c r="AB28" i="3"/>
  <c r="AB27" i="3"/>
  <c r="AB26" i="3"/>
  <c r="J26" i="5"/>
  <c r="AB23" i="3"/>
  <c r="AB21" i="3"/>
  <c r="AB18" i="3"/>
  <c r="AB16" i="3"/>
  <c r="AB15" i="3"/>
  <c r="AB14" i="3"/>
  <c r="AB12" i="3"/>
  <c r="AB17" i="3"/>
  <c r="AB72" i="3"/>
  <c r="J86" i="5"/>
  <c r="AB29" i="3"/>
  <c r="AB37" i="3"/>
  <c r="J60" i="5"/>
  <c r="J85" i="5"/>
  <c r="AB39" i="3"/>
  <c r="AB80" i="3"/>
  <c r="AB19" i="3"/>
  <c r="AB95" i="3"/>
  <c r="AB24" i="3"/>
  <c r="AB69" i="3"/>
  <c r="AB68" i="3"/>
  <c r="AB110" i="2"/>
  <c r="AB108" i="2"/>
  <c r="F107" i="5"/>
  <c r="F105" i="5"/>
  <c r="AB102" i="2"/>
  <c r="AB100" i="2"/>
  <c r="AB98" i="2"/>
  <c r="AB96" i="2"/>
  <c r="F96" i="5"/>
  <c r="AB93" i="2"/>
  <c r="F93" i="5"/>
  <c r="AB90" i="2"/>
  <c r="AB89" i="2"/>
  <c r="AB88" i="2"/>
  <c r="AB87" i="2"/>
  <c r="AB86" i="2"/>
  <c r="AB84" i="2"/>
  <c r="AB81" i="2"/>
  <c r="AB80" i="2"/>
  <c r="AB79" i="2"/>
  <c r="AB78" i="2"/>
  <c r="AB77" i="2"/>
  <c r="AB76" i="2"/>
  <c r="AB75" i="2"/>
  <c r="AB70" i="2"/>
  <c r="AB69" i="2"/>
  <c r="F66" i="5"/>
  <c r="F61" i="5"/>
  <c r="AB58" i="2"/>
  <c r="AB55" i="2"/>
  <c r="AB49" i="2"/>
  <c r="AB47" i="2"/>
  <c r="AB42" i="2"/>
  <c r="F41" i="5"/>
  <c r="AB37" i="2"/>
  <c r="AB35" i="2"/>
  <c r="F33" i="5"/>
  <c r="AB30" i="2"/>
  <c r="AB24" i="2"/>
  <c r="AB23" i="2"/>
  <c r="AB22" i="2"/>
  <c r="F22" i="5"/>
  <c r="AB19" i="2"/>
  <c r="AB14" i="2"/>
  <c r="AB13" i="2"/>
  <c r="AB12" i="2"/>
  <c r="J76" i="5"/>
  <c r="AB75" i="3"/>
  <c r="N87" i="5"/>
  <c r="AB86" i="4"/>
  <c r="N31" i="5"/>
  <c r="AB30" i="4"/>
  <c r="F108" i="5"/>
  <c r="AB107" i="2"/>
  <c r="J75" i="5"/>
  <c r="AB74" i="3"/>
  <c r="N45" i="5"/>
  <c r="AB44" i="4"/>
  <c r="N48" i="5"/>
  <c r="AB47" i="4"/>
  <c r="N88" i="5"/>
  <c r="AB87" i="4"/>
  <c r="N90" i="5"/>
  <c r="R90" i="5" s="1"/>
  <c r="AB89" i="4"/>
  <c r="R17" i="5"/>
  <c r="V17" i="5" s="1"/>
  <c r="R42" i="5"/>
  <c r="V42" i="5" s="1"/>
  <c r="J58" i="5"/>
  <c r="AB57" i="3"/>
  <c r="N56" i="5"/>
  <c r="AB55" i="4"/>
  <c r="N74" i="5"/>
  <c r="AB73" i="4"/>
  <c r="F112" i="5"/>
  <c r="AB111" i="2"/>
  <c r="J67" i="5"/>
  <c r="R67" i="5" s="1"/>
  <c r="V67" i="5" s="1"/>
  <c r="AB66" i="3"/>
  <c r="N30" i="5"/>
  <c r="R30" i="5" s="1"/>
  <c r="V30" i="5" s="1"/>
  <c r="AB29" i="4"/>
  <c r="N40" i="5"/>
  <c r="R40" i="5" s="1"/>
  <c r="V40" i="5" s="1"/>
  <c r="AB39" i="4"/>
  <c r="J87" i="5"/>
  <c r="R87" i="5" s="1"/>
  <c r="V87" i="5" s="1"/>
  <c r="AB86" i="3"/>
  <c r="J52" i="5"/>
  <c r="AB51" i="3"/>
  <c r="N41" i="5"/>
  <c r="R41" i="5" s="1"/>
  <c r="V41" i="5" s="1"/>
  <c r="AB40" i="4"/>
  <c r="N54" i="5"/>
  <c r="AB53" i="4"/>
  <c r="N23" i="5"/>
  <c r="R23" i="5" s="1"/>
  <c r="AB22" i="4"/>
  <c r="N68" i="5"/>
  <c r="AB67" i="4"/>
  <c r="J49" i="5"/>
  <c r="R49" i="5" s="1"/>
  <c r="AB48" i="3"/>
  <c r="N99" i="5"/>
  <c r="AB98" i="4"/>
  <c r="N20" i="5"/>
  <c r="AB19" i="4"/>
  <c r="J109" i="5"/>
  <c r="AB108" i="3"/>
  <c r="N53" i="5"/>
  <c r="R53" i="5" s="1"/>
  <c r="AB52" i="4"/>
  <c r="N80" i="5"/>
  <c r="AB79" i="4"/>
  <c r="N89" i="5"/>
  <c r="AB88" i="4"/>
  <c r="J112" i="5"/>
  <c r="AB111" i="3"/>
  <c r="N36" i="5"/>
  <c r="AB35" i="4"/>
  <c r="N106" i="5"/>
  <c r="AB105" i="4"/>
  <c r="R22" i="5"/>
  <c r="V22" i="5" s="1"/>
  <c r="R65" i="5"/>
  <c r="V65" i="5" s="1"/>
  <c r="J105" i="5"/>
  <c r="AB104" i="3"/>
  <c r="J91" i="5"/>
  <c r="AB90" i="3"/>
  <c r="J45" i="5"/>
  <c r="AB44" i="3"/>
  <c r="N50" i="5"/>
  <c r="AB49" i="4"/>
  <c r="N26" i="5"/>
  <c r="AB25" i="4"/>
  <c r="N75" i="5"/>
  <c r="AB74" i="4"/>
  <c r="N104" i="5"/>
  <c r="AB103" i="4"/>
  <c r="N105" i="5"/>
  <c r="AB104" i="4"/>
  <c r="N93" i="5"/>
  <c r="R93" i="5" s="1"/>
  <c r="V93" i="5" s="1"/>
  <c r="AB92" i="4"/>
  <c r="J108" i="5"/>
  <c r="AB107" i="3"/>
  <c r="J79" i="5"/>
  <c r="R79" i="5" s="1"/>
  <c r="V79" i="5" s="1"/>
  <c r="AB78" i="3"/>
  <c r="N51" i="5"/>
  <c r="AB50" i="4"/>
  <c r="N73" i="5"/>
  <c r="R73" i="5" s="1"/>
  <c r="V73" i="5" s="1"/>
  <c r="AB72" i="4"/>
  <c r="N86" i="5"/>
  <c r="R86" i="5" s="1"/>
  <c r="V86" i="5" s="1"/>
  <c r="AB85" i="4"/>
  <c r="R35" i="5"/>
  <c r="V35" i="5" s="1"/>
  <c r="R43" i="5"/>
  <c r="V43" i="5" s="1"/>
  <c r="J111" i="5"/>
  <c r="R111" i="5" s="1"/>
  <c r="V111" i="5" s="1"/>
  <c r="AB110" i="3"/>
  <c r="J83" i="5"/>
  <c r="AB82" i="3"/>
  <c r="N59" i="5"/>
  <c r="AB58" i="4"/>
  <c r="R31" i="5"/>
  <c r="V31" i="5" s="1"/>
  <c r="R18" i="5"/>
  <c r="V18" i="5" s="1"/>
  <c r="R28" i="5"/>
  <c r="V28" i="5" s="1"/>
  <c r="R48" i="5"/>
  <c r="V48" i="5" s="1"/>
  <c r="J110" i="5"/>
  <c r="AB109" i="3"/>
  <c r="J99" i="5"/>
  <c r="R99" i="5" s="1"/>
  <c r="V99" i="5" s="1"/>
  <c r="AB98" i="3"/>
  <c r="J100" i="5"/>
  <c r="AB99" i="3"/>
  <c r="N52" i="5"/>
  <c r="R52" i="5" s="1"/>
  <c r="V52" i="5" s="1"/>
  <c r="AB51" i="4"/>
  <c r="N32" i="5"/>
  <c r="R32" i="5" s="1"/>
  <c r="V32" i="5" s="1"/>
  <c r="AB31" i="4"/>
  <c r="N44" i="5"/>
  <c r="AB43" i="4"/>
  <c r="N84" i="5"/>
  <c r="AB83" i="4"/>
  <c r="R24" i="5"/>
  <c r="V24" i="5" s="1"/>
  <c r="R68" i="5"/>
  <c r="V68" i="5" s="1"/>
  <c r="R14" i="5"/>
  <c r="V14" i="5" s="1"/>
  <c r="R81" i="5"/>
  <c r="V81" i="5" s="1"/>
  <c r="R95" i="5"/>
  <c r="V95" i="5" s="1"/>
  <c r="R70" i="5"/>
  <c r="V70" i="5" s="1"/>
  <c r="R94" i="5"/>
  <c r="V94" i="5" s="1"/>
  <c r="J102" i="5"/>
  <c r="AB101" i="3"/>
  <c r="N25" i="5"/>
  <c r="R25" i="5" s="1"/>
  <c r="AB24" i="4"/>
  <c r="N109" i="5"/>
  <c r="AB108" i="4"/>
  <c r="R64" i="5"/>
  <c r="V64" i="5" s="1"/>
  <c r="R38" i="5"/>
  <c r="V38" i="5" s="1"/>
  <c r="R46" i="5"/>
  <c r="V46" i="5" s="1"/>
  <c r="N92" i="5"/>
  <c r="AB91" i="4"/>
  <c r="J107" i="5"/>
  <c r="AB106" i="3"/>
  <c r="N37" i="5"/>
  <c r="AB36" i="4"/>
  <c r="N55" i="5"/>
  <c r="R55" i="5" s="1"/>
  <c r="V55" i="5" s="1"/>
  <c r="AB54" i="4"/>
  <c r="F106" i="5"/>
  <c r="AB105" i="2"/>
  <c r="J106" i="5"/>
  <c r="AB105" i="3"/>
  <c r="J56" i="5"/>
  <c r="AB55" i="3"/>
  <c r="N29" i="5"/>
  <c r="R29" i="5" s="1"/>
  <c r="V29" i="5" s="1"/>
  <c r="AB28" i="4"/>
  <c r="J37" i="5"/>
  <c r="AB36" i="3"/>
  <c r="N61" i="5"/>
  <c r="R61" i="5" s="1"/>
  <c r="V61" i="5" s="1"/>
  <c r="AB60" i="4"/>
  <c r="N76" i="5"/>
  <c r="AB75" i="4"/>
  <c r="J104" i="5"/>
  <c r="AB103" i="3"/>
  <c r="J50" i="5"/>
  <c r="AB49" i="3"/>
  <c r="N85" i="5"/>
  <c r="R85" i="5" s="1"/>
  <c r="V85" i="5" s="1"/>
  <c r="AB84" i="4"/>
  <c r="J113" i="5"/>
  <c r="AB112" i="3"/>
  <c r="J59" i="5"/>
  <c r="AB58" i="3"/>
  <c r="J97" i="5"/>
  <c r="AB96" i="3"/>
  <c r="J92" i="5"/>
  <c r="AB91" i="3"/>
  <c r="N57" i="5"/>
  <c r="R57" i="5" s="1"/>
  <c r="V57" i="5" s="1"/>
  <c r="AB56" i="4"/>
  <c r="N33" i="5"/>
  <c r="R33" i="5" s="1"/>
  <c r="V33" i="5" s="1"/>
  <c r="AB32" i="4"/>
  <c r="N77" i="5"/>
  <c r="R77" i="5" s="1"/>
  <c r="V77" i="5" s="1"/>
  <c r="AB76" i="4"/>
  <c r="N78" i="5"/>
  <c r="R78" i="5" s="1"/>
  <c r="V78" i="5" s="1"/>
  <c r="AB77" i="4"/>
  <c r="N102" i="5"/>
  <c r="AB101" i="4"/>
  <c r="N108" i="5"/>
  <c r="AB107" i="4"/>
  <c r="N72" i="5"/>
  <c r="R72" i="5" s="1"/>
  <c r="V72" i="5" s="1"/>
  <c r="AB71" i="4"/>
  <c r="F110" i="5"/>
  <c r="AB109" i="2"/>
  <c r="J62" i="5"/>
  <c r="AB61" i="3"/>
  <c r="J54" i="5"/>
  <c r="R54" i="5" s="1"/>
  <c r="V54" i="5" s="1"/>
  <c r="AB53" i="3"/>
  <c r="N60" i="5"/>
  <c r="AB59" i="4"/>
  <c r="N27" i="5"/>
  <c r="R27" i="5" s="1"/>
  <c r="V27" i="5" s="1"/>
  <c r="AB26" i="4"/>
  <c r="N71" i="5"/>
  <c r="AB70" i="4"/>
  <c r="N103" i="5"/>
  <c r="AB102" i="4"/>
  <c r="N91" i="5"/>
  <c r="AB90" i="4"/>
  <c r="R39" i="5"/>
  <c r="V39" i="5" s="1"/>
  <c r="R47" i="5"/>
  <c r="V47" i="5" s="1"/>
  <c r="J103" i="5"/>
  <c r="AB102" i="3"/>
  <c r="N62" i="5"/>
  <c r="AB61" i="4"/>
  <c r="N19" i="5"/>
  <c r="R19" i="5" s="1"/>
  <c r="AB18" i="4"/>
  <c r="N107" i="5"/>
  <c r="AB106" i="4"/>
  <c r="R13" i="5"/>
  <c r="V13" i="5" s="1"/>
  <c r="R36" i="5"/>
  <c r="V36" i="5" s="1"/>
  <c r="R44" i="5"/>
  <c r="V44" i="5" s="1"/>
  <c r="J101" i="5"/>
  <c r="R101" i="5" s="1"/>
  <c r="V101" i="5" s="1"/>
  <c r="AB100" i="3"/>
  <c r="J71" i="5"/>
  <c r="AB70" i="3"/>
  <c r="N58" i="5"/>
  <c r="AB57" i="4"/>
  <c r="R80" i="5"/>
  <c r="V80" i="5" s="1"/>
  <c r="R96" i="5"/>
  <c r="V96" i="5" s="1"/>
  <c r="R69" i="5"/>
  <c r="V69" i="5" s="1"/>
  <c r="R15" i="5"/>
  <c r="V15" i="5" s="1"/>
  <c r="R66" i="5"/>
  <c r="V66" i="5" s="1"/>
  <c r="R82" i="5"/>
  <c r="V82" i="5" s="1"/>
  <c r="R98" i="5"/>
  <c r="V98" i="5" s="1"/>
  <c r="R21" i="5"/>
  <c r="V21" i="5" s="1"/>
  <c r="R34" i="5" l="1"/>
  <c r="V34" i="5" s="1"/>
  <c r="R83" i="5"/>
  <c r="V83" i="5" s="1"/>
  <c r="R37" i="5"/>
  <c r="V37" i="5" s="1"/>
  <c r="R50" i="5"/>
  <c r="V50" i="5" s="1"/>
  <c r="R56" i="5"/>
  <c r="V56" i="5" s="1"/>
  <c r="R45" i="5"/>
  <c r="V45" i="5" s="1"/>
  <c r="R103" i="5"/>
  <c r="Z103" i="5" s="1"/>
  <c r="R104" i="5"/>
  <c r="V104" i="5" s="1"/>
  <c r="R102" i="5"/>
  <c r="V102" i="5" s="1"/>
  <c r="R91" i="5"/>
  <c r="V91" i="5" s="1"/>
  <c r="R74" i="5"/>
  <c r="V74" i="5" s="1"/>
  <c r="R88" i="5"/>
  <c r="V88" i="5" s="1"/>
  <c r="R62" i="5"/>
  <c r="V62" i="5" s="1"/>
  <c r="R105" i="5"/>
  <c r="V105" i="5" s="1"/>
  <c r="R75" i="5"/>
  <c r="V75" i="5" s="1"/>
  <c r="R89" i="5"/>
  <c r="V89" i="5" s="1"/>
  <c r="R107" i="5"/>
  <c r="V107" i="5" s="1"/>
  <c r="Z52" i="5"/>
  <c r="R76" i="5"/>
  <c r="V76" i="5" s="1"/>
  <c r="R71" i="5"/>
  <c r="V71" i="5" s="1"/>
  <c r="R59" i="5"/>
  <c r="V59" i="5" s="1"/>
  <c r="Z98" i="5"/>
  <c r="Z15" i="5"/>
  <c r="Z82" i="5"/>
  <c r="Z29" i="5"/>
  <c r="Z69" i="5"/>
  <c r="Z64" i="5"/>
  <c r="Z14" i="5"/>
  <c r="Z111" i="5"/>
  <c r="Z61" i="5"/>
  <c r="Z30" i="5"/>
  <c r="Z34" i="5"/>
  <c r="Z57" i="5"/>
  <c r="Z85" i="5"/>
  <c r="Z72" i="5"/>
  <c r="Z54" i="5"/>
  <c r="Z27" i="5"/>
  <c r="Z68" i="5"/>
  <c r="Z40" i="5"/>
  <c r="Z35" i="5"/>
  <c r="Z32" i="5"/>
  <c r="Z41" i="5"/>
  <c r="Z46" i="5"/>
  <c r="Z16" i="5"/>
  <c r="Z81" i="5"/>
  <c r="Z65" i="5"/>
  <c r="Z55" i="5"/>
  <c r="Z48" i="5"/>
  <c r="Z31" i="5"/>
  <c r="V53" i="5"/>
  <c r="Z53" i="5"/>
  <c r="V23" i="5"/>
  <c r="Z23" i="5"/>
  <c r="V25" i="5"/>
  <c r="Z25" i="5"/>
  <c r="V49" i="5"/>
  <c r="Z49" i="5"/>
  <c r="V19" i="5"/>
  <c r="Z19" i="5"/>
  <c r="V90" i="5"/>
  <c r="Z90" i="5"/>
  <c r="Z67" i="5"/>
  <c r="Z79" i="5"/>
  <c r="Z101" i="5"/>
  <c r="R109" i="5"/>
  <c r="V109" i="5" s="1"/>
  <c r="Z77" i="5"/>
  <c r="Z86" i="5"/>
  <c r="R113" i="5"/>
  <c r="V113" i="5" s="1"/>
  <c r="R97" i="5"/>
  <c r="V97" i="5" s="1"/>
  <c r="R100" i="5"/>
  <c r="V100" i="5" s="1"/>
  <c r="R84" i="5"/>
  <c r="V84" i="5" s="1"/>
  <c r="R51" i="5"/>
  <c r="V51" i="5" s="1"/>
  <c r="Z36" i="5"/>
  <c r="R58" i="5"/>
  <c r="V58" i="5" s="1"/>
  <c r="R106" i="5"/>
  <c r="V106" i="5" s="1"/>
  <c r="Z21" i="5"/>
  <c r="Z93" i="5"/>
  <c r="Z96" i="5"/>
  <c r="Z80" i="5"/>
  <c r="Z44" i="5"/>
  <c r="Z13" i="5"/>
  <c r="Z39" i="5"/>
  <c r="R110" i="5"/>
  <c r="V110" i="5" s="1"/>
  <c r="Z70" i="5"/>
  <c r="Z24" i="5"/>
  <c r="Z28" i="5"/>
  <c r="Z43" i="5"/>
  <c r="R26" i="5"/>
  <c r="V26" i="5" s="1"/>
  <c r="Z17" i="5"/>
  <c r="R108" i="5"/>
  <c r="V108" i="5" s="1"/>
  <c r="Z38" i="5"/>
  <c r="Z87" i="5"/>
  <c r="R60" i="5"/>
  <c r="V60" i="5" s="1"/>
  <c r="Z94" i="5"/>
  <c r="Z78" i="5"/>
  <c r="Z95" i="5"/>
  <c r="Z73" i="5"/>
  <c r="Z99" i="5"/>
  <c r="R92" i="5"/>
  <c r="V92" i="5" s="1"/>
  <c r="Z33" i="5"/>
  <c r="Z18" i="5"/>
  <c r="Z22" i="5"/>
  <c r="Z42" i="5"/>
  <c r="Z66" i="5"/>
  <c r="Z47" i="5"/>
  <c r="R20" i="5"/>
  <c r="V20" i="5" s="1"/>
  <c r="R112" i="5"/>
  <c r="V112" i="5" s="1"/>
  <c r="V103" i="5" l="1"/>
  <c r="Z102" i="5"/>
  <c r="Z89" i="5"/>
  <c r="Z88" i="5"/>
  <c r="Z83" i="5"/>
  <c r="Z62" i="5"/>
  <c r="Z56" i="5"/>
  <c r="Z50" i="5"/>
  <c r="Z37" i="5"/>
  <c r="Z91" i="5"/>
  <c r="Z45" i="5"/>
  <c r="Z104" i="5"/>
  <c r="Z75" i="5"/>
  <c r="Z74" i="5"/>
  <c r="Z105" i="5"/>
  <c r="Z107" i="5"/>
  <c r="Z59" i="5"/>
  <c r="Z71" i="5"/>
  <c r="Z76" i="5"/>
  <c r="Z20" i="5"/>
  <c r="Z26" i="5"/>
  <c r="Z84" i="5"/>
  <c r="Z60" i="5"/>
  <c r="Z58" i="5"/>
  <c r="Z112" i="5"/>
  <c r="Z108" i="5"/>
  <c r="Z110" i="5"/>
  <c r="Z106" i="5"/>
  <c r="Z109" i="5"/>
  <c r="Z97" i="5"/>
  <c r="Z113" i="5"/>
  <c r="Z100" i="5"/>
  <c r="Z51" i="5"/>
  <c r="Z92" i="5"/>
</calcChain>
</file>

<file path=xl/sharedStrings.xml><?xml version="1.0" encoding="utf-8"?>
<sst xmlns="http://schemas.openxmlformats.org/spreadsheetml/2006/main" count="673" uniqueCount="298">
  <si>
    <t xml:space="preserve">Class Record </t>
  </si>
  <si>
    <t>(Waiting for the Official DepEd Order)</t>
  </si>
  <si>
    <t>REGION</t>
  </si>
  <si>
    <t>Region IV-A CALABARZON</t>
  </si>
  <si>
    <t>DIVISION</t>
  </si>
  <si>
    <t>Division of Quezon</t>
  </si>
  <si>
    <t>SCHOOL NAME</t>
  </si>
  <si>
    <t>San Isidro Elementary School</t>
  </si>
  <si>
    <t>SCHOOL ID</t>
  </si>
  <si>
    <t>107845</t>
  </si>
  <si>
    <t>SCHOOL YEAR</t>
  </si>
  <si>
    <t>2025-2026</t>
  </si>
  <si>
    <t xml:space="preserve">GRADE &amp; SECTION: </t>
  </si>
  <si>
    <t>Grade 6 - Rizal</t>
  </si>
  <si>
    <t>TEACHER:</t>
  </si>
  <si>
    <t>Vilma Jordan Pines</t>
  </si>
  <si>
    <t>SUBJECT:</t>
  </si>
  <si>
    <t>Science</t>
  </si>
  <si>
    <t>LEARNERS' NAMES</t>
  </si>
  <si>
    <t>HIGHEST POSSIBLE SCORE</t>
  </si>
  <si>
    <t xml:space="preserve">MALE </t>
  </si>
  <si>
    <t>Aguilar, Adrian</t>
  </si>
  <si>
    <t>Alcantara, Angelo</t>
  </si>
  <si>
    <t>Andrada, Anton</t>
  </si>
  <si>
    <t>Bautista, Bryan</t>
  </si>
  <si>
    <t>Bernardo, Caleb</t>
  </si>
  <si>
    <t>Castillo, Carlo</t>
  </si>
  <si>
    <t>Cruz, Christian</t>
  </si>
  <si>
    <t>Dela Cruz, Daniel</t>
  </si>
  <si>
    <t>Diaz, Darren</t>
  </si>
  <si>
    <t>Evangelista, Diego</t>
  </si>
  <si>
    <t>Fernandez, Ethan</t>
  </si>
  <si>
    <t>Garcia, Gabriel</t>
  </si>
  <si>
    <t>Gonzales, Harold</t>
  </si>
  <si>
    <t>Hernandez, Ivan</t>
  </si>
  <si>
    <t>Ilagan, Jacob</t>
  </si>
  <si>
    <t>Jimenez, James</t>
  </si>
  <si>
    <t>Lacson, Jared</t>
  </si>
  <si>
    <t>Lim, Jericho</t>
  </si>
  <si>
    <t>Manalo, Joaquin</t>
  </si>
  <si>
    <t>Mendoza, Joshua</t>
  </si>
  <si>
    <t>Navarro, Lance</t>
  </si>
  <si>
    <t>Ocampo, Luis</t>
  </si>
  <si>
    <t>Ortega, Marco</t>
  </si>
  <si>
    <t>Pascual, Martin</t>
  </si>
  <si>
    <t>Quizon, Matthew</t>
  </si>
  <si>
    <t>Ramos, Miguel</t>
  </si>
  <si>
    <t>Reyes, Nathan</t>
  </si>
  <si>
    <t>Rivera, Noah</t>
  </si>
  <si>
    <t>Rosales, Oliver</t>
  </si>
  <si>
    <t>Salazar, Paolo</t>
  </si>
  <si>
    <t>Santiago, Patrick</t>
  </si>
  <si>
    <t>Santos, Rafael</t>
  </si>
  <si>
    <t>Soriano, Raymond</t>
  </si>
  <si>
    <t>Torres, Rico</t>
  </si>
  <si>
    <t>Valdez, Samuel</t>
  </si>
  <si>
    <t>Velasco, Sebastian</t>
  </si>
  <si>
    <t>Villanueva, Simon</t>
  </si>
  <si>
    <t>Yap, Stephen</t>
  </si>
  <si>
    <t>Zamora, Thomas</t>
  </si>
  <si>
    <t>Zuniga, Vincent</t>
  </si>
  <si>
    <t>Abad, Xavier</t>
  </si>
  <si>
    <t>Agustin, Zachary</t>
  </si>
  <si>
    <t>Alvarez, Alvin</t>
  </si>
  <si>
    <t>Aquino, Andre</t>
  </si>
  <si>
    <t>Arceo, Benedict</t>
  </si>
  <si>
    <t>Arellano, Cyrus</t>
  </si>
  <si>
    <t>Barrera, Dominic</t>
  </si>
  <si>
    <t>Cabral, Emmanuel</t>
  </si>
  <si>
    <t>David, Francis</t>
  </si>
  <si>
    <t>Escobar, Gian</t>
  </si>
  <si>
    <t xml:space="preserve">FEMALE </t>
  </si>
  <si>
    <t>Fernandez, Alyssa</t>
  </si>
  <si>
    <t>Garcia, Angela</t>
  </si>
  <si>
    <t>Gonzales, Bea</t>
  </si>
  <si>
    <t>Hernandez, Bianca</t>
  </si>
  <si>
    <t>Ilagan, Camille</t>
  </si>
  <si>
    <t>Jimenez, Carla</t>
  </si>
  <si>
    <t>Lacson, Chloe</t>
  </si>
  <si>
    <t>Lim, Clarisse</t>
  </si>
  <si>
    <t>Manalo, Danica</t>
  </si>
  <si>
    <t>Mendoza, Diana</t>
  </si>
  <si>
    <t>Navarro, Elena</t>
  </si>
  <si>
    <t>Ocampo, Ella</t>
  </si>
  <si>
    <t>Ortega, Erika</t>
  </si>
  <si>
    <t>Pascual, Faith</t>
  </si>
  <si>
    <t>Quizon, Gabrielle</t>
  </si>
  <si>
    <t>Ramos, Hannah</t>
  </si>
  <si>
    <t>Reyes, Isabelle</t>
  </si>
  <si>
    <t>Rivera, Jasmine</t>
  </si>
  <si>
    <t>Rosales, Jillian</t>
  </si>
  <si>
    <t>Salazar, Julia</t>
  </si>
  <si>
    <t>Santiago, Katrina</t>
  </si>
  <si>
    <t>Santos, Kayla</t>
  </si>
  <si>
    <t>Soriano, Kiana</t>
  </si>
  <si>
    <t>Torres, Leah</t>
  </si>
  <si>
    <t>Valdez, Liana</t>
  </si>
  <si>
    <t>Velasco, Lia</t>
  </si>
  <si>
    <t>Villanueva, Mara</t>
  </si>
  <si>
    <t>Yap, Maria</t>
  </si>
  <si>
    <t>Zamora, Mika</t>
  </si>
  <si>
    <t>Zuniga, Nicole</t>
  </si>
  <si>
    <t>Abad, Patricia</t>
  </si>
  <si>
    <t>Agustin, Rachel</t>
  </si>
  <si>
    <t>Alvarez, Rebecca</t>
  </si>
  <si>
    <t>Aquino, Rhea</t>
  </si>
  <si>
    <t>Arceo, Samantha</t>
  </si>
  <si>
    <t>Arellano, Sofia</t>
  </si>
  <si>
    <t>Barrera, Sophia</t>
  </si>
  <si>
    <t>Cabral, Therese</t>
  </si>
  <si>
    <t>David, Trisha</t>
  </si>
  <si>
    <t>Escobar, Valerie</t>
  </si>
  <si>
    <t>Aguilar, Vanessa</t>
  </si>
  <si>
    <t>Alcantara, Veronica</t>
  </si>
  <si>
    <t>Andrada, Victoria</t>
  </si>
  <si>
    <t>Bautista, Yasmine</t>
  </si>
  <si>
    <t>Bernardo, Zoe</t>
  </si>
  <si>
    <t>Castillo, Amara</t>
  </si>
  <si>
    <t>Cruz, Andrea</t>
  </si>
  <si>
    <t>Dela Cruz, Beatriz</t>
  </si>
  <si>
    <t>Diaz, Celine</t>
  </si>
  <si>
    <t>Evangelista, Danielle</t>
  </si>
  <si>
    <t>TERM 1</t>
  </si>
  <si>
    <t>WRITTEN / ORAL WORKS (20%)</t>
  </si>
  <si>
    <t>PRODUCT / PERFORMANCE TASKS (50%)</t>
  </si>
  <si>
    <t>SUMMATIVE TESTS AND TERM EXAMINATIONS (30%)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</si>
  <si>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</si>
  <si>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</si>
  <si>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</si>
  <si>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</si>
  <si>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</si>
  <si>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</si>
  <si>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</si>
  <si>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</si>
  <si>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</si>
  <si>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TEST/EXAM RESULT ANALYSIS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</si>
  <si>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</si>
  <si>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</si>
  <si>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</si>
  <si>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</si>
  <si>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</si>
  <si>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</si>
  <si>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</si>
  <si>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</si>
  <si>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</si>
  <si>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</si>
  <si>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</si>
  <si>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</si>
  <si>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</si>
  <si>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</si>
  <si>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</si>
  <si>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</si>
  <si>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Grade</t>
  </si>
  <si>
    <t>Descriptior</t>
  </si>
  <si>
    <t>TERM 3</t>
  </si>
  <si>
    <t>Summary of Quarterly Grades</t>
  </si>
  <si>
    <t>SCHOOL YEAR:</t>
  </si>
  <si>
    <t>FINAL GRADE</t>
  </si>
  <si>
    <t>REMARK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</si>
  <si>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</si>
  <si>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</si>
  <si>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</si>
  <si>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</si>
  <si>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</si>
  <si>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</si>
  <si>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</si>
  <si>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</si>
  <si>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</si>
  <si>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</si>
  <si>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</si>
  <si>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</si>
  <si>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</si>
  <si>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</si>
  <si>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</si>
  <si>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</si>
  <si>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</si>
  <si>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</si>
  <si>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</si>
  <si>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</si>
  <si>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</si>
  <si>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</si>
  <si>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</si>
  <si>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</si>
  <si>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</si>
  <si>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</si>
  <si>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</si>
  <si>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</si>
  <si>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</si>
  <si>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</si>
  <si>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</si>
  <si>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</si>
  <si>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</si>
  <si>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</si>
  <si>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</si>
  <si>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</si>
  <si>
    <t>LIST NO.</t>
  </si>
  <si>
    <t>LEARNER'S NAME (copied from INPUT, for verification)</t>
  </si>
  <si>
    <t>LRN</t>
  </si>
  <si>
    <t>100000000001</t>
  </si>
  <si>
    <t>100000000002</t>
  </si>
  <si>
    <t>100000000003</t>
  </si>
  <si>
    <t>100000000004</t>
  </si>
  <si>
    <t>100000000005</t>
  </si>
  <si>
    <t>100000000006</t>
  </si>
  <si>
    <t>100000000007</t>
  </si>
  <si>
    <t>100000000008</t>
  </si>
  <si>
    <t>100000000009</t>
  </si>
  <si>
    <t>100000000010</t>
  </si>
  <si>
    <t>100000000011</t>
  </si>
  <si>
    <t>100000000012</t>
  </si>
  <si>
    <t>100000000013</t>
  </si>
  <si>
    <t>100000000014</t>
  </si>
  <si>
    <t>100000000015</t>
  </si>
  <si>
    <t>100000000016</t>
  </si>
  <si>
    <t>100000000017</t>
  </si>
  <si>
    <t>100000000018</t>
  </si>
  <si>
    <t>100000000019</t>
  </si>
  <si>
    <t>100000000020</t>
  </si>
  <si>
    <t>100000000021</t>
  </si>
  <si>
    <t>100000000022</t>
  </si>
  <si>
    <t>100000000023</t>
  </si>
  <si>
    <t>100000000024</t>
  </si>
  <si>
    <t>100000000025</t>
  </si>
  <si>
    <t>100000000026</t>
  </si>
  <si>
    <t>100000000027</t>
  </si>
  <si>
    <t>100000000028</t>
  </si>
  <si>
    <t>100000000029</t>
  </si>
  <si>
    <t>100000000030</t>
  </si>
  <si>
    <t>100000000031</t>
  </si>
  <si>
    <t>100000000032</t>
  </si>
  <si>
    <t>100000000033</t>
  </si>
  <si>
    <t>100000000034</t>
  </si>
  <si>
    <t>100000000035</t>
  </si>
  <si>
    <t>100000000036</t>
  </si>
  <si>
    <t>100000000037</t>
  </si>
  <si>
    <t>100000000038</t>
  </si>
  <si>
    <t>100000000039</t>
  </si>
  <si>
    <t>100000000040</t>
  </si>
  <si>
    <t>100000000041</t>
  </si>
  <si>
    <t>100000000042</t>
  </si>
  <si>
    <t>100000000043</t>
  </si>
  <si>
    <t>100000000044</t>
  </si>
  <si>
    <t>100000000045</t>
  </si>
  <si>
    <t>100000000046</t>
  </si>
  <si>
    <t>100000000047</t>
  </si>
  <si>
    <t>100000000048</t>
  </si>
  <si>
    <t>100000000049</t>
  </si>
  <si>
    <t>100000000050</t>
  </si>
  <si>
    <t>100000000051</t>
  </si>
  <si>
    <t>100000000052</t>
  </si>
  <si>
    <t>100000000053</t>
  </si>
  <si>
    <t>100000000054</t>
  </si>
  <si>
    <t>100000000055</t>
  </si>
  <si>
    <t>100000000056</t>
  </si>
  <si>
    <t>100000000057</t>
  </si>
  <si>
    <t>100000000058</t>
  </si>
  <si>
    <t>100000000059</t>
  </si>
  <si>
    <t>100000000060</t>
  </si>
  <si>
    <t>100000000061</t>
  </si>
  <si>
    <t>100000000062</t>
  </si>
  <si>
    <t>100000000063</t>
  </si>
  <si>
    <t>100000000064</t>
  </si>
  <si>
    <t>100000000065</t>
  </si>
  <si>
    <t>100000000066</t>
  </si>
  <si>
    <t>100000000067</t>
  </si>
  <si>
    <t>100000000068</t>
  </si>
  <si>
    <t>100000000069</t>
  </si>
  <si>
    <t>100000000070</t>
  </si>
  <si>
    <t>100000000071</t>
  </si>
  <si>
    <t>100000000072</t>
  </si>
  <si>
    <t>100000000073</t>
  </si>
  <si>
    <t>100000000074</t>
  </si>
  <si>
    <t>100000000075</t>
  </si>
  <si>
    <t>100000000076</t>
  </si>
  <si>
    <t>100000000077</t>
  </si>
  <si>
    <t>100000000078</t>
  </si>
  <si>
    <t>100000000079</t>
  </si>
  <si>
    <t>100000000080</t>
  </si>
  <si>
    <t>100000000081</t>
  </si>
  <si>
    <t>100000000082</t>
  </si>
  <si>
    <t>100000000083</t>
  </si>
  <si>
    <t>100000000084</t>
  </si>
  <si>
    <t>100000000085</t>
  </si>
  <si>
    <t>100000000086</t>
  </si>
  <si>
    <t>100000000087</t>
  </si>
  <si>
    <t>100000000088</t>
  </si>
  <si>
    <t>100000000089</t>
  </si>
  <si>
    <t>100000000090</t>
  </si>
  <si>
    <t>100000000091</t>
  </si>
  <si>
    <t>100000000092</t>
  </si>
  <si>
    <t>100000000093</t>
  </si>
  <si>
    <t>100000000094</t>
  </si>
  <si>
    <t>100000000095</t>
  </si>
  <si>
    <t>100000000096</t>
  </si>
  <si>
    <t>100000000097</t>
  </si>
  <si>
    <t>100000000098</t>
  </si>
  <si>
    <t>100000000099</t>
  </si>
  <si>
    <t>100000000100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</si>
</sst>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2"/>
  <sheetViews>
    <sheetView tabSelected="1" workbookViewId="0">
      <selection sqref="A1:Z2"/>
    </sheetView>
  </sheetViews>
  <sheetFormatPr defaultRowHeight="14.4" x14ac:dyDescent="0.3"/>
  <sheetData>
    <row r="1" spans="1:45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5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5" ht="15.6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5" ht="15.6" x14ac:dyDescent="0.3">
      <c r="B4" s="1" t="s">
        <v>2</v>
      </c>
      <c r="C4" s="1"/>
      <c r="D4" s="1"/>
      <c r="E4" s="1"/>
      <c r="F4" s="1"/>
      <c r="G4" s="1" t="s">
        <v>3</v>
      </c>
      <c r="H4" s="1"/>
      <c r="I4" s="1" t="s">
        <v>4</v>
      </c>
      <c r="J4" s="1"/>
      <c r="K4" s="1"/>
      <c r="L4" s="1" t="s">
        <v>5</v>
      </c>
      <c r="M4" s="1"/>
      <c r="N4" s="1"/>
      <c r="O4" s="1"/>
    </row>
    <row r="5" spans="1:45" ht="15.6" x14ac:dyDescent="0.3">
      <c r="B5" s="1" t="s">
        <v>6</v>
      </c>
      <c r="C5" s="1"/>
      <c r="D5" s="1"/>
      <c r="E5" s="1"/>
      <c r="F5" s="1"/>
      <c r="G5" s="1" t="s">
        <v>7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">
        <v>9</v>
      </c>
      <c r="T5" s="1"/>
      <c r="U5" s="1"/>
      <c r="V5" s="1" t="s">
        <v>10</v>
      </c>
      <c r="W5" s="1"/>
      <c r="X5" s="1"/>
      <c r="Y5" s="1" t="s">
        <v>11</v>
      </c>
      <c r="Z5" s="1"/>
    </row>
    <row r="7" spans="1:45" ht="15.6" x14ac:dyDescent="0.3">
      <c r="A7" s="1"/>
      <c r="B7" s="1"/>
      <c r="F7" s="1" t="s">
        <v>12</v>
      </c>
      <c r="G7" s="1"/>
      <c r="H7" s="1"/>
      <c r="I7" s="1"/>
      <c r="J7" s="1" t="s">
        <v>13</v>
      </c>
      <c r="K7" s="1"/>
      <c r="L7" s="1"/>
      <c r="M7" s="1"/>
      <c r="N7" s="1" t="s">
        <v>14</v>
      </c>
      <c r="O7" s="1"/>
      <c r="P7" s="1"/>
      <c r="Q7" s="1" t="s">
        <v>15</v>
      </c>
      <c r="R7" s="1"/>
      <c r="S7" s="1"/>
      <c r="T7" s="1"/>
      <c r="U7" s="1"/>
      <c r="V7" s="1"/>
      <c r="W7" s="1" t="s">
        <v>16</v>
      </c>
      <c r="X7" s="1"/>
      <c r="Y7" s="1" t="s">
        <v>17</v>
      </c>
      <c r="Z7" s="1"/>
    </row>
    <row r="8" spans="1:45" ht="15.6" x14ac:dyDescent="0.3">
      <c r="B8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45" ht="15.6" x14ac:dyDescent="0.3">
      <c r="Y9" s="1"/>
      <c r="Z9" s="1"/>
    </row>
    <row r="10" spans="1:45" ht="15.6" x14ac:dyDescent="0.3">
      <c r="B10" t="s">
        <v>19</v>
      </c>
      <c r="Y10" s="1"/>
      <c r="Z10" s="1"/>
    </row>
    <row r="11" spans="1:45" ht="15.6" x14ac:dyDescent="0.3">
      <c r="B11" t="s">
        <v>20</v>
      </c>
    </row>
    <row r="12" spans="1:45" ht="15.6" x14ac:dyDescent="0.3">
      <c r="A12">
        <v>1</v>
      </c>
      <c r="B12" t="s">
        <v>21</v>
      </c>
      <c r="AS12" t="e">
        <f t="shared" ref="AS12:AS43" si="0">(V12/$V$10)*100</f>
        <v>#DIV/0!</v>
      </c>
    </row>
    <row r="13" spans="1:45" ht="15.6" x14ac:dyDescent="0.3">
      <c r="A13">
        <v>2</v>
      </c>
      <c r="B13" t="s">
        <v>22</v>
      </c>
      <c r="AS13" t="e">
        <f t="shared" si="0"/>
        <v>#DIV/0!</v>
      </c>
    </row>
    <row r="14" spans="1:45" ht="15.6" x14ac:dyDescent="0.3">
      <c r="A14">
        <v>3</v>
      </c>
      <c r="B14" t="s">
        <v>23</v>
      </c>
      <c r="AS14" t="e">
        <f t="shared" si="0"/>
        <v>#DIV/0!</v>
      </c>
    </row>
    <row r="15" spans="1:45" ht="15.6" x14ac:dyDescent="0.3">
      <c r="A15">
        <v>4</v>
      </c>
      <c r="B15" t="s">
        <v>24</v>
      </c>
      <c r="AS15" t="e">
        <f t="shared" si="0"/>
        <v>#DIV/0!</v>
      </c>
    </row>
    <row r="16" spans="1:45" ht="15.6" x14ac:dyDescent="0.3">
      <c r="A16">
        <v>5</v>
      </c>
      <c r="B16" t="s">
        <v>25</v>
      </c>
      <c r="AS16" t="e">
        <f t="shared" si="0"/>
        <v>#DIV/0!</v>
      </c>
    </row>
    <row r="17" spans="1:45" ht="15.6" x14ac:dyDescent="0.3">
      <c r="A17">
        <v>6</v>
      </c>
      <c r="B17" t="s">
        <v>26</v>
      </c>
      <c r="AS17" t="e">
        <f t="shared" si="0"/>
        <v>#DIV/0!</v>
      </c>
    </row>
    <row r="18" spans="1:45" ht="15.6" x14ac:dyDescent="0.3">
      <c r="A18">
        <v>7</v>
      </c>
      <c r="B18" t="s">
        <v>27</v>
      </c>
      <c r="AS18" t="e">
        <f t="shared" si="0"/>
        <v>#DIV/0!</v>
      </c>
    </row>
    <row r="19" spans="1:45" ht="15.6" x14ac:dyDescent="0.3">
      <c r="A19">
        <v>8</v>
      </c>
      <c r="B19" t="s">
        <v>28</v>
      </c>
      <c r="AS19" t="e">
        <f t="shared" si="0"/>
        <v>#DIV/0!</v>
      </c>
    </row>
    <row r="20" spans="1:45" ht="15.6" x14ac:dyDescent="0.3">
      <c r="A20">
        <v>9</v>
      </c>
      <c r="B20" t="s">
        <v>29</v>
      </c>
      <c r="AS20" t="e">
        <f t="shared" si="0"/>
        <v>#DIV/0!</v>
      </c>
    </row>
    <row r="21" spans="1:45" ht="15.6" x14ac:dyDescent="0.3">
      <c r="A21">
        <v>10</v>
      </c>
      <c r="B21" t="s">
        <v>30</v>
      </c>
      <c r="AS21" t="e">
        <f t="shared" si="0"/>
        <v>#DIV/0!</v>
      </c>
    </row>
    <row r="22" spans="1:45" ht="15.6" x14ac:dyDescent="0.3">
      <c r="A22">
        <v>11</v>
      </c>
      <c r="B22" t="s">
        <v>31</v>
      </c>
      <c r="AS22" t="e">
        <f t="shared" si="0"/>
        <v>#DIV/0!</v>
      </c>
    </row>
    <row r="23" spans="1:45" ht="15.6" x14ac:dyDescent="0.3">
      <c r="A23">
        <v>12</v>
      </c>
      <c r="B23" t="s">
        <v>32</v>
      </c>
      <c r="AS23" t="e">
        <f t="shared" si="0"/>
        <v>#DIV/0!</v>
      </c>
    </row>
    <row r="24" spans="1:45" ht="15.6" x14ac:dyDescent="0.3">
      <c r="A24">
        <v>13</v>
      </c>
      <c r="B24" t="s">
        <v>33</v>
      </c>
      <c r="AS24" t="e">
        <f t="shared" si="0"/>
        <v>#DIV/0!</v>
      </c>
    </row>
    <row r="25" spans="1:45" ht="15.6" x14ac:dyDescent="0.3">
      <c r="A25">
        <v>14</v>
      </c>
      <c r="B25" t="s">
        <v>34</v>
      </c>
      <c r="AS25" t="e">
        <f t="shared" si="0"/>
        <v>#DIV/0!</v>
      </c>
    </row>
    <row r="26" spans="1:45" ht="15.6" x14ac:dyDescent="0.3">
      <c r="A26">
        <v>15</v>
      </c>
      <c r="B26" t="s">
        <v>35</v>
      </c>
      <c r="AS26" t="e">
        <f t="shared" si="0"/>
        <v>#DIV/0!</v>
      </c>
    </row>
    <row r="27" spans="1:45" ht="15.6" x14ac:dyDescent="0.3">
      <c r="A27">
        <v>16</v>
      </c>
      <c r="B27" t="s">
        <v>36</v>
      </c>
      <c r="AS27" t="e">
        <f t="shared" si="0"/>
        <v>#DIV/0!</v>
      </c>
    </row>
    <row r="28" spans="1:45" ht="15.6" x14ac:dyDescent="0.3">
      <c r="A28">
        <v>17</v>
      </c>
      <c r="B28" t="s">
        <v>37</v>
      </c>
      <c r="AS28" t="e">
        <f t="shared" si="0"/>
        <v>#DIV/0!</v>
      </c>
    </row>
    <row r="29" spans="1:45" ht="15.6" x14ac:dyDescent="0.3">
      <c r="A29">
        <v>18</v>
      </c>
      <c r="B29" t="s">
        <v>38</v>
      </c>
      <c r="AS29" t="e">
        <f t="shared" si="0"/>
        <v>#DIV/0!</v>
      </c>
    </row>
    <row r="30" spans="1:45" ht="15.6" x14ac:dyDescent="0.3">
      <c r="A30">
        <v>19</v>
      </c>
      <c r="B30" t="s">
        <v>39</v>
      </c>
      <c r="AS30" t="e">
        <f t="shared" si="0"/>
        <v>#DIV/0!</v>
      </c>
    </row>
    <row r="31" spans="1:45" ht="15.6" x14ac:dyDescent="0.3">
      <c r="A31">
        <v>20</v>
      </c>
      <c r="B31" t="s">
        <v>40</v>
      </c>
      <c r="AS31" t="e">
        <f t="shared" si="0"/>
        <v>#DIV/0!</v>
      </c>
    </row>
    <row r="32" spans="1:45" ht="15.6" x14ac:dyDescent="0.3">
      <c r="A32">
        <v>21</v>
      </c>
      <c r="B32" t="s">
        <v>41</v>
      </c>
      <c r="AS32" t="e">
        <f t="shared" si="0"/>
        <v>#DIV/0!</v>
      </c>
    </row>
    <row r="33" spans="1:45" ht="15.6" x14ac:dyDescent="0.3">
      <c r="A33">
        <v>22</v>
      </c>
      <c r="B33" t="s">
        <v>42</v>
      </c>
      <c r="AS33" t="e">
        <f t="shared" si="0"/>
        <v>#DIV/0!</v>
      </c>
    </row>
    <row r="34" spans="1:45" ht="15.6" x14ac:dyDescent="0.3">
      <c r="A34">
        <v>23</v>
      </c>
      <c r="B34" t="s">
        <v>43</v>
      </c>
      <c r="AS34" t="e">
        <f t="shared" si="0"/>
        <v>#DIV/0!</v>
      </c>
    </row>
    <row r="35" spans="1:45" ht="15.6" x14ac:dyDescent="0.3">
      <c r="A35">
        <v>24</v>
      </c>
      <c r="B35" t="s">
        <v>44</v>
      </c>
      <c r="AS35" t="e">
        <f t="shared" si="0"/>
        <v>#DIV/0!</v>
      </c>
    </row>
    <row r="36" spans="1:45" ht="15.6" x14ac:dyDescent="0.3">
      <c r="A36">
        <v>25</v>
      </c>
      <c r="B36" t="s">
        <v>45</v>
      </c>
      <c r="AS36" t="e">
        <f t="shared" si="0"/>
        <v>#DIV/0!</v>
      </c>
    </row>
    <row r="37" spans="1:45" ht="15.6" x14ac:dyDescent="0.3">
      <c r="A37">
        <v>26</v>
      </c>
      <c r="B37" t="s">
        <v>46</v>
      </c>
      <c r="AS37" t="e">
        <f t="shared" si="0"/>
        <v>#DIV/0!</v>
      </c>
    </row>
    <row r="38" spans="1:45" ht="15.6" x14ac:dyDescent="0.3">
      <c r="A38">
        <v>27</v>
      </c>
      <c r="B38" t="s">
        <v>47</v>
      </c>
      <c r="AS38" t="e">
        <f t="shared" si="0"/>
        <v>#DIV/0!</v>
      </c>
    </row>
    <row r="39" spans="1:45" ht="15.6" x14ac:dyDescent="0.3">
      <c r="A39">
        <v>28</v>
      </c>
      <c r="B39" t="s">
        <v>48</v>
      </c>
      <c r="AS39" t="e">
        <f t="shared" si="0"/>
        <v>#DIV/0!</v>
      </c>
    </row>
    <row r="40" spans="1:45" ht="15.6" x14ac:dyDescent="0.3">
      <c r="A40">
        <v>29</v>
      </c>
      <c r="B40" t="s">
        <v>49</v>
      </c>
      <c r="AS40" t="e">
        <f t="shared" si="0"/>
        <v>#DIV/0!</v>
      </c>
    </row>
    <row r="41" spans="1:45" ht="15.6" x14ac:dyDescent="0.3">
      <c r="A41">
        <v>30</v>
      </c>
      <c r="B41" t="s">
        <v>50</v>
      </c>
      <c r="AS41" t="e">
        <f t="shared" si="0"/>
        <v>#DIV/0!</v>
      </c>
    </row>
    <row r="42" spans="1:45" ht="15.6" x14ac:dyDescent="0.3">
      <c r="A42">
        <v>31</v>
      </c>
      <c r="B42" t="s">
        <v>51</v>
      </c>
      <c r="AS42" t="e">
        <f t="shared" si="0"/>
        <v>#DIV/0!</v>
      </c>
    </row>
    <row r="43" spans="1:45" ht="15.6" x14ac:dyDescent="0.3">
      <c r="A43">
        <v>32</v>
      </c>
      <c r="B43" t="s">
        <v>52</v>
      </c>
      <c r="AS43" t="e">
        <f t="shared" si="0"/>
        <v>#DIV/0!</v>
      </c>
    </row>
    <row r="44" spans="1:45" ht="15.6" x14ac:dyDescent="0.3">
      <c r="A44">
        <v>33</v>
      </c>
      <c r="B44" t="s">
        <v>53</v>
      </c>
      <c r="AS44" t="e">
        <f t="shared" ref="AS44:AS75" si="1">(V44/$V$10)*100</f>
        <v>#DIV/0!</v>
      </c>
    </row>
    <row r="45" spans="1:45" ht="15.6" x14ac:dyDescent="0.3">
      <c r="A45">
        <v>34</v>
      </c>
      <c r="B45" t="s">
        <v>54</v>
      </c>
      <c r="AS45" t="e">
        <f t="shared" si="1"/>
        <v>#DIV/0!</v>
      </c>
    </row>
    <row r="46" spans="1:45" ht="15.6" x14ac:dyDescent="0.3">
      <c r="A46">
        <v>35</v>
      </c>
      <c r="B46" t="s">
        <v>55</v>
      </c>
      <c r="AS46" t="e">
        <f t="shared" si="1"/>
        <v>#DIV/0!</v>
      </c>
    </row>
    <row r="47" spans="1:45" ht="15.6" x14ac:dyDescent="0.3">
      <c r="A47">
        <v>36</v>
      </c>
      <c r="B47" t="s">
        <v>56</v>
      </c>
      <c r="AS47" t="e">
        <f t="shared" si="1"/>
        <v>#DIV/0!</v>
      </c>
    </row>
    <row r="48" spans="1:45" ht="15.6" x14ac:dyDescent="0.3">
      <c r="A48">
        <v>37</v>
      </c>
      <c r="B48" t="s">
        <v>57</v>
      </c>
      <c r="AS48" t="e">
        <f t="shared" si="1"/>
        <v>#DIV/0!</v>
      </c>
    </row>
    <row r="49" spans="1:45" ht="15.6" x14ac:dyDescent="0.3">
      <c r="A49">
        <v>38</v>
      </c>
      <c r="B49" t="s">
        <v>58</v>
      </c>
      <c r="AS49" t="e">
        <f t="shared" si="1"/>
        <v>#DIV/0!</v>
      </c>
    </row>
    <row r="50" spans="1:45" ht="15.6" x14ac:dyDescent="0.3">
      <c r="A50">
        <v>39</v>
      </c>
      <c r="B50" t="s">
        <v>59</v>
      </c>
      <c r="AS50" t="e">
        <f t="shared" si="1"/>
        <v>#DIV/0!</v>
      </c>
    </row>
    <row r="51" spans="1:45" ht="15.6" x14ac:dyDescent="0.3">
      <c r="A51">
        <v>40</v>
      </c>
      <c r="B51" t="s">
        <v>60</v>
      </c>
      <c r="AS51" t="e">
        <f t="shared" si="1"/>
        <v>#DIV/0!</v>
      </c>
    </row>
    <row r="52" spans="1:45" ht="15.6" x14ac:dyDescent="0.3">
      <c r="A52">
        <v>41</v>
      </c>
      <c r="B52" t="s">
        <v>61</v>
      </c>
      <c r="AS52" t="e">
        <f t="shared" si="1"/>
        <v>#DIV/0!</v>
      </c>
    </row>
    <row r="53" spans="1:45" ht="15.6" x14ac:dyDescent="0.3">
      <c r="A53">
        <v>42</v>
      </c>
      <c r="B53" t="s">
        <v>62</v>
      </c>
      <c r="AS53" t="e">
        <f t="shared" si="1"/>
        <v>#DIV/0!</v>
      </c>
    </row>
    <row r="54" spans="1:45" ht="15.6" x14ac:dyDescent="0.3">
      <c r="A54">
        <v>43</v>
      </c>
      <c r="B54" t="s">
        <v>63</v>
      </c>
      <c r="AS54" t="e">
        <f t="shared" si="1"/>
        <v>#DIV/0!</v>
      </c>
    </row>
    <row r="55" spans="1:45" ht="15.6" x14ac:dyDescent="0.3">
      <c r="A55">
        <v>44</v>
      </c>
      <c r="B55" t="s">
        <v>64</v>
      </c>
      <c r="AS55" t="e">
        <f t="shared" si="1"/>
        <v>#DIV/0!</v>
      </c>
    </row>
    <row r="56" spans="1:45" ht="15.6" x14ac:dyDescent="0.3">
      <c r="A56">
        <v>45</v>
      </c>
      <c r="B56" t="s">
        <v>65</v>
      </c>
      <c r="AS56" t="e">
        <f t="shared" si="1"/>
        <v>#DIV/0!</v>
      </c>
    </row>
    <row r="57" spans="1:45" ht="15.6" x14ac:dyDescent="0.3">
      <c r="A57">
        <v>46</v>
      </c>
      <c r="B57" t="s">
        <v>66</v>
      </c>
      <c r="AS57" t="e">
        <f t="shared" si="1"/>
        <v>#DIV/0!</v>
      </c>
    </row>
    <row r="58" spans="1:45" ht="15.6" x14ac:dyDescent="0.3">
      <c r="A58">
        <v>47</v>
      </c>
      <c r="B58" t="s">
        <v>67</v>
      </c>
      <c r="AS58" t="e">
        <f t="shared" si="1"/>
        <v>#DIV/0!</v>
      </c>
    </row>
    <row r="59" spans="1:45" ht="15.6" x14ac:dyDescent="0.3">
      <c r="A59">
        <v>48</v>
      </c>
      <c r="B59" t="s">
        <v>68</v>
      </c>
      <c r="AS59" t="e">
        <f t="shared" si="1"/>
        <v>#DIV/0!</v>
      </c>
    </row>
    <row r="60" spans="1:45" ht="15.6" x14ac:dyDescent="0.3">
      <c r="A60">
        <v>49</v>
      </c>
      <c r="B60" t="s">
        <v>69</v>
      </c>
      <c r="AS60" t="e">
        <f t="shared" si="1"/>
        <v>#DIV/0!</v>
      </c>
    </row>
    <row r="61" spans="1:45" ht="15.6" x14ac:dyDescent="0.3">
      <c r="A61">
        <v>50</v>
      </c>
      <c r="B61" t="s">
        <v>70</v>
      </c>
      <c r="AS61" t="e">
        <f t="shared" si="1"/>
        <v>#DIV/0!</v>
      </c>
    </row>
    <row r="62" spans="1:45" ht="15.6" x14ac:dyDescent="0.3">
      <c r="B62" t="s">
        <v>71</v>
      </c>
      <c r="AS62" t="e">
        <f t="shared" si="1"/>
        <v>#DIV/0!</v>
      </c>
    </row>
    <row r="63" spans="1:45" ht="15.6" x14ac:dyDescent="0.3">
      <c r="A63">
        <v>1</v>
      </c>
      <c r="B63" t="s">
        <v>72</v>
      </c>
      <c r="AS63" t="e">
        <f t="shared" si="1"/>
        <v>#DIV/0!</v>
      </c>
    </row>
    <row r="64" spans="1:45" ht="15.6" x14ac:dyDescent="0.3">
      <c r="A64">
        <v>2</v>
      </c>
      <c r="B64" t="s">
        <v>73</v>
      </c>
      <c r="AS64" t="e">
        <f t="shared" si="1"/>
        <v>#DIV/0!</v>
      </c>
    </row>
    <row r="65" spans="1:45" ht="15.6" x14ac:dyDescent="0.3">
      <c r="A65">
        <v>3</v>
      </c>
      <c r="B65" t="s">
        <v>74</v>
      </c>
      <c r="AS65" t="e">
        <f t="shared" si="1"/>
        <v>#DIV/0!</v>
      </c>
    </row>
    <row r="66" spans="1:45" ht="15.6" x14ac:dyDescent="0.3">
      <c r="A66">
        <v>4</v>
      </c>
      <c r="B66" t="s">
        <v>75</v>
      </c>
      <c r="AS66" t="e">
        <f t="shared" si="1"/>
        <v>#DIV/0!</v>
      </c>
    </row>
    <row r="67" spans="1:45" ht="15.6" x14ac:dyDescent="0.3">
      <c r="A67">
        <v>5</v>
      </c>
      <c r="B67" t="s">
        <v>76</v>
      </c>
      <c r="AS67" t="e">
        <f t="shared" si="1"/>
        <v>#DIV/0!</v>
      </c>
    </row>
    <row r="68" spans="1:45" ht="15.6" x14ac:dyDescent="0.3">
      <c r="A68">
        <v>6</v>
      </c>
      <c r="B68" t="s">
        <v>77</v>
      </c>
      <c r="AS68" t="e">
        <f t="shared" si="1"/>
        <v>#DIV/0!</v>
      </c>
    </row>
    <row r="69" spans="1:45" ht="15.6" x14ac:dyDescent="0.3">
      <c r="A69">
        <v>7</v>
      </c>
      <c r="B69" t="s">
        <v>78</v>
      </c>
      <c r="AS69" t="e">
        <f t="shared" si="1"/>
        <v>#DIV/0!</v>
      </c>
    </row>
    <row r="70" spans="1:45" ht="15.6" x14ac:dyDescent="0.3">
      <c r="A70">
        <v>8</v>
      </c>
      <c r="B70" t="s">
        <v>79</v>
      </c>
      <c r="AS70" t="e">
        <f t="shared" si="1"/>
        <v>#DIV/0!</v>
      </c>
    </row>
    <row r="71" spans="1:45" ht="15.6" x14ac:dyDescent="0.3">
      <c r="A71">
        <v>9</v>
      </c>
      <c r="B71" t="s">
        <v>80</v>
      </c>
      <c r="AS71" t="e">
        <f t="shared" si="1"/>
        <v>#DIV/0!</v>
      </c>
    </row>
    <row r="72" spans="1:45" ht="15.6" x14ac:dyDescent="0.3">
      <c r="A72">
        <v>10</v>
      </c>
      <c r="B72" t="s">
        <v>81</v>
      </c>
      <c r="AS72" t="e">
        <f t="shared" si="1"/>
        <v>#DIV/0!</v>
      </c>
    </row>
    <row r="73" spans="1:45" ht="15.6" x14ac:dyDescent="0.3">
      <c r="A73">
        <v>11</v>
      </c>
      <c r="B73" t="s">
        <v>82</v>
      </c>
      <c r="AS73" t="e">
        <f t="shared" si="1"/>
        <v>#DIV/0!</v>
      </c>
    </row>
    <row r="74" spans="1:45" ht="15.6" x14ac:dyDescent="0.3">
      <c r="A74">
        <v>12</v>
      </c>
      <c r="B74" t="s">
        <v>83</v>
      </c>
      <c r="AS74" t="e">
        <f t="shared" si="1"/>
        <v>#DIV/0!</v>
      </c>
    </row>
    <row r="75" spans="1:45" ht="15.6" x14ac:dyDescent="0.3">
      <c r="A75">
        <v>13</v>
      </c>
      <c r="B75" t="s">
        <v>84</v>
      </c>
      <c r="AS75" t="e">
        <f t="shared" si="1"/>
        <v>#DIV/0!</v>
      </c>
    </row>
    <row r="76" spans="1:45" ht="15.6" x14ac:dyDescent="0.3">
      <c r="A76">
        <v>14</v>
      </c>
      <c r="B76" t="s">
        <v>85</v>
      </c>
      <c r="AS76" t="e">
        <f t="shared" ref="AS76:AS112" si="2">(V76/$V$10)*100</f>
        <v>#DIV/0!</v>
      </c>
    </row>
    <row r="77" spans="1:45" ht="15.6" x14ac:dyDescent="0.3">
      <c r="A77">
        <v>15</v>
      </c>
      <c r="B77" t="s">
        <v>86</v>
      </c>
      <c r="AS77" t="e">
        <f t="shared" si="2"/>
        <v>#DIV/0!</v>
      </c>
    </row>
    <row r="78" spans="1:45" ht="15.6" x14ac:dyDescent="0.3">
      <c r="A78">
        <v>16</v>
      </c>
      <c r="B78" t="s">
        <v>87</v>
      </c>
      <c r="AS78" t="e">
        <f t="shared" si="2"/>
        <v>#DIV/0!</v>
      </c>
    </row>
    <row r="79" spans="1:45" ht="15.6" x14ac:dyDescent="0.3">
      <c r="A79">
        <v>17</v>
      </c>
      <c r="B79" t="s">
        <v>88</v>
      </c>
      <c r="AS79" t="e">
        <f t="shared" si="2"/>
        <v>#DIV/0!</v>
      </c>
    </row>
    <row r="80" spans="1:45" ht="15.6" x14ac:dyDescent="0.3">
      <c r="A80">
        <v>18</v>
      </c>
      <c r="B80" t="s">
        <v>89</v>
      </c>
      <c r="AS80" t="e">
        <f t="shared" si="2"/>
        <v>#DIV/0!</v>
      </c>
    </row>
    <row r="81" spans="1:45" ht="15.6" x14ac:dyDescent="0.3">
      <c r="A81">
        <v>19</v>
      </c>
      <c r="B81" t="s">
        <v>90</v>
      </c>
      <c r="AS81" t="e">
        <f t="shared" si="2"/>
        <v>#DIV/0!</v>
      </c>
    </row>
    <row r="82" spans="1:45" ht="15.6" x14ac:dyDescent="0.3">
      <c r="A82">
        <v>20</v>
      </c>
      <c r="B82" t="s">
        <v>91</v>
      </c>
      <c r="AS82" t="e">
        <f t="shared" si="2"/>
        <v>#DIV/0!</v>
      </c>
    </row>
    <row r="83" spans="1:45" ht="15.6" x14ac:dyDescent="0.3">
      <c r="A83">
        <v>21</v>
      </c>
      <c r="B83" t="s">
        <v>92</v>
      </c>
      <c r="AS83" t="e">
        <f t="shared" si="2"/>
        <v>#DIV/0!</v>
      </c>
    </row>
    <row r="84" spans="1:45" ht="15.6" x14ac:dyDescent="0.3">
      <c r="A84">
        <v>22</v>
      </c>
      <c r="B84" t="s">
        <v>93</v>
      </c>
      <c r="AS84" t="e">
        <f t="shared" si="2"/>
        <v>#DIV/0!</v>
      </c>
    </row>
    <row r="85" spans="1:45" ht="15.6" x14ac:dyDescent="0.3">
      <c r="A85">
        <v>23</v>
      </c>
      <c r="B85" t="s">
        <v>94</v>
      </c>
      <c r="AS85" t="e">
        <f t="shared" si="2"/>
        <v>#DIV/0!</v>
      </c>
    </row>
    <row r="86" spans="1:45" ht="15.6" x14ac:dyDescent="0.3">
      <c r="A86">
        <v>24</v>
      </c>
      <c r="B86" t="s">
        <v>95</v>
      </c>
      <c r="AS86" t="e">
        <f t="shared" si="2"/>
        <v>#DIV/0!</v>
      </c>
    </row>
    <row r="87" spans="1:45" ht="15.6" x14ac:dyDescent="0.3">
      <c r="A87">
        <v>25</v>
      </c>
      <c r="B87" t="s">
        <v>96</v>
      </c>
      <c r="AS87" t="e">
        <f t="shared" si="2"/>
        <v>#DIV/0!</v>
      </c>
    </row>
    <row r="88" spans="1:45" ht="15.6" x14ac:dyDescent="0.3">
      <c r="A88">
        <v>26</v>
      </c>
      <c r="B88" t="s">
        <v>97</v>
      </c>
      <c r="AS88" t="e">
        <f t="shared" si="2"/>
        <v>#DIV/0!</v>
      </c>
    </row>
    <row r="89" spans="1:45" ht="15.6" x14ac:dyDescent="0.3">
      <c r="A89">
        <v>27</v>
      </c>
      <c r="B89" t="s">
        <v>98</v>
      </c>
      <c r="AS89" t="e">
        <f t="shared" si="2"/>
        <v>#DIV/0!</v>
      </c>
    </row>
    <row r="90" spans="1:45" ht="15.6" x14ac:dyDescent="0.3">
      <c r="A90">
        <v>28</v>
      </c>
      <c r="B90" t="s">
        <v>99</v>
      </c>
      <c r="AS90" t="e">
        <f t="shared" si="2"/>
        <v>#DIV/0!</v>
      </c>
    </row>
    <row r="91" spans="1:45" ht="15.6" x14ac:dyDescent="0.3">
      <c r="A91">
        <v>29</v>
      </c>
      <c r="B91" t="s">
        <v>100</v>
      </c>
      <c r="AS91" t="e">
        <f t="shared" si="2"/>
        <v>#DIV/0!</v>
      </c>
    </row>
    <row r="92" spans="1:45" ht="15.6" x14ac:dyDescent="0.3">
      <c r="A92">
        <v>30</v>
      </c>
      <c r="B92" t="s">
        <v>101</v>
      </c>
      <c r="AS92" t="e">
        <f t="shared" si="2"/>
        <v>#DIV/0!</v>
      </c>
    </row>
    <row r="93" spans="1:45" ht="15.6" x14ac:dyDescent="0.3">
      <c r="A93">
        <v>31</v>
      </c>
      <c r="B93" t="s">
        <v>102</v>
      </c>
      <c r="AS93" t="e">
        <f t="shared" si="2"/>
        <v>#DIV/0!</v>
      </c>
    </row>
    <row r="94" spans="1:45" ht="15.6" x14ac:dyDescent="0.3">
      <c r="A94">
        <v>32</v>
      </c>
      <c r="B94" t="s">
        <v>103</v>
      </c>
      <c r="AS94" t="e">
        <f t="shared" si="2"/>
        <v>#DIV/0!</v>
      </c>
    </row>
    <row r="95" spans="1:45" ht="15.6" x14ac:dyDescent="0.3">
      <c r="A95">
        <v>33</v>
      </c>
      <c r="B95" t="s">
        <v>104</v>
      </c>
      <c r="AS95" t="e">
        <f t="shared" si="2"/>
        <v>#DIV/0!</v>
      </c>
    </row>
    <row r="96" spans="1:45" ht="15.6" x14ac:dyDescent="0.3">
      <c r="A96">
        <v>34</v>
      </c>
      <c r="B96" t="s">
        <v>105</v>
      </c>
      <c r="AS96" t="e">
        <f t="shared" si="2"/>
        <v>#DIV/0!</v>
      </c>
    </row>
    <row r="97" spans="1:45" ht="15.6" x14ac:dyDescent="0.3">
      <c r="A97">
        <v>35</v>
      </c>
      <c r="B97" t="s">
        <v>106</v>
      </c>
      <c r="AS97" t="e">
        <f t="shared" si="2"/>
        <v>#DIV/0!</v>
      </c>
    </row>
    <row r="98" spans="1:45" ht="15.6" x14ac:dyDescent="0.3">
      <c r="A98">
        <v>36</v>
      </c>
      <c r="B98" t="s">
        <v>107</v>
      </c>
      <c r="AS98" t="e">
        <f t="shared" si="2"/>
        <v>#DIV/0!</v>
      </c>
    </row>
    <row r="99" spans="1:45" ht="15.6" x14ac:dyDescent="0.3">
      <c r="A99">
        <v>37</v>
      </c>
      <c r="B99" t="s">
        <v>108</v>
      </c>
      <c r="AS99" t="e">
        <f t="shared" si="2"/>
        <v>#DIV/0!</v>
      </c>
    </row>
    <row r="100" spans="1:45" ht="15.6" x14ac:dyDescent="0.3">
      <c r="A100">
        <v>38</v>
      </c>
      <c r="B100" t="s">
        <v>109</v>
      </c>
      <c r="AS100" t="e">
        <f t="shared" si="2"/>
        <v>#DIV/0!</v>
      </c>
    </row>
    <row r="101" spans="1:45" ht="15.6" x14ac:dyDescent="0.3">
      <c r="A101">
        <v>39</v>
      </c>
      <c r="B101" t="s">
        <v>110</v>
      </c>
      <c r="AS101" t="e">
        <f t="shared" si="2"/>
        <v>#DIV/0!</v>
      </c>
    </row>
    <row r="102" spans="1:45" ht="15.6" x14ac:dyDescent="0.3">
      <c r="A102">
        <v>40</v>
      </c>
      <c r="B102" t="s">
        <v>111</v>
      </c>
      <c r="AS102" t="e">
        <f t="shared" si="2"/>
        <v>#DIV/0!</v>
      </c>
    </row>
    <row r="103" spans="1:45" ht="15.6" x14ac:dyDescent="0.3">
      <c r="A103">
        <v>41</v>
      </c>
      <c r="B103" t="s">
        <v>112</v>
      </c>
      <c r="AS103" t="e">
        <f t="shared" si="2"/>
        <v>#DIV/0!</v>
      </c>
    </row>
    <row r="104" spans="1:45" ht="15.6" x14ac:dyDescent="0.3">
      <c r="A104">
        <v>42</v>
      </c>
      <c r="B104" t="s">
        <v>113</v>
      </c>
      <c r="AS104" t="e">
        <f t="shared" si="2"/>
        <v>#DIV/0!</v>
      </c>
    </row>
    <row r="105" spans="1:45" ht="15.6" x14ac:dyDescent="0.3">
      <c r="A105">
        <v>43</v>
      </c>
      <c r="B105" t="s">
        <v>114</v>
      </c>
      <c r="AS105" t="e">
        <f t="shared" si="2"/>
        <v>#DIV/0!</v>
      </c>
    </row>
    <row r="106" spans="1:45" ht="15.6" x14ac:dyDescent="0.3">
      <c r="A106">
        <v>44</v>
      </c>
      <c r="B106" t="s">
        <v>115</v>
      </c>
      <c r="AS106" t="e">
        <f t="shared" si="2"/>
        <v>#DIV/0!</v>
      </c>
    </row>
    <row r="107" spans="1:45" ht="15.6" x14ac:dyDescent="0.3">
      <c r="A107">
        <v>45</v>
      </c>
      <c r="B107" t="s">
        <v>116</v>
      </c>
      <c r="AS107" t="e">
        <f t="shared" si="2"/>
        <v>#DIV/0!</v>
      </c>
    </row>
    <row r="108" spans="1:45" ht="15.6" x14ac:dyDescent="0.3">
      <c r="A108">
        <v>46</v>
      </c>
      <c r="B108" t="s">
        <v>117</v>
      </c>
      <c r="AS108" t="e">
        <f t="shared" si="2"/>
        <v>#DIV/0!</v>
      </c>
    </row>
    <row r="109" spans="1:45" ht="15.6" x14ac:dyDescent="0.3">
      <c r="A109">
        <v>47</v>
      </c>
      <c r="B109" t="s">
        <v>118</v>
      </c>
      <c r="AS109" t="e">
        <f t="shared" si="2"/>
        <v>#DIV/0!</v>
      </c>
    </row>
    <row r="110" spans="1:45" ht="15.6" x14ac:dyDescent="0.3">
      <c r="A110">
        <v>48</v>
      </c>
      <c r="B110" t="s">
        <v>119</v>
      </c>
      <c r="AS110" t="e">
        <f t="shared" si="2"/>
        <v>#DIV/0!</v>
      </c>
    </row>
    <row r="111" spans="1:45" ht="15.6" x14ac:dyDescent="0.3">
      <c r="A111">
        <v>49</v>
      </c>
      <c r="B111" t="s">
        <v>120</v>
      </c>
      <c r="AS111" t="e">
        <f t="shared" si="2"/>
        <v>#DIV/0!</v>
      </c>
    </row>
    <row r="112" spans="1:45" ht="15.6" x14ac:dyDescent="0.3">
      <c r="A112">
        <v>50</v>
      </c>
      <c r="B112" t="s">
        <v>121</v>
      </c>
      <c r="AS112" t="e">
        <f t="shared" si="2"/>
        <v>#DIV/0!</v>
      </c>
    </row>
  </sheetData>
  <autoFilter ref="B11:B112" xr:uid="{00000000-0009-0000-0000-000000000000}"/>
  <mergeCells count="24">
    <mergeCell ref="A1:Z2"/>
    <mergeCell ref="V5:X5"/>
    <mergeCell ref="B5:F5"/>
    <mergeCell ref="L4:O4"/>
    <mergeCell ref="J7:M7"/>
    <mergeCell ref="A3:Z3"/>
    <mergeCell ref="Q7:V7"/>
    <mergeCell ref="F7:I7"/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</mergeCells>
  <pageMargins left="0.25" right="0.25" top="0.5" bottom="0.25" header="0.31496062992126" footer="0.31496062992126"/>
  <ignoredErrors>
    <ignoredError sqref="A1:AS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122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Science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127</v>
      </c>
      <c r="AB8" s="1" t="s">
        <v>128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17</v>
      </c>
      <c r="G12">
        <v>17</v>
      </c>
      <c r="H12">
        <v>19</v>
      </c>
      <c r="I12">
        <v>17</v>
      </c>
      <c r="J12">
        <v>18</v>
      </c>
      <c r="K12">
        <f t="shared" ref="K12:K43" si="0">IF(COUNT($F12:$J12)=0,"",SUM($F12:$J12))</f>
        <v>88</v>
      </c>
      <c r="L12">
        <f t="shared" ref="L12:L43" si="1">IF(ISERROR(IF($K12="","",ROUND(($K12/$K$10)*$L$10,2))),"",IF($K12="","",ROUND(($K12/$K$10)*$L$10,2)))</f>
        <v>88</v>
      </c>
      <c r="M12">
        <f t="shared" ref="M12:M43" si="2">IF($L12="","",ROUND($L12*$M$10,2))</f>
        <v>17.600000000000001</v>
      </c>
      <c r="N12">
        <v>43</v>
      </c>
      <c r="O12">
        <v>49</v>
      </c>
      <c r="P12">
        <v>47</v>
      </c>
      <c r="Q12">
        <f t="shared" ref="Q12:Q43" si="3">IF(COUNT($N12:$P12)=0,"",SUM($N12:$P12))</f>
        <v>139</v>
      </c>
      <c r="R12">
        <f t="shared" ref="R12:R43" si="4">IF(ISERROR(IF($Q12="","",ROUND(($Q12/$Q$10)*$R$10,2))),"",IF($Q12="","",ROUND(($Q12/$Q$10)*$R$10,2)))</f>
        <v>92.67</v>
      </c>
      <c r="S12">
        <f t="shared" ref="S12:S43" si="5">IF($R12="","",ROUND($R12*$S$10,2))</f>
        <v>46.34</v>
      </c>
      <c r="T12">
        <v>35</v>
      </c>
      <c r="U12">
        <v>36</v>
      </c>
      <c r="V12">
        <v>35</v>
      </c>
      <c r="W12">
        <f t="shared" ref="W12:W43" si="6">IF(COUNT($T12:$V12)=0,"",SUM($T12:$V12))</f>
        <v>106</v>
      </c>
      <c r="X12">
        <f t="shared" ref="X12:X43" si="7">IF(ISERROR(IF($W12="","",ROUND(($W12/$W$10)*$X$10,2))),"",IF($W12="","",ROUND(($W12/$W$10)*$X$10,2)))</f>
        <v>88.33</v>
      </c>
      <c r="Y12">
        <f t="shared" ref="Y12:Y43" si="8">IF($X12="","",ROUND($X12*$Y$10,2))</f>
        <v>26.5</v>
      </c>
      <c r="Z12">
        <f>IF(ISERROR(IF($W12="","",ROUND(SUM($M12,$S12,$Y12),2))),"",IF($W12="","",ROUND(SUM($M12,$S12,$Y12),2)))</f>
        <v>90.44</v>
      </c>
      <c r="AA12">
        <f>IF(ISERROR(IF($W12="","",VLOOKUP(Z12,NewTransmu,4,TRUE))),"",IF($W12="","",VLOOKUP(Z12,NewTransmu,4,TRUE)))</f>
        <v>92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87.5</v>
      </c>
      <c r="AW12">
        <f t="shared" ref="AW12:AW43" si="11">(U12/$U$10)*100</f>
        <v>90</v>
      </c>
      <c r="AX12">
        <f t="shared" ref="AX12:AX43" si="12">(V12/$V$10)*100</f>
        <v>87.5</v>
      </c>
    </row>
    <row r="13" spans="1:50" ht="15.6" x14ac:dyDescent="0.3">
      <c r="A13">
        <v>2</v>
      </c>
      <c r="B13" t="str">
        <f>INPUT!B13</f>
        <v>Alcantara, Angelo</v>
      </c>
      <c r="F13">
        <v>18</v>
      </c>
      <c r="G13">
        <v>18</v>
      </c>
      <c r="H13">
        <v>18</v>
      </c>
      <c r="I13">
        <v>18</v>
      </c>
      <c r="J13">
        <v>18</v>
      </c>
      <c r="K13">
        <f t="shared" si="0"/>
        <v>90</v>
      </c>
      <c r="L13">
        <f t="shared" si="1"/>
        <v>90</v>
      </c>
      <c r="M13">
        <f t="shared" si="2"/>
        <v>18</v>
      </c>
      <c r="N13">
        <v>47</v>
      </c>
      <c r="O13">
        <v>48</v>
      </c>
      <c r="P13">
        <v>46</v>
      </c>
      <c r="Q13">
        <f t="shared" si="3"/>
        <v>141</v>
      </c>
      <c r="R13">
        <f t="shared" si="4"/>
        <v>94</v>
      </c>
      <c r="S13">
        <f t="shared" si="5"/>
        <v>47</v>
      </c>
      <c r="T13">
        <v>33</v>
      </c>
      <c r="U13">
        <v>37</v>
      </c>
      <c r="V13">
        <v>36</v>
      </c>
      <c r="W13">
        <f t="shared" si="6"/>
        <v>106</v>
      </c>
      <c r="X13">
        <f t="shared" si="7"/>
        <v>88.33</v>
      </c>
      <c r="Y13">
        <f t="shared" si="8"/>
        <v>26.5</v>
      </c>
      <c r="Z13">
        <f t="shared" ref="Z13:Z44" si="13">IF(ISERROR(IF($V13="","",ROUND(SUM($M13,$S13,$Y13),2))),"",IF($V13="","",ROUND(SUM($M13,$S13,$Y13),2)))</f>
        <v>91.5</v>
      </c>
      <c r="AA13">
        <f t="shared" ref="AA13:AA44" si="14">IF(ISERROR(IF($V13="","",VLOOKUP(Z13,NewTransmu,4,TRUE))),"",IF($V13="","",VLOOKUP(Z13,NewTransmu,4,TRUE)))</f>
        <v>93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82.5</v>
      </c>
      <c r="AW13">
        <f t="shared" si="11"/>
        <v>92.5</v>
      </c>
      <c r="AX13">
        <f t="shared" si="12"/>
        <v>90</v>
      </c>
    </row>
    <row r="14" spans="1:50" ht="15.6" x14ac:dyDescent="0.3">
      <c r="A14">
        <v>3</v>
      </c>
      <c r="B14" t="str">
        <f>INPUT!B14</f>
        <v>Andrada, Anton</v>
      </c>
      <c r="F14">
        <v>16</v>
      </c>
      <c r="G14">
        <v>16</v>
      </c>
      <c r="H14">
        <v>14</v>
      </c>
      <c r="I14">
        <v>14</v>
      </c>
      <c r="J14">
        <v>16</v>
      </c>
      <c r="K14">
        <f t="shared" si="0"/>
        <v>76</v>
      </c>
      <c r="L14">
        <f t="shared" si="1"/>
        <v>76</v>
      </c>
      <c r="M14">
        <f t="shared" si="2"/>
        <v>15.2</v>
      </c>
      <c r="N14">
        <v>42</v>
      </c>
      <c r="O14">
        <v>36</v>
      </c>
      <c r="P14">
        <v>35</v>
      </c>
      <c r="Q14">
        <f t="shared" si="3"/>
        <v>113</v>
      </c>
      <c r="R14">
        <f t="shared" si="4"/>
        <v>75.33</v>
      </c>
      <c r="S14">
        <f t="shared" si="5"/>
        <v>37.67</v>
      </c>
      <c r="T14">
        <v>30</v>
      </c>
      <c r="U14">
        <v>26</v>
      </c>
      <c r="V14">
        <v>28</v>
      </c>
      <c r="W14">
        <f t="shared" si="6"/>
        <v>84</v>
      </c>
      <c r="X14">
        <f t="shared" si="7"/>
        <v>70</v>
      </c>
      <c r="Y14">
        <f t="shared" si="8"/>
        <v>21</v>
      </c>
      <c r="Z14">
        <f t="shared" si="13"/>
        <v>73.87</v>
      </c>
      <c r="AA14">
        <f t="shared" si="14"/>
        <v>76</v>
      </c>
      <c r="AB14" t="str">
        <f t="shared" si="9"/>
        <v>Connecting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75</v>
      </c>
      <c r="AW14">
        <f t="shared" si="11"/>
        <v>65</v>
      </c>
      <c r="AX14">
        <f t="shared" si="12"/>
        <v>70</v>
      </c>
    </row>
    <row r="15" spans="1:50" ht="15.6" x14ac:dyDescent="0.3">
      <c r="A15">
        <v>4</v>
      </c>
      <c r="B15" t="str">
        <f>INPUT!B15</f>
        <v>Bautista, Bryan</v>
      </c>
      <c r="F15">
        <v>14</v>
      </c>
      <c r="G15">
        <v>14</v>
      </c>
      <c r="H15">
        <v>14</v>
      </c>
      <c r="I15">
        <v>15</v>
      </c>
      <c r="J15">
        <v>13</v>
      </c>
      <c r="K15">
        <f t="shared" si="0"/>
        <v>70</v>
      </c>
      <c r="L15">
        <f t="shared" si="1"/>
        <v>70</v>
      </c>
      <c r="M15">
        <f t="shared" si="2"/>
        <v>14</v>
      </c>
      <c r="N15">
        <v>40</v>
      </c>
      <c r="O15">
        <v>38</v>
      </c>
      <c r="P15">
        <v>35</v>
      </c>
      <c r="Q15">
        <f t="shared" si="3"/>
        <v>113</v>
      </c>
      <c r="R15">
        <f t="shared" si="4"/>
        <v>75.33</v>
      </c>
      <c r="S15">
        <f t="shared" si="5"/>
        <v>37.67</v>
      </c>
      <c r="T15">
        <v>26</v>
      </c>
      <c r="U15">
        <v>25</v>
      </c>
      <c r="V15">
        <v>25</v>
      </c>
      <c r="W15">
        <f t="shared" si="6"/>
        <v>76</v>
      </c>
      <c r="X15">
        <f t="shared" si="7"/>
        <v>63.33</v>
      </c>
      <c r="Y15">
        <f t="shared" si="8"/>
        <v>19</v>
      </c>
      <c r="Z15">
        <f t="shared" si="13"/>
        <v>70.67</v>
      </c>
      <c r="AA15">
        <f t="shared" si="14"/>
        <v>75</v>
      </c>
      <c r="AB15" t="str">
        <f t="shared" si="9"/>
        <v>Connecting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65</v>
      </c>
      <c r="AW15">
        <f t="shared" si="11"/>
        <v>62.5</v>
      </c>
      <c r="AX15">
        <f t="shared" si="12"/>
        <v>62.5</v>
      </c>
    </row>
    <row r="16" spans="1:50" ht="15.6" x14ac:dyDescent="0.3">
      <c r="A16">
        <v>5</v>
      </c>
      <c r="B16" t="str">
        <f>INPUT!B16</f>
        <v>Bernardo, Caleb</v>
      </c>
      <c r="F16">
        <v>20</v>
      </c>
      <c r="G16">
        <v>19</v>
      </c>
      <c r="H16">
        <v>19</v>
      </c>
      <c r="I16">
        <v>19</v>
      </c>
      <c r="J16">
        <v>20</v>
      </c>
      <c r="K16">
        <f t="shared" si="0"/>
        <v>97</v>
      </c>
      <c r="L16">
        <f t="shared" si="1"/>
        <v>97</v>
      </c>
      <c r="M16">
        <f t="shared" si="2"/>
        <v>19.399999999999999</v>
      </c>
      <c r="N16">
        <v>47</v>
      </c>
      <c r="O16">
        <v>48</v>
      </c>
      <c r="P16">
        <v>48</v>
      </c>
      <c r="Q16">
        <f t="shared" si="3"/>
        <v>143</v>
      </c>
      <c r="R16">
        <f t="shared" si="4"/>
        <v>95.33</v>
      </c>
      <c r="S16">
        <f t="shared" si="5"/>
        <v>47.67</v>
      </c>
      <c r="T16">
        <v>37</v>
      </c>
      <c r="U16">
        <v>39</v>
      </c>
      <c r="V16">
        <v>37</v>
      </c>
      <c r="W16">
        <f t="shared" si="6"/>
        <v>113</v>
      </c>
      <c r="X16">
        <f t="shared" si="7"/>
        <v>94.17</v>
      </c>
      <c r="Y16">
        <f t="shared" si="8"/>
        <v>28.25</v>
      </c>
      <c r="Z16">
        <f t="shared" si="13"/>
        <v>95.32</v>
      </c>
      <c r="AA16">
        <f t="shared" si="14"/>
        <v>97</v>
      </c>
      <c r="AB16" t="str">
        <f t="shared" si="9"/>
        <v>Advancing</v>
      </c>
      <c r="AV16">
        <f t="shared" si="10"/>
        <v>92.5</v>
      </c>
      <c r="AW16">
        <f t="shared" si="11"/>
        <v>97.5</v>
      </c>
      <c r="AX16">
        <f t="shared" si="12"/>
        <v>92.5</v>
      </c>
    </row>
    <row r="17" spans="1:50" ht="15.6" x14ac:dyDescent="0.3">
      <c r="A17">
        <v>6</v>
      </c>
      <c r="B17" t="str">
        <f>INPUT!B17</f>
        <v>Castillo, Carlo</v>
      </c>
      <c r="F17">
        <v>17</v>
      </c>
      <c r="G17">
        <v>18</v>
      </c>
      <c r="H17">
        <v>17</v>
      </c>
      <c r="I17">
        <v>18</v>
      </c>
      <c r="J17">
        <v>18</v>
      </c>
      <c r="K17">
        <f t="shared" si="0"/>
        <v>88</v>
      </c>
      <c r="L17">
        <f t="shared" si="1"/>
        <v>88</v>
      </c>
      <c r="M17">
        <f t="shared" si="2"/>
        <v>17.600000000000001</v>
      </c>
      <c r="N17">
        <v>48</v>
      </c>
      <c r="O17">
        <v>47</v>
      </c>
      <c r="P17">
        <v>47</v>
      </c>
      <c r="Q17">
        <f t="shared" si="3"/>
        <v>142</v>
      </c>
      <c r="R17">
        <f t="shared" si="4"/>
        <v>94.67</v>
      </c>
      <c r="S17">
        <f t="shared" si="5"/>
        <v>47.34</v>
      </c>
      <c r="T17">
        <v>31</v>
      </c>
      <c r="U17">
        <v>32</v>
      </c>
      <c r="V17">
        <v>33</v>
      </c>
      <c r="W17">
        <f t="shared" si="6"/>
        <v>96</v>
      </c>
      <c r="X17">
        <f t="shared" si="7"/>
        <v>80</v>
      </c>
      <c r="Y17">
        <f t="shared" si="8"/>
        <v>24</v>
      </c>
      <c r="Z17">
        <f t="shared" si="13"/>
        <v>88.94</v>
      </c>
      <c r="AA17">
        <f t="shared" si="14"/>
        <v>90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77.5</v>
      </c>
      <c r="AW17">
        <f t="shared" si="11"/>
        <v>80</v>
      </c>
      <c r="AX17">
        <f t="shared" si="12"/>
        <v>82.5</v>
      </c>
    </row>
    <row r="18" spans="1:50" ht="15.6" x14ac:dyDescent="0.3">
      <c r="A18">
        <v>7</v>
      </c>
      <c r="B18" t="str">
        <f>INPUT!B18</f>
        <v>Cruz, Christian</v>
      </c>
      <c r="F18">
        <v>16</v>
      </c>
      <c r="G18">
        <v>19</v>
      </c>
      <c r="H18">
        <v>18</v>
      </c>
      <c r="I18">
        <v>18</v>
      </c>
      <c r="J18">
        <v>16</v>
      </c>
      <c r="K18">
        <f t="shared" si="0"/>
        <v>87</v>
      </c>
      <c r="L18">
        <f t="shared" si="1"/>
        <v>87</v>
      </c>
      <c r="M18">
        <f t="shared" si="2"/>
        <v>17.399999999999999</v>
      </c>
      <c r="N18">
        <v>42</v>
      </c>
      <c r="O18">
        <v>43</v>
      </c>
      <c r="P18">
        <v>47</v>
      </c>
      <c r="Q18">
        <f t="shared" si="3"/>
        <v>132</v>
      </c>
      <c r="R18">
        <f t="shared" si="4"/>
        <v>88</v>
      </c>
      <c r="S18">
        <f t="shared" si="5"/>
        <v>44</v>
      </c>
      <c r="T18">
        <v>30</v>
      </c>
      <c r="U18">
        <v>34</v>
      </c>
      <c r="V18">
        <v>34</v>
      </c>
      <c r="W18">
        <f t="shared" si="6"/>
        <v>98</v>
      </c>
      <c r="X18">
        <f t="shared" si="7"/>
        <v>81.67</v>
      </c>
      <c r="Y18">
        <f t="shared" si="8"/>
        <v>24.5</v>
      </c>
      <c r="Z18">
        <f t="shared" si="13"/>
        <v>85.9</v>
      </c>
      <c r="AA18">
        <f t="shared" si="14"/>
        <v>87</v>
      </c>
      <c r="AB18" t="str">
        <f t="shared" si="9"/>
        <v>Benchmarking</v>
      </c>
      <c r="AD18" t="s">
        <v>139</v>
      </c>
      <c r="AE18">
        <f>COUNTIF(AV12:AV112,"&gt;=75")</f>
        <v>71</v>
      </c>
      <c r="AF18">
        <f>COUNTIF(AW12:AW112,"&gt;=75")</f>
        <v>63</v>
      </c>
      <c r="AG18">
        <f>COUNTIF(AX12:AX112,"&gt;=75")</f>
        <v>62</v>
      </c>
      <c r="AV18">
        <f t="shared" si="10"/>
        <v>75</v>
      </c>
      <c r="AW18">
        <f t="shared" si="11"/>
        <v>85</v>
      </c>
      <c r="AX18">
        <f t="shared" si="12"/>
        <v>85</v>
      </c>
    </row>
    <row r="19" spans="1:50" ht="15.6" x14ac:dyDescent="0.3">
      <c r="A19">
        <v>8</v>
      </c>
      <c r="B19" t="str">
        <f>INPUT!B19</f>
        <v>Dela Cruz, Daniel</v>
      </c>
      <c r="F19">
        <v>20</v>
      </c>
      <c r="G19">
        <v>18</v>
      </c>
      <c r="H19">
        <v>18</v>
      </c>
      <c r="I19">
        <v>20</v>
      </c>
      <c r="J19">
        <v>20</v>
      </c>
      <c r="K19">
        <f t="shared" si="0"/>
        <v>96</v>
      </c>
      <c r="L19">
        <f t="shared" si="1"/>
        <v>96</v>
      </c>
      <c r="M19">
        <f t="shared" si="2"/>
        <v>19.2</v>
      </c>
      <c r="N19">
        <v>49</v>
      </c>
      <c r="O19">
        <v>47</v>
      </c>
      <c r="P19">
        <v>50</v>
      </c>
      <c r="Q19">
        <f t="shared" si="3"/>
        <v>146</v>
      </c>
      <c r="R19">
        <f t="shared" si="4"/>
        <v>97.33</v>
      </c>
      <c r="S19">
        <f t="shared" si="5"/>
        <v>48.67</v>
      </c>
      <c r="T19">
        <v>38</v>
      </c>
      <c r="U19">
        <v>37</v>
      </c>
      <c r="V19">
        <v>35</v>
      </c>
      <c r="W19">
        <f t="shared" si="6"/>
        <v>110</v>
      </c>
      <c r="X19">
        <f t="shared" si="7"/>
        <v>91.67</v>
      </c>
      <c r="Y19">
        <f t="shared" si="8"/>
        <v>27.5</v>
      </c>
      <c r="Z19">
        <f t="shared" si="13"/>
        <v>95.37</v>
      </c>
      <c r="AA19">
        <f t="shared" si="14"/>
        <v>97</v>
      </c>
      <c r="AB19" t="str">
        <f t="shared" si="9"/>
        <v>Advancing</v>
      </c>
      <c r="AD19" t="s">
        <v>140</v>
      </c>
      <c r="AE19">
        <f>IFERROR(AE18/AE14,"")</f>
        <v>0.71</v>
      </c>
      <c r="AF19">
        <f>IFERROR(AF18/AF14,"")</f>
        <v>0.63</v>
      </c>
      <c r="AG19">
        <f>IFERROR(AG18/AG14,"")</f>
        <v>0.62</v>
      </c>
      <c r="AV19">
        <f t="shared" si="10"/>
        <v>95</v>
      </c>
      <c r="AW19">
        <f t="shared" si="11"/>
        <v>92.5</v>
      </c>
      <c r="AX19">
        <f t="shared" si="12"/>
        <v>87.5</v>
      </c>
    </row>
    <row r="20" spans="1:50" ht="15.6" x14ac:dyDescent="0.3">
      <c r="A20">
        <v>9</v>
      </c>
      <c r="B20" t="str">
        <f>INPUT!B20</f>
        <v>Diaz, Darren</v>
      </c>
      <c r="F20">
        <v>19</v>
      </c>
      <c r="G20">
        <v>18</v>
      </c>
      <c r="H20">
        <v>17</v>
      </c>
      <c r="I20">
        <v>17</v>
      </c>
      <c r="J20">
        <v>19</v>
      </c>
      <c r="K20">
        <f t="shared" si="0"/>
        <v>90</v>
      </c>
      <c r="L20">
        <f t="shared" si="1"/>
        <v>90</v>
      </c>
      <c r="M20">
        <f t="shared" si="2"/>
        <v>18</v>
      </c>
      <c r="N20">
        <v>43</v>
      </c>
      <c r="O20">
        <v>47</v>
      </c>
      <c r="P20">
        <v>47</v>
      </c>
      <c r="Q20">
        <f t="shared" si="3"/>
        <v>137</v>
      </c>
      <c r="R20">
        <f t="shared" si="4"/>
        <v>91.33</v>
      </c>
      <c r="S20">
        <f t="shared" si="5"/>
        <v>45.67</v>
      </c>
      <c r="T20">
        <v>35</v>
      </c>
      <c r="U20">
        <v>32</v>
      </c>
      <c r="V20">
        <v>36</v>
      </c>
      <c r="W20">
        <f t="shared" si="6"/>
        <v>103</v>
      </c>
      <c r="X20">
        <f t="shared" si="7"/>
        <v>85.83</v>
      </c>
      <c r="Y20">
        <f t="shared" si="8"/>
        <v>25.75</v>
      </c>
      <c r="Z20">
        <f t="shared" si="13"/>
        <v>89.42</v>
      </c>
      <c r="AA20">
        <f t="shared" si="14"/>
        <v>91</v>
      </c>
      <c r="AB20" t="str">
        <f t="shared" si="9"/>
        <v>Advancing</v>
      </c>
      <c r="AD20" t="s">
        <v>141</v>
      </c>
      <c r="AE20">
        <f>AE14-AE18</f>
        <v>29</v>
      </c>
      <c r="AF20">
        <f>AF14-AF18</f>
        <v>37</v>
      </c>
      <c r="AG20">
        <f>AG14-AG18</f>
        <v>38</v>
      </c>
      <c r="AV20">
        <f t="shared" si="10"/>
        <v>87.5</v>
      </c>
      <c r="AW20">
        <f t="shared" si="11"/>
        <v>80</v>
      </c>
      <c r="AX20">
        <f t="shared" si="12"/>
        <v>90</v>
      </c>
    </row>
    <row r="21" spans="1:50" ht="15.6" x14ac:dyDescent="0.3">
      <c r="A21">
        <v>10</v>
      </c>
      <c r="B21" t="str">
        <f>INPUT!B21</f>
        <v>Evangelista, Diego</v>
      </c>
      <c r="F21">
        <v>16</v>
      </c>
      <c r="G21">
        <v>15</v>
      </c>
      <c r="H21">
        <v>17</v>
      </c>
      <c r="I21">
        <v>16</v>
      </c>
      <c r="J21">
        <v>17</v>
      </c>
      <c r="K21">
        <f t="shared" si="0"/>
        <v>81</v>
      </c>
      <c r="L21">
        <f t="shared" si="1"/>
        <v>81</v>
      </c>
      <c r="M21">
        <f t="shared" si="2"/>
        <v>16.2</v>
      </c>
      <c r="N21">
        <v>45</v>
      </c>
      <c r="O21">
        <v>45</v>
      </c>
      <c r="P21">
        <v>42</v>
      </c>
      <c r="Q21">
        <f t="shared" si="3"/>
        <v>132</v>
      </c>
      <c r="R21">
        <f t="shared" si="4"/>
        <v>88</v>
      </c>
      <c r="S21">
        <f t="shared" si="5"/>
        <v>44</v>
      </c>
      <c r="T21">
        <v>32</v>
      </c>
      <c r="U21">
        <v>33</v>
      </c>
      <c r="V21">
        <v>32</v>
      </c>
      <c r="W21">
        <f t="shared" si="6"/>
        <v>97</v>
      </c>
      <c r="X21">
        <f t="shared" si="7"/>
        <v>80.83</v>
      </c>
      <c r="Y21">
        <f t="shared" si="8"/>
        <v>24.25</v>
      </c>
      <c r="Z21">
        <f t="shared" si="13"/>
        <v>84.45</v>
      </c>
      <c r="AA21">
        <f t="shared" si="14"/>
        <v>86</v>
      </c>
      <c r="AB21" t="str">
        <f t="shared" si="9"/>
        <v>Benchmarking</v>
      </c>
      <c r="AD21" t="s">
        <v>140</v>
      </c>
      <c r="AE21">
        <f>IFERROR(1-AE19,"")</f>
        <v>0.29000000000000004</v>
      </c>
      <c r="AF21">
        <f>IFERROR(1-AF19,"")</f>
        <v>0.37</v>
      </c>
      <c r="AG21">
        <f>IFERROR(1-AG19,"")</f>
        <v>0.38</v>
      </c>
      <c r="AV21">
        <f t="shared" si="10"/>
        <v>80</v>
      </c>
      <c r="AW21">
        <f t="shared" si="11"/>
        <v>82.5</v>
      </c>
      <c r="AX21">
        <f t="shared" si="12"/>
        <v>80</v>
      </c>
    </row>
    <row r="22" spans="1:50" ht="15.6" x14ac:dyDescent="0.3">
      <c r="A22">
        <v>11</v>
      </c>
      <c r="B22" t="str">
        <f>INPUT!B22</f>
        <v>Fernandez, Ethan</v>
      </c>
      <c r="F22">
        <v>14</v>
      </c>
      <c r="G22">
        <v>12</v>
      </c>
      <c r="H22">
        <v>14</v>
      </c>
      <c r="I22">
        <v>12</v>
      </c>
      <c r="J22">
        <v>14</v>
      </c>
      <c r="K22">
        <f t="shared" si="0"/>
        <v>66</v>
      </c>
      <c r="L22">
        <f t="shared" si="1"/>
        <v>66</v>
      </c>
      <c r="M22">
        <f t="shared" si="2"/>
        <v>13.2</v>
      </c>
      <c r="N22">
        <v>32</v>
      </c>
      <c r="O22">
        <v>38</v>
      </c>
      <c r="P22">
        <v>33</v>
      </c>
      <c r="Q22">
        <f t="shared" si="3"/>
        <v>103</v>
      </c>
      <c r="R22">
        <f t="shared" si="4"/>
        <v>68.67</v>
      </c>
      <c r="S22">
        <f t="shared" si="5"/>
        <v>34.340000000000003</v>
      </c>
      <c r="T22">
        <v>26</v>
      </c>
      <c r="U22">
        <v>23</v>
      </c>
      <c r="V22">
        <v>25</v>
      </c>
      <c r="W22">
        <f t="shared" si="6"/>
        <v>74</v>
      </c>
      <c r="X22">
        <f t="shared" si="7"/>
        <v>61.67</v>
      </c>
      <c r="Y22">
        <f t="shared" si="8"/>
        <v>18.5</v>
      </c>
      <c r="Z22">
        <f t="shared" si="13"/>
        <v>66.040000000000006</v>
      </c>
      <c r="AA22">
        <f t="shared" si="14"/>
        <v>73</v>
      </c>
      <c r="AB22" t="str">
        <f t="shared" si="9"/>
        <v xml:space="preserve">Developing </v>
      </c>
      <c r="AV22">
        <f t="shared" si="10"/>
        <v>65</v>
      </c>
      <c r="AW22">
        <f t="shared" si="11"/>
        <v>57.499999999999993</v>
      </c>
      <c r="AX22">
        <f t="shared" si="12"/>
        <v>62.5</v>
      </c>
    </row>
    <row r="23" spans="1:50" ht="15.6" x14ac:dyDescent="0.3">
      <c r="A23">
        <v>12</v>
      </c>
      <c r="B23" t="str">
        <f>INPUT!B23</f>
        <v>Garcia, Gabriel</v>
      </c>
      <c r="F23">
        <v>14</v>
      </c>
      <c r="G23">
        <v>13</v>
      </c>
      <c r="H23">
        <v>13</v>
      </c>
      <c r="I23">
        <v>13</v>
      </c>
      <c r="J23">
        <v>14</v>
      </c>
      <c r="K23">
        <f t="shared" si="0"/>
        <v>67</v>
      </c>
      <c r="L23">
        <f t="shared" si="1"/>
        <v>67</v>
      </c>
      <c r="M23">
        <f t="shared" si="2"/>
        <v>13.4</v>
      </c>
      <c r="N23">
        <v>38</v>
      </c>
      <c r="O23">
        <v>35</v>
      </c>
      <c r="P23">
        <v>34</v>
      </c>
      <c r="Q23">
        <f t="shared" si="3"/>
        <v>107</v>
      </c>
      <c r="R23">
        <f t="shared" si="4"/>
        <v>71.33</v>
      </c>
      <c r="S23">
        <f t="shared" si="5"/>
        <v>35.67</v>
      </c>
      <c r="T23">
        <v>24</v>
      </c>
      <c r="U23">
        <v>25</v>
      </c>
      <c r="V23">
        <v>24</v>
      </c>
      <c r="W23">
        <f t="shared" si="6"/>
        <v>73</v>
      </c>
      <c r="X23">
        <f t="shared" si="7"/>
        <v>60.83</v>
      </c>
      <c r="Y23">
        <f t="shared" si="8"/>
        <v>18.25</v>
      </c>
      <c r="Z23">
        <f t="shared" si="13"/>
        <v>67.319999999999993</v>
      </c>
      <c r="AA23">
        <f t="shared" si="14"/>
        <v>73</v>
      </c>
      <c r="AB23" t="str">
        <f t="shared" si="9"/>
        <v xml:space="preserve">Developing 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60</v>
      </c>
      <c r="AW23">
        <f t="shared" si="11"/>
        <v>62.5</v>
      </c>
      <c r="AX23">
        <f t="shared" si="12"/>
        <v>60</v>
      </c>
    </row>
    <row r="24" spans="1:50" ht="15.6" x14ac:dyDescent="0.3">
      <c r="A24">
        <v>13</v>
      </c>
      <c r="B24" t="str">
        <f>INPUT!B24</f>
        <v>Gonzales, Harold</v>
      </c>
      <c r="F24">
        <v>17</v>
      </c>
      <c r="G24">
        <v>17</v>
      </c>
      <c r="H24">
        <v>19</v>
      </c>
      <c r="I24">
        <v>18</v>
      </c>
      <c r="J24">
        <v>17</v>
      </c>
      <c r="K24">
        <f t="shared" si="0"/>
        <v>88</v>
      </c>
      <c r="L24">
        <f t="shared" si="1"/>
        <v>88</v>
      </c>
      <c r="M24">
        <f t="shared" si="2"/>
        <v>17.600000000000001</v>
      </c>
      <c r="N24">
        <v>50</v>
      </c>
      <c r="O24">
        <v>49</v>
      </c>
      <c r="P24">
        <v>45</v>
      </c>
      <c r="Q24">
        <f t="shared" si="3"/>
        <v>144</v>
      </c>
      <c r="R24">
        <f t="shared" si="4"/>
        <v>96</v>
      </c>
      <c r="S24">
        <f t="shared" si="5"/>
        <v>48</v>
      </c>
      <c r="T24">
        <v>36</v>
      </c>
      <c r="U24">
        <v>33</v>
      </c>
      <c r="V24">
        <v>33</v>
      </c>
      <c r="W24">
        <f t="shared" si="6"/>
        <v>102</v>
      </c>
      <c r="X24">
        <f t="shared" si="7"/>
        <v>85</v>
      </c>
      <c r="Y24">
        <f t="shared" si="8"/>
        <v>25.5</v>
      </c>
      <c r="Z24">
        <f t="shared" si="13"/>
        <v>91.1</v>
      </c>
      <c r="AA24">
        <f t="shared" si="14"/>
        <v>93</v>
      </c>
      <c r="AB24" t="str">
        <f t="shared" si="9"/>
        <v>Advancing</v>
      </c>
      <c r="AD24" t="s">
        <v>143</v>
      </c>
      <c r="AE24">
        <f>IFERROR(AVERAGE(T12:T112),"")</f>
        <v>30.55</v>
      </c>
      <c r="AF24">
        <f>IFERROR(AVERAGE(U12:U112),"")</f>
        <v>30.39</v>
      </c>
      <c r="AG24">
        <f>IFERROR(AVERAGE(V12:V112),"")</f>
        <v>30.31</v>
      </c>
      <c r="AV24">
        <f t="shared" si="10"/>
        <v>90</v>
      </c>
      <c r="AW24">
        <f t="shared" si="11"/>
        <v>82.5</v>
      </c>
      <c r="AX24">
        <f t="shared" si="12"/>
        <v>82.5</v>
      </c>
    </row>
    <row r="25" spans="1:50" ht="15.6" x14ac:dyDescent="0.3">
      <c r="A25">
        <v>14</v>
      </c>
      <c r="B25" t="str">
        <f>INPUT!B25</f>
        <v>Hernandez, Ivan</v>
      </c>
      <c r="F25">
        <v>18</v>
      </c>
      <c r="G25">
        <v>17</v>
      </c>
      <c r="H25">
        <v>17</v>
      </c>
      <c r="I25">
        <v>18</v>
      </c>
      <c r="J25">
        <v>18</v>
      </c>
      <c r="K25">
        <f t="shared" si="0"/>
        <v>88</v>
      </c>
      <c r="L25">
        <f t="shared" si="1"/>
        <v>88</v>
      </c>
      <c r="M25">
        <f t="shared" si="2"/>
        <v>17.600000000000001</v>
      </c>
      <c r="N25">
        <v>43</v>
      </c>
      <c r="O25">
        <v>44</v>
      </c>
      <c r="P25">
        <v>44</v>
      </c>
      <c r="Q25">
        <f t="shared" si="3"/>
        <v>131</v>
      </c>
      <c r="R25">
        <f t="shared" si="4"/>
        <v>87.33</v>
      </c>
      <c r="S25">
        <f t="shared" si="5"/>
        <v>43.67</v>
      </c>
      <c r="T25">
        <v>33</v>
      </c>
      <c r="U25">
        <v>31</v>
      </c>
      <c r="V25">
        <v>34</v>
      </c>
      <c r="W25">
        <f t="shared" si="6"/>
        <v>98</v>
      </c>
      <c r="X25">
        <f t="shared" si="7"/>
        <v>81.67</v>
      </c>
      <c r="Y25">
        <f t="shared" si="8"/>
        <v>24.5</v>
      </c>
      <c r="Z25">
        <f t="shared" si="13"/>
        <v>85.77</v>
      </c>
      <c r="AA25">
        <f t="shared" si="14"/>
        <v>87</v>
      </c>
      <c r="AB25" t="str">
        <f t="shared" si="9"/>
        <v>Benchmarking</v>
      </c>
      <c r="AD25" t="s">
        <v>144</v>
      </c>
      <c r="AE25">
        <f>IFERROR(MEDIAN(T12:T112),"")</f>
        <v>31</v>
      </c>
      <c r="AF25">
        <f>IFERROR(MEDIAN(U12:U112),"")</f>
        <v>32</v>
      </c>
      <c r="AG25">
        <f>IFERROR(MEDIAN(V12:V112),"")</f>
        <v>32</v>
      </c>
      <c r="AV25">
        <f t="shared" si="10"/>
        <v>82.5</v>
      </c>
      <c r="AW25">
        <f t="shared" si="11"/>
        <v>77.5</v>
      </c>
      <c r="AX25">
        <f t="shared" si="12"/>
        <v>85</v>
      </c>
    </row>
    <row r="26" spans="1:50" ht="15.6" x14ac:dyDescent="0.3">
      <c r="A26">
        <v>15</v>
      </c>
      <c r="B26" t="str">
        <f>INPUT!B26</f>
        <v>Ilagan, Jacob</v>
      </c>
      <c r="F26">
        <v>8</v>
      </c>
      <c r="G26">
        <v>8</v>
      </c>
      <c r="H26">
        <v>7</v>
      </c>
      <c r="I26">
        <v>7</v>
      </c>
      <c r="J26">
        <v>9</v>
      </c>
      <c r="K26">
        <f t="shared" si="0"/>
        <v>39</v>
      </c>
      <c r="L26">
        <f t="shared" si="1"/>
        <v>39</v>
      </c>
      <c r="M26">
        <f t="shared" si="2"/>
        <v>7.8</v>
      </c>
      <c r="N26">
        <v>24</v>
      </c>
      <c r="O26">
        <v>24</v>
      </c>
      <c r="P26">
        <v>20</v>
      </c>
      <c r="Q26">
        <f t="shared" si="3"/>
        <v>68</v>
      </c>
      <c r="R26">
        <f t="shared" si="4"/>
        <v>45.33</v>
      </c>
      <c r="S26">
        <f t="shared" si="5"/>
        <v>22.67</v>
      </c>
      <c r="T26">
        <v>17</v>
      </c>
      <c r="U26">
        <v>14</v>
      </c>
      <c r="V26">
        <v>13</v>
      </c>
      <c r="W26">
        <f t="shared" si="6"/>
        <v>44</v>
      </c>
      <c r="X26">
        <f t="shared" si="7"/>
        <v>36.67</v>
      </c>
      <c r="Y26">
        <f t="shared" si="8"/>
        <v>11</v>
      </c>
      <c r="Z26">
        <f t="shared" si="13"/>
        <v>41.47</v>
      </c>
      <c r="AA26">
        <f t="shared" si="14"/>
        <v>61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42.5</v>
      </c>
      <c r="AW26">
        <f t="shared" si="11"/>
        <v>35</v>
      </c>
      <c r="AX26">
        <f t="shared" si="12"/>
        <v>32.5</v>
      </c>
    </row>
    <row r="27" spans="1:50" ht="15.6" x14ac:dyDescent="0.3">
      <c r="A27">
        <v>16</v>
      </c>
      <c r="B27" t="str">
        <f>INPUT!B27</f>
        <v>Jimenez, James</v>
      </c>
      <c r="F27">
        <v>18</v>
      </c>
      <c r="G27">
        <v>17</v>
      </c>
      <c r="H27">
        <v>17</v>
      </c>
      <c r="I27">
        <v>18</v>
      </c>
      <c r="J27">
        <v>17</v>
      </c>
      <c r="K27">
        <f t="shared" si="0"/>
        <v>87</v>
      </c>
      <c r="L27">
        <f t="shared" si="1"/>
        <v>87</v>
      </c>
      <c r="M27">
        <f t="shared" si="2"/>
        <v>17.399999999999999</v>
      </c>
      <c r="N27">
        <v>44</v>
      </c>
      <c r="O27">
        <v>41</v>
      </c>
      <c r="P27">
        <v>45</v>
      </c>
      <c r="Q27">
        <f t="shared" si="3"/>
        <v>130</v>
      </c>
      <c r="R27">
        <f t="shared" si="4"/>
        <v>86.67</v>
      </c>
      <c r="S27">
        <f t="shared" si="5"/>
        <v>43.34</v>
      </c>
      <c r="T27">
        <v>34</v>
      </c>
      <c r="U27">
        <v>32</v>
      </c>
      <c r="V27">
        <v>31</v>
      </c>
      <c r="W27">
        <f t="shared" si="6"/>
        <v>97</v>
      </c>
      <c r="X27">
        <f t="shared" si="7"/>
        <v>80.83</v>
      </c>
      <c r="Y27">
        <f t="shared" si="8"/>
        <v>24.25</v>
      </c>
      <c r="Z27">
        <f t="shared" si="13"/>
        <v>84.99</v>
      </c>
      <c r="AA27">
        <f t="shared" si="14"/>
        <v>86</v>
      </c>
      <c r="AB27" t="str">
        <f t="shared" si="9"/>
        <v>Benchmarking</v>
      </c>
      <c r="AD27" t="s">
        <v>146</v>
      </c>
      <c r="AE27">
        <f>IFERROR(AE24/AE15,"")</f>
        <v>0.76375000000000004</v>
      </c>
      <c r="AF27">
        <f>IFERROR(AF24/AF15,"")</f>
        <v>0.75975000000000004</v>
      </c>
      <c r="AG27">
        <f>IFERROR(AG24/AG15,"")</f>
        <v>0.75774999999999992</v>
      </c>
      <c r="AV27">
        <f t="shared" si="10"/>
        <v>85</v>
      </c>
      <c r="AW27">
        <f t="shared" si="11"/>
        <v>80</v>
      </c>
      <c r="AX27">
        <f t="shared" si="12"/>
        <v>77.5</v>
      </c>
    </row>
    <row r="28" spans="1:50" ht="15.6" x14ac:dyDescent="0.3">
      <c r="A28">
        <v>17</v>
      </c>
      <c r="B28" t="str">
        <f>INPUT!B28</f>
        <v>Lacson, Jared</v>
      </c>
      <c r="F28">
        <v>17</v>
      </c>
      <c r="G28">
        <v>16</v>
      </c>
      <c r="H28">
        <v>17</v>
      </c>
      <c r="I28">
        <v>17</v>
      </c>
      <c r="J28">
        <v>17</v>
      </c>
      <c r="K28">
        <f t="shared" si="0"/>
        <v>84</v>
      </c>
      <c r="L28">
        <f t="shared" si="1"/>
        <v>84</v>
      </c>
      <c r="M28">
        <f t="shared" si="2"/>
        <v>16.8</v>
      </c>
      <c r="N28">
        <v>41</v>
      </c>
      <c r="O28">
        <v>43</v>
      </c>
      <c r="P28">
        <v>43</v>
      </c>
      <c r="Q28">
        <f t="shared" si="3"/>
        <v>127</v>
      </c>
      <c r="R28">
        <f t="shared" si="4"/>
        <v>84.67</v>
      </c>
      <c r="S28">
        <f t="shared" si="5"/>
        <v>42.34</v>
      </c>
      <c r="T28">
        <v>32</v>
      </c>
      <c r="U28">
        <v>34</v>
      </c>
      <c r="V28">
        <v>32</v>
      </c>
      <c r="W28">
        <f t="shared" si="6"/>
        <v>98</v>
      </c>
      <c r="X28">
        <f t="shared" si="7"/>
        <v>81.67</v>
      </c>
      <c r="Y28">
        <f t="shared" si="8"/>
        <v>24.5</v>
      </c>
      <c r="Z28">
        <f t="shared" si="13"/>
        <v>83.64</v>
      </c>
      <c r="AA28">
        <f t="shared" si="14"/>
        <v>85</v>
      </c>
      <c r="AB28" t="str">
        <f t="shared" si="9"/>
        <v>Benchmarking</v>
      </c>
      <c r="AV28">
        <f t="shared" si="10"/>
        <v>80</v>
      </c>
      <c r="AW28">
        <f t="shared" si="11"/>
        <v>85</v>
      </c>
      <c r="AX28">
        <f t="shared" si="12"/>
        <v>80</v>
      </c>
    </row>
    <row r="29" spans="1:50" ht="15.6" x14ac:dyDescent="0.3">
      <c r="A29">
        <v>18</v>
      </c>
      <c r="B29" t="str">
        <f>INPUT!B29</f>
        <v>Lim, Jericho</v>
      </c>
      <c r="F29">
        <v>18</v>
      </c>
      <c r="G29">
        <v>16</v>
      </c>
      <c r="H29">
        <v>19</v>
      </c>
      <c r="I29">
        <v>17</v>
      </c>
      <c r="J29">
        <v>18</v>
      </c>
      <c r="K29">
        <f t="shared" si="0"/>
        <v>88</v>
      </c>
      <c r="L29">
        <f t="shared" si="1"/>
        <v>88</v>
      </c>
      <c r="M29">
        <f t="shared" si="2"/>
        <v>17.600000000000001</v>
      </c>
      <c r="N29">
        <v>45</v>
      </c>
      <c r="O29">
        <v>46</v>
      </c>
      <c r="P29">
        <v>46</v>
      </c>
      <c r="Q29">
        <f t="shared" si="3"/>
        <v>137</v>
      </c>
      <c r="R29">
        <f t="shared" si="4"/>
        <v>91.33</v>
      </c>
      <c r="S29">
        <f t="shared" si="5"/>
        <v>45.67</v>
      </c>
      <c r="T29">
        <v>36</v>
      </c>
      <c r="U29">
        <v>36</v>
      </c>
      <c r="V29">
        <v>35</v>
      </c>
      <c r="W29">
        <f t="shared" si="6"/>
        <v>107</v>
      </c>
      <c r="X29">
        <f t="shared" si="7"/>
        <v>89.17</v>
      </c>
      <c r="Y29">
        <f t="shared" si="8"/>
        <v>26.75</v>
      </c>
      <c r="Z29">
        <f t="shared" si="13"/>
        <v>90.02</v>
      </c>
      <c r="AA29">
        <f t="shared" si="14"/>
        <v>92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90</v>
      </c>
      <c r="AW29">
        <f t="shared" si="11"/>
        <v>90</v>
      </c>
      <c r="AX29">
        <f t="shared" si="12"/>
        <v>87.5</v>
      </c>
    </row>
    <row r="30" spans="1:50" ht="15.6" x14ac:dyDescent="0.3">
      <c r="A30">
        <v>19</v>
      </c>
      <c r="B30" t="str">
        <f>INPUT!B30</f>
        <v>Manalo, Joaquin</v>
      </c>
      <c r="F30">
        <v>17</v>
      </c>
      <c r="G30">
        <v>17</v>
      </c>
      <c r="H30">
        <v>19</v>
      </c>
      <c r="I30">
        <v>17</v>
      </c>
      <c r="J30">
        <v>17</v>
      </c>
      <c r="K30">
        <f t="shared" si="0"/>
        <v>87</v>
      </c>
      <c r="L30">
        <f t="shared" si="1"/>
        <v>87</v>
      </c>
      <c r="M30">
        <f t="shared" si="2"/>
        <v>17.399999999999999</v>
      </c>
      <c r="N30">
        <v>44</v>
      </c>
      <c r="O30">
        <v>47</v>
      </c>
      <c r="P30">
        <v>46</v>
      </c>
      <c r="Q30">
        <f t="shared" si="3"/>
        <v>137</v>
      </c>
      <c r="R30">
        <f t="shared" si="4"/>
        <v>91.33</v>
      </c>
      <c r="S30">
        <f t="shared" si="5"/>
        <v>45.67</v>
      </c>
      <c r="T30">
        <v>36</v>
      </c>
      <c r="U30">
        <v>34</v>
      </c>
      <c r="V30">
        <v>35</v>
      </c>
      <c r="W30">
        <f t="shared" si="6"/>
        <v>105</v>
      </c>
      <c r="X30">
        <f t="shared" si="7"/>
        <v>87.5</v>
      </c>
      <c r="Y30">
        <f t="shared" si="8"/>
        <v>26.25</v>
      </c>
      <c r="Z30">
        <f t="shared" si="13"/>
        <v>89.32</v>
      </c>
      <c r="AA30">
        <f t="shared" si="14"/>
        <v>91</v>
      </c>
      <c r="AB30" t="str">
        <f t="shared" si="9"/>
        <v>Advancing</v>
      </c>
      <c r="AD30" t="s">
        <v>148</v>
      </c>
      <c r="AE30">
        <f>IF(COUNTA(T12:T112)=0,"",MAX(T12:T112))</f>
        <v>39</v>
      </c>
      <c r="AF30">
        <f>IF(COUNTA(U12:U112)=0,"",MAX(U12:U112))</f>
        <v>39</v>
      </c>
      <c r="AG30">
        <f>IF(COUNTA(V12:V112)=0,"",MAX(V12:V112))</f>
        <v>39</v>
      </c>
      <c r="AV30">
        <f t="shared" si="10"/>
        <v>90</v>
      </c>
      <c r="AW30">
        <f t="shared" si="11"/>
        <v>85</v>
      </c>
      <c r="AX30">
        <f t="shared" si="12"/>
        <v>87.5</v>
      </c>
    </row>
    <row r="31" spans="1:50" ht="15.6" x14ac:dyDescent="0.3">
      <c r="A31">
        <v>20</v>
      </c>
      <c r="B31" t="str">
        <f>INPUT!B31</f>
        <v>Mendoza, Joshua</v>
      </c>
      <c r="F31">
        <v>17</v>
      </c>
      <c r="G31">
        <v>17</v>
      </c>
      <c r="H31">
        <v>17</v>
      </c>
      <c r="I31">
        <v>15</v>
      </c>
      <c r="J31">
        <v>16</v>
      </c>
      <c r="K31">
        <f t="shared" si="0"/>
        <v>82</v>
      </c>
      <c r="L31">
        <f t="shared" si="1"/>
        <v>82</v>
      </c>
      <c r="M31">
        <f t="shared" si="2"/>
        <v>16.399999999999999</v>
      </c>
      <c r="N31">
        <v>41</v>
      </c>
      <c r="O31">
        <v>46</v>
      </c>
      <c r="P31">
        <v>43</v>
      </c>
      <c r="Q31">
        <f t="shared" si="3"/>
        <v>130</v>
      </c>
      <c r="R31">
        <f t="shared" si="4"/>
        <v>86.67</v>
      </c>
      <c r="S31">
        <f t="shared" si="5"/>
        <v>43.34</v>
      </c>
      <c r="T31">
        <v>31</v>
      </c>
      <c r="U31">
        <v>29</v>
      </c>
      <c r="V31">
        <v>33</v>
      </c>
      <c r="W31">
        <f t="shared" si="6"/>
        <v>93</v>
      </c>
      <c r="X31">
        <f t="shared" si="7"/>
        <v>77.5</v>
      </c>
      <c r="Y31">
        <f t="shared" si="8"/>
        <v>23.25</v>
      </c>
      <c r="Z31">
        <f t="shared" si="13"/>
        <v>82.99</v>
      </c>
      <c r="AA31">
        <f t="shared" si="14"/>
        <v>84</v>
      </c>
      <c r="AB31" t="str">
        <f t="shared" si="9"/>
        <v>Benchmarking</v>
      </c>
      <c r="AD31" t="s">
        <v>149</v>
      </c>
      <c r="AE31">
        <f>IF(COUNTA(T12:T112)=0,"",MIN(T12:T112))</f>
        <v>13</v>
      </c>
      <c r="AF31">
        <f>IF(COUNTA(U12:U112)=0,"",MIN(U12:U112))</f>
        <v>14</v>
      </c>
      <c r="AG31">
        <f>IF(COUNTA(V12:V112)=0,"",MIN(V12:V112))</f>
        <v>13</v>
      </c>
      <c r="AV31">
        <f t="shared" si="10"/>
        <v>77.5</v>
      </c>
      <c r="AW31">
        <f t="shared" si="11"/>
        <v>72.5</v>
      </c>
      <c r="AX31">
        <f t="shared" si="12"/>
        <v>82.5</v>
      </c>
    </row>
    <row r="32" spans="1:50" ht="15.6" x14ac:dyDescent="0.3">
      <c r="A32">
        <v>21</v>
      </c>
      <c r="B32" t="str">
        <f>INPUT!B32</f>
        <v>Navarro, Lance</v>
      </c>
      <c r="F32">
        <v>18</v>
      </c>
      <c r="G32">
        <v>20</v>
      </c>
      <c r="H32">
        <v>19</v>
      </c>
      <c r="I32">
        <v>19</v>
      </c>
      <c r="J32">
        <v>18</v>
      </c>
      <c r="K32">
        <f t="shared" si="0"/>
        <v>94</v>
      </c>
      <c r="L32">
        <f t="shared" si="1"/>
        <v>94</v>
      </c>
      <c r="M32">
        <f t="shared" si="2"/>
        <v>18.8</v>
      </c>
      <c r="N32">
        <v>50</v>
      </c>
      <c r="O32">
        <v>46</v>
      </c>
      <c r="P32">
        <v>49</v>
      </c>
      <c r="Q32">
        <f t="shared" si="3"/>
        <v>145</v>
      </c>
      <c r="R32">
        <f t="shared" si="4"/>
        <v>96.67</v>
      </c>
      <c r="S32">
        <f t="shared" si="5"/>
        <v>48.34</v>
      </c>
      <c r="T32">
        <v>37</v>
      </c>
      <c r="U32">
        <v>39</v>
      </c>
      <c r="V32">
        <v>35</v>
      </c>
      <c r="W32">
        <f t="shared" si="6"/>
        <v>111</v>
      </c>
      <c r="X32">
        <f t="shared" si="7"/>
        <v>92.5</v>
      </c>
      <c r="Y32">
        <f t="shared" si="8"/>
        <v>27.75</v>
      </c>
      <c r="Z32">
        <f t="shared" si="13"/>
        <v>94.89</v>
      </c>
      <c r="AA32">
        <f t="shared" si="14"/>
        <v>96</v>
      </c>
      <c r="AB32" t="str">
        <f t="shared" si="9"/>
        <v>Advancing</v>
      </c>
      <c r="AD32" t="s">
        <v>150</v>
      </c>
      <c r="AE32">
        <f>IF(COUNTA(T12:T112)=0,"",SUM(T12:T112))</f>
        <v>3055</v>
      </c>
      <c r="AF32">
        <f>IF(COUNTA(U12:U112)=0,"",SUM(U12:U112))</f>
        <v>3039</v>
      </c>
      <c r="AG32">
        <f>IF(COUNTA(V12:V112)=0,"",SUM(V12:V112))</f>
        <v>3031</v>
      </c>
      <c r="AV32">
        <f t="shared" si="10"/>
        <v>92.5</v>
      </c>
      <c r="AW32">
        <f t="shared" si="11"/>
        <v>97.5</v>
      </c>
      <c r="AX32">
        <f t="shared" si="12"/>
        <v>87.5</v>
      </c>
    </row>
    <row r="33" spans="1:50" ht="15.6" x14ac:dyDescent="0.3">
      <c r="A33">
        <v>22</v>
      </c>
      <c r="B33" t="str">
        <f>INPUT!B33</f>
        <v>Ocampo, Luis</v>
      </c>
      <c r="F33">
        <v>14</v>
      </c>
      <c r="G33">
        <v>14</v>
      </c>
      <c r="H33">
        <v>13</v>
      </c>
      <c r="I33">
        <v>15</v>
      </c>
      <c r="J33">
        <v>14</v>
      </c>
      <c r="K33">
        <f t="shared" si="0"/>
        <v>70</v>
      </c>
      <c r="L33">
        <f t="shared" si="1"/>
        <v>70</v>
      </c>
      <c r="M33">
        <f t="shared" si="2"/>
        <v>14</v>
      </c>
      <c r="N33">
        <v>35</v>
      </c>
      <c r="O33">
        <v>39</v>
      </c>
      <c r="P33">
        <v>39</v>
      </c>
      <c r="Q33">
        <f t="shared" si="3"/>
        <v>113</v>
      </c>
      <c r="R33">
        <f t="shared" si="4"/>
        <v>75.33</v>
      </c>
      <c r="S33">
        <f t="shared" si="5"/>
        <v>37.67</v>
      </c>
      <c r="T33">
        <v>30</v>
      </c>
      <c r="U33">
        <v>27</v>
      </c>
      <c r="V33">
        <v>25</v>
      </c>
      <c r="W33">
        <f t="shared" si="6"/>
        <v>82</v>
      </c>
      <c r="X33">
        <f t="shared" si="7"/>
        <v>68.33</v>
      </c>
      <c r="Y33">
        <f t="shared" si="8"/>
        <v>20.5</v>
      </c>
      <c r="Z33">
        <f t="shared" si="13"/>
        <v>72.17</v>
      </c>
      <c r="AA33">
        <f t="shared" si="14"/>
        <v>75</v>
      </c>
      <c r="AB33" t="str">
        <f t="shared" si="9"/>
        <v>Connecting</v>
      </c>
      <c r="AV33">
        <f t="shared" si="10"/>
        <v>75</v>
      </c>
      <c r="AW33">
        <f t="shared" si="11"/>
        <v>67.5</v>
      </c>
      <c r="AX33">
        <f t="shared" si="12"/>
        <v>62.5</v>
      </c>
    </row>
    <row r="34" spans="1:50" ht="15.6" x14ac:dyDescent="0.3">
      <c r="A34">
        <v>23</v>
      </c>
      <c r="B34" t="str">
        <f>INPUT!B34</f>
        <v>Ortega, Marco</v>
      </c>
      <c r="F34">
        <v>18</v>
      </c>
      <c r="G34">
        <v>18</v>
      </c>
      <c r="H34">
        <v>19</v>
      </c>
      <c r="I34">
        <v>18</v>
      </c>
      <c r="J34">
        <v>18</v>
      </c>
      <c r="K34">
        <f t="shared" si="0"/>
        <v>91</v>
      </c>
      <c r="L34">
        <f t="shared" si="1"/>
        <v>91</v>
      </c>
      <c r="M34">
        <f t="shared" si="2"/>
        <v>18.2</v>
      </c>
      <c r="N34">
        <v>48</v>
      </c>
      <c r="O34">
        <v>43</v>
      </c>
      <c r="P34">
        <v>44</v>
      </c>
      <c r="Q34">
        <f t="shared" si="3"/>
        <v>135</v>
      </c>
      <c r="R34">
        <f t="shared" si="4"/>
        <v>90</v>
      </c>
      <c r="S34">
        <f t="shared" si="5"/>
        <v>45</v>
      </c>
      <c r="T34">
        <v>36</v>
      </c>
      <c r="U34">
        <v>34</v>
      </c>
      <c r="V34">
        <v>34</v>
      </c>
      <c r="W34">
        <f t="shared" si="6"/>
        <v>104</v>
      </c>
      <c r="X34">
        <f t="shared" si="7"/>
        <v>86.67</v>
      </c>
      <c r="Y34">
        <f t="shared" si="8"/>
        <v>26</v>
      </c>
      <c r="Z34">
        <f t="shared" si="13"/>
        <v>89.2</v>
      </c>
      <c r="AA34">
        <f t="shared" si="14"/>
        <v>91</v>
      </c>
      <c r="AB34" t="str">
        <f t="shared" si="9"/>
        <v>Advancing</v>
      </c>
      <c r="AV34">
        <f t="shared" si="10"/>
        <v>90</v>
      </c>
      <c r="AW34">
        <f t="shared" si="11"/>
        <v>85</v>
      </c>
      <c r="AX34">
        <f t="shared" si="12"/>
        <v>85</v>
      </c>
    </row>
    <row r="35" spans="1:50" ht="15.6" x14ac:dyDescent="0.3">
      <c r="A35">
        <v>24</v>
      </c>
      <c r="B35" t="str">
        <f>INPUT!B35</f>
        <v>Pascual, Martin</v>
      </c>
      <c r="F35">
        <v>17</v>
      </c>
      <c r="G35">
        <v>17</v>
      </c>
      <c r="H35">
        <v>17</v>
      </c>
      <c r="I35">
        <v>16</v>
      </c>
      <c r="J35">
        <v>16</v>
      </c>
      <c r="K35">
        <f t="shared" si="0"/>
        <v>83</v>
      </c>
      <c r="L35">
        <f t="shared" si="1"/>
        <v>83</v>
      </c>
      <c r="M35">
        <f t="shared" si="2"/>
        <v>16.600000000000001</v>
      </c>
      <c r="N35">
        <v>42</v>
      </c>
      <c r="O35">
        <v>40</v>
      </c>
      <c r="P35">
        <v>41</v>
      </c>
      <c r="Q35">
        <f t="shared" si="3"/>
        <v>123</v>
      </c>
      <c r="R35">
        <f t="shared" si="4"/>
        <v>82</v>
      </c>
      <c r="S35">
        <f t="shared" si="5"/>
        <v>41</v>
      </c>
      <c r="T35">
        <v>30</v>
      </c>
      <c r="U35">
        <v>33</v>
      </c>
      <c r="V35">
        <v>29</v>
      </c>
      <c r="W35">
        <f t="shared" si="6"/>
        <v>92</v>
      </c>
      <c r="X35">
        <f t="shared" si="7"/>
        <v>76.67</v>
      </c>
      <c r="Y35">
        <f t="shared" si="8"/>
        <v>23</v>
      </c>
      <c r="Z35">
        <f t="shared" si="13"/>
        <v>80.599999999999994</v>
      </c>
      <c r="AA35">
        <f t="shared" si="14"/>
        <v>82</v>
      </c>
      <c r="AB35" t="str">
        <f t="shared" si="9"/>
        <v>Benchmarking</v>
      </c>
      <c r="AV35">
        <f t="shared" si="10"/>
        <v>75</v>
      </c>
      <c r="AW35">
        <f t="shared" si="11"/>
        <v>82.5</v>
      </c>
      <c r="AX35">
        <f t="shared" si="12"/>
        <v>72.5</v>
      </c>
    </row>
    <row r="36" spans="1:50" ht="15.6" x14ac:dyDescent="0.3">
      <c r="A36">
        <v>25</v>
      </c>
      <c r="B36" t="str">
        <f>INPUT!B36</f>
        <v>Quizon, Matthew</v>
      </c>
      <c r="F36">
        <v>16</v>
      </c>
      <c r="G36">
        <v>14</v>
      </c>
      <c r="H36">
        <v>16</v>
      </c>
      <c r="I36">
        <v>16</v>
      </c>
      <c r="J36">
        <v>14</v>
      </c>
      <c r="K36">
        <f t="shared" si="0"/>
        <v>76</v>
      </c>
      <c r="L36">
        <f t="shared" si="1"/>
        <v>76</v>
      </c>
      <c r="M36">
        <f t="shared" si="2"/>
        <v>15.2</v>
      </c>
      <c r="N36">
        <v>38</v>
      </c>
      <c r="O36">
        <v>35</v>
      </c>
      <c r="P36">
        <v>35</v>
      </c>
      <c r="Q36">
        <f t="shared" si="3"/>
        <v>108</v>
      </c>
      <c r="R36">
        <f t="shared" si="4"/>
        <v>72</v>
      </c>
      <c r="S36">
        <f t="shared" si="5"/>
        <v>36</v>
      </c>
      <c r="T36">
        <v>26</v>
      </c>
      <c r="U36">
        <v>28</v>
      </c>
      <c r="V36">
        <v>28</v>
      </c>
      <c r="W36">
        <f t="shared" si="6"/>
        <v>82</v>
      </c>
      <c r="X36">
        <f t="shared" si="7"/>
        <v>68.33</v>
      </c>
      <c r="Y36">
        <f t="shared" si="8"/>
        <v>20.5</v>
      </c>
      <c r="Z36">
        <f t="shared" si="13"/>
        <v>71.7</v>
      </c>
      <c r="AA36">
        <f t="shared" si="14"/>
        <v>75</v>
      </c>
      <c r="AB36" t="str">
        <f t="shared" si="9"/>
        <v>Connecting</v>
      </c>
      <c r="AV36">
        <f t="shared" si="10"/>
        <v>65</v>
      </c>
      <c r="AW36">
        <f t="shared" si="11"/>
        <v>70</v>
      </c>
      <c r="AX36">
        <f t="shared" si="12"/>
        <v>70</v>
      </c>
    </row>
    <row r="37" spans="1:50" ht="15.6" x14ac:dyDescent="0.3">
      <c r="A37">
        <v>26</v>
      </c>
      <c r="B37" t="str">
        <f>INPUT!B37</f>
        <v>Ramos, Miguel</v>
      </c>
      <c r="F37">
        <v>16</v>
      </c>
      <c r="G37">
        <v>16</v>
      </c>
      <c r="H37">
        <v>16</v>
      </c>
      <c r="I37">
        <v>15</v>
      </c>
      <c r="J37">
        <v>15</v>
      </c>
      <c r="K37">
        <f t="shared" si="0"/>
        <v>78</v>
      </c>
      <c r="L37">
        <f t="shared" si="1"/>
        <v>78</v>
      </c>
      <c r="M37">
        <f t="shared" si="2"/>
        <v>15.6</v>
      </c>
      <c r="N37">
        <v>41</v>
      </c>
      <c r="O37">
        <v>39</v>
      </c>
      <c r="P37">
        <v>38</v>
      </c>
      <c r="Q37">
        <f t="shared" si="3"/>
        <v>118</v>
      </c>
      <c r="R37">
        <f t="shared" si="4"/>
        <v>78.67</v>
      </c>
      <c r="S37">
        <f t="shared" si="5"/>
        <v>39.340000000000003</v>
      </c>
      <c r="T37">
        <v>28</v>
      </c>
      <c r="U37">
        <v>29</v>
      </c>
      <c r="V37">
        <v>29</v>
      </c>
      <c r="W37">
        <f t="shared" si="6"/>
        <v>86</v>
      </c>
      <c r="X37">
        <f t="shared" si="7"/>
        <v>71.67</v>
      </c>
      <c r="Y37">
        <f t="shared" si="8"/>
        <v>21.5</v>
      </c>
      <c r="Z37">
        <f t="shared" si="13"/>
        <v>76.44</v>
      </c>
      <c r="AA37">
        <f t="shared" si="14"/>
        <v>78</v>
      </c>
      <c r="AB37" t="str">
        <f t="shared" si="9"/>
        <v>Connecting</v>
      </c>
      <c r="AV37">
        <f t="shared" si="10"/>
        <v>70</v>
      </c>
      <c r="AW37">
        <f t="shared" si="11"/>
        <v>72.5</v>
      </c>
      <c r="AX37">
        <f t="shared" si="12"/>
        <v>72.5</v>
      </c>
    </row>
    <row r="38" spans="1:50" ht="15.6" x14ac:dyDescent="0.3">
      <c r="A38">
        <v>27</v>
      </c>
      <c r="B38" t="str">
        <f>INPUT!B38</f>
        <v>Reyes, Nathan</v>
      </c>
      <c r="F38">
        <v>17</v>
      </c>
      <c r="G38">
        <v>17</v>
      </c>
      <c r="H38">
        <v>18</v>
      </c>
      <c r="I38">
        <v>16</v>
      </c>
      <c r="J38">
        <v>17</v>
      </c>
      <c r="K38">
        <f t="shared" si="0"/>
        <v>85</v>
      </c>
      <c r="L38">
        <f t="shared" si="1"/>
        <v>85</v>
      </c>
      <c r="M38">
        <f t="shared" si="2"/>
        <v>17</v>
      </c>
      <c r="N38">
        <v>42</v>
      </c>
      <c r="O38">
        <v>43</v>
      </c>
      <c r="P38">
        <v>46</v>
      </c>
      <c r="Q38">
        <f t="shared" si="3"/>
        <v>131</v>
      </c>
      <c r="R38">
        <f t="shared" si="4"/>
        <v>87.33</v>
      </c>
      <c r="S38">
        <f t="shared" si="5"/>
        <v>43.67</v>
      </c>
      <c r="T38">
        <v>30</v>
      </c>
      <c r="U38">
        <v>32</v>
      </c>
      <c r="V38">
        <v>32</v>
      </c>
      <c r="W38">
        <f t="shared" si="6"/>
        <v>94</v>
      </c>
      <c r="X38">
        <f t="shared" si="7"/>
        <v>78.33</v>
      </c>
      <c r="Y38">
        <f t="shared" si="8"/>
        <v>23.5</v>
      </c>
      <c r="Z38">
        <f t="shared" si="13"/>
        <v>84.17</v>
      </c>
      <c r="AA38">
        <f t="shared" si="14"/>
        <v>86</v>
      </c>
      <c r="AB38" t="str">
        <f t="shared" si="9"/>
        <v>Benchmarking</v>
      </c>
      <c r="AV38">
        <f t="shared" si="10"/>
        <v>75</v>
      </c>
      <c r="AW38">
        <f t="shared" si="11"/>
        <v>80</v>
      </c>
      <c r="AX38">
        <f t="shared" si="12"/>
        <v>80</v>
      </c>
    </row>
    <row r="39" spans="1:50" ht="15.6" x14ac:dyDescent="0.3">
      <c r="A39">
        <v>28</v>
      </c>
      <c r="B39" t="str">
        <f>INPUT!B39</f>
        <v>Rivera, Noah</v>
      </c>
      <c r="F39">
        <v>8</v>
      </c>
      <c r="G39">
        <v>9</v>
      </c>
      <c r="H39">
        <v>9</v>
      </c>
      <c r="I39">
        <v>7</v>
      </c>
      <c r="J39">
        <v>7</v>
      </c>
      <c r="K39">
        <f t="shared" si="0"/>
        <v>40</v>
      </c>
      <c r="L39">
        <f t="shared" si="1"/>
        <v>40</v>
      </c>
      <c r="M39">
        <f t="shared" si="2"/>
        <v>8</v>
      </c>
      <c r="N39">
        <v>24</v>
      </c>
      <c r="O39">
        <v>26</v>
      </c>
      <c r="P39">
        <v>22</v>
      </c>
      <c r="Q39">
        <f t="shared" si="3"/>
        <v>72</v>
      </c>
      <c r="R39">
        <f t="shared" si="4"/>
        <v>48</v>
      </c>
      <c r="S39">
        <f t="shared" si="5"/>
        <v>24</v>
      </c>
      <c r="T39">
        <v>18</v>
      </c>
      <c r="U39">
        <v>18</v>
      </c>
      <c r="V39">
        <v>14</v>
      </c>
      <c r="W39">
        <f t="shared" si="6"/>
        <v>50</v>
      </c>
      <c r="X39">
        <f t="shared" si="7"/>
        <v>41.67</v>
      </c>
      <c r="Y39">
        <f t="shared" si="8"/>
        <v>12.5</v>
      </c>
      <c r="Z39">
        <f t="shared" si="13"/>
        <v>44.5</v>
      </c>
      <c r="AA39">
        <f t="shared" si="14"/>
        <v>62</v>
      </c>
      <c r="AB39" t="str">
        <f t="shared" si="9"/>
        <v>Emerging</v>
      </c>
      <c r="AV39">
        <f t="shared" si="10"/>
        <v>45</v>
      </c>
      <c r="AW39">
        <f t="shared" si="11"/>
        <v>45</v>
      </c>
      <c r="AX39">
        <f t="shared" si="12"/>
        <v>35</v>
      </c>
    </row>
    <row r="40" spans="1:50" ht="15.6" x14ac:dyDescent="0.3">
      <c r="A40">
        <v>29</v>
      </c>
      <c r="B40" t="str">
        <f>INPUT!B40</f>
        <v>Rosales, Oliver</v>
      </c>
      <c r="F40">
        <v>16</v>
      </c>
      <c r="G40">
        <v>15</v>
      </c>
      <c r="H40">
        <v>16</v>
      </c>
      <c r="I40">
        <v>14</v>
      </c>
      <c r="J40">
        <v>14</v>
      </c>
      <c r="K40">
        <f t="shared" si="0"/>
        <v>75</v>
      </c>
      <c r="L40">
        <f t="shared" si="1"/>
        <v>75</v>
      </c>
      <c r="M40">
        <f t="shared" si="2"/>
        <v>15</v>
      </c>
      <c r="N40">
        <v>40</v>
      </c>
      <c r="O40">
        <v>43</v>
      </c>
      <c r="P40">
        <v>41</v>
      </c>
      <c r="Q40">
        <f t="shared" si="3"/>
        <v>124</v>
      </c>
      <c r="R40">
        <f t="shared" si="4"/>
        <v>82.67</v>
      </c>
      <c r="S40">
        <f t="shared" si="5"/>
        <v>41.34</v>
      </c>
      <c r="T40">
        <v>27</v>
      </c>
      <c r="U40">
        <v>28</v>
      </c>
      <c r="V40">
        <v>29</v>
      </c>
      <c r="W40">
        <f t="shared" si="6"/>
        <v>84</v>
      </c>
      <c r="X40">
        <f t="shared" si="7"/>
        <v>70</v>
      </c>
      <c r="Y40">
        <f t="shared" si="8"/>
        <v>21</v>
      </c>
      <c r="Z40">
        <f t="shared" si="13"/>
        <v>77.34</v>
      </c>
      <c r="AA40">
        <f t="shared" si="14"/>
        <v>79</v>
      </c>
      <c r="AB40" t="str">
        <f t="shared" si="9"/>
        <v>Connecting</v>
      </c>
      <c r="AV40">
        <f t="shared" si="10"/>
        <v>67.5</v>
      </c>
      <c r="AW40">
        <f t="shared" si="11"/>
        <v>70</v>
      </c>
      <c r="AX40">
        <f t="shared" si="12"/>
        <v>72.5</v>
      </c>
    </row>
    <row r="41" spans="1:50" ht="15.6" x14ac:dyDescent="0.3">
      <c r="A41">
        <v>30</v>
      </c>
      <c r="B41" t="str">
        <f>INPUT!B41</f>
        <v>Salazar, Paolo</v>
      </c>
      <c r="F41">
        <v>17</v>
      </c>
      <c r="G41">
        <v>17</v>
      </c>
      <c r="H41">
        <v>15</v>
      </c>
      <c r="I41">
        <v>17</v>
      </c>
      <c r="J41">
        <v>18</v>
      </c>
      <c r="K41">
        <f t="shared" si="0"/>
        <v>84</v>
      </c>
      <c r="L41">
        <f t="shared" si="1"/>
        <v>84</v>
      </c>
      <c r="M41">
        <f t="shared" si="2"/>
        <v>16.8</v>
      </c>
      <c r="N41">
        <v>45</v>
      </c>
      <c r="O41">
        <v>46</v>
      </c>
      <c r="P41">
        <v>44</v>
      </c>
      <c r="Q41">
        <f t="shared" si="3"/>
        <v>135</v>
      </c>
      <c r="R41">
        <f t="shared" si="4"/>
        <v>90</v>
      </c>
      <c r="S41">
        <f t="shared" si="5"/>
        <v>45</v>
      </c>
      <c r="T41">
        <v>31</v>
      </c>
      <c r="U41">
        <v>32</v>
      </c>
      <c r="V41">
        <v>32</v>
      </c>
      <c r="W41">
        <f t="shared" si="6"/>
        <v>95</v>
      </c>
      <c r="X41">
        <f t="shared" si="7"/>
        <v>79.17</v>
      </c>
      <c r="Y41">
        <f t="shared" si="8"/>
        <v>23.75</v>
      </c>
      <c r="Z41">
        <f t="shared" si="13"/>
        <v>85.55</v>
      </c>
      <c r="AA41">
        <f t="shared" si="14"/>
        <v>87</v>
      </c>
      <c r="AB41" t="str">
        <f t="shared" si="9"/>
        <v>Benchmarking</v>
      </c>
      <c r="AV41">
        <f t="shared" si="10"/>
        <v>77.5</v>
      </c>
      <c r="AW41">
        <f t="shared" si="11"/>
        <v>80</v>
      </c>
      <c r="AX41">
        <f t="shared" si="12"/>
        <v>80</v>
      </c>
    </row>
    <row r="42" spans="1:50" ht="15.6" x14ac:dyDescent="0.3">
      <c r="A42">
        <v>31</v>
      </c>
      <c r="B42" t="str">
        <f>INPUT!B42</f>
        <v>Santiago, Patrick</v>
      </c>
      <c r="F42">
        <v>19</v>
      </c>
      <c r="G42">
        <v>17</v>
      </c>
      <c r="H42">
        <v>18</v>
      </c>
      <c r="I42">
        <v>18</v>
      </c>
      <c r="J42">
        <v>17</v>
      </c>
      <c r="K42">
        <f t="shared" si="0"/>
        <v>89</v>
      </c>
      <c r="L42">
        <f t="shared" si="1"/>
        <v>89</v>
      </c>
      <c r="M42">
        <f t="shared" si="2"/>
        <v>17.8</v>
      </c>
      <c r="N42">
        <v>48</v>
      </c>
      <c r="O42">
        <v>48</v>
      </c>
      <c r="P42">
        <v>47</v>
      </c>
      <c r="Q42">
        <f t="shared" si="3"/>
        <v>143</v>
      </c>
      <c r="R42">
        <f t="shared" si="4"/>
        <v>95.33</v>
      </c>
      <c r="S42">
        <f t="shared" si="5"/>
        <v>47.67</v>
      </c>
      <c r="T42">
        <v>33</v>
      </c>
      <c r="U42">
        <v>37</v>
      </c>
      <c r="V42">
        <v>34</v>
      </c>
      <c r="W42">
        <f t="shared" si="6"/>
        <v>104</v>
      </c>
      <c r="X42">
        <f t="shared" si="7"/>
        <v>86.67</v>
      </c>
      <c r="Y42">
        <f t="shared" si="8"/>
        <v>26</v>
      </c>
      <c r="Z42">
        <f t="shared" si="13"/>
        <v>91.47</v>
      </c>
      <c r="AA42">
        <f t="shared" si="14"/>
        <v>93</v>
      </c>
      <c r="AB42" t="str">
        <f t="shared" si="9"/>
        <v>Advancing</v>
      </c>
      <c r="AV42">
        <f t="shared" si="10"/>
        <v>82.5</v>
      </c>
      <c r="AW42">
        <f t="shared" si="11"/>
        <v>92.5</v>
      </c>
      <c r="AX42">
        <f t="shared" si="12"/>
        <v>85</v>
      </c>
    </row>
    <row r="43" spans="1:50" ht="15.6" x14ac:dyDescent="0.3">
      <c r="A43">
        <v>32</v>
      </c>
      <c r="B43" t="str">
        <f>INPUT!B43</f>
        <v>Santos, Rafael</v>
      </c>
      <c r="F43">
        <v>18</v>
      </c>
      <c r="G43">
        <v>17</v>
      </c>
      <c r="H43">
        <v>17</v>
      </c>
      <c r="I43">
        <v>18</v>
      </c>
      <c r="J43">
        <v>17</v>
      </c>
      <c r="K43">
        <f t="shared" si="0"/>
        <v>87</v>
      </c>
      <c r="L43">
        <f t="shared" si="1"/>
        <v>87</v>
      </c>
      <c r="M43">
        <f t="shared" si="2"/>
        <v>17.399999999999999</v>
      </c>
      <c r="N43">
        <v>46</v>
      </c>
      <c r="O43">
        <v>43</v>
      </c>
      <c r="P43">
        <v>45</v>
      </c>
      <c r="Q43">
        <f t="shared" si="3"/>
        <v>134</v>
      </c>
      <c r="R43">
        <f t="shared" si="4"/>
        <v>89.33</v>
      </c>
      <c r="S43">
        <f t="shared" si="5"/>
        <v>44.67</v>
      </c>
      <c r="T43">
        <v>32</v>
      </c>
      <c r="U43">
        <v>33</v>
      </c>
      <c r="V43">
        <v>32</v>
      </c>
      <c r="W43">
        <f t="shared" si="6"/>
        <v>97</v>
      </c>
      <c r="X43">
        <f t="shared" si="7"/>
        <v>80.83</v>
      </c>
      <c r="Y43">
        <f t="shared" si="8"/>
        <v>24.25</v>
      </c>
      <c r="Z43">
        <f t="shared" si="13"/>
        <v>86.32</v>
      </c>
      <c r="AA43">
        <f t="shared" si="14"/>
        <v>88</v>
      </c>
      <c r="AB43" t="str">
        <f t="shared" si="9"/>
        <v>Benchmarking</v>
      </c>
      <c r="AV43">
        <f t="shared" si="10"/>
        <v>80</v>
      </c>
      <c r="AW43">
        <f t="shared" si="11"/>
        <v>82.5</v>
      </c>
      <c r="AX43">
        <f t="shared" si="12"/>
        <v>80</v>
      </c>
    </row>
    <row r="44" spans="1:50" ht="15.6" x14ac:dyDescent="0.3">
      <c r="A44">
        <v>33</v>
      </c>
      <c r="B44" t="str">
        <f>INPUT!B44</f>
        <v>Soriano, Raymond</v>
      </c>
      <c r="F44">
        <v>18</v>
      </c>
      <c r="G44">
        <v>17</v>
      </c>
      <c r="H44">
        <v>18</v>
      </c>
      <c r="I44">
        <v>17</v>
      </c>
      <c r="J44">
        <v>17</v>
      </c>
      <c r="K44">
        <f t="shared" ref="K44:K61" si="15">IF(COUNT($F44:$J44)=0,"",SUM($F44:$J44))</f>
        <v>87</v>
      </c>
      <c r="L44">
        <f t="shared" ref="L44:L61" si="16">IF(ISERROR(IF($K44="","",ROUND(($K44/$K$10)*$L$10,2))),"",IF($K44="","",ROUND(($K44/$K$10)*$L$10,2)))</f>
        <v>87</v>
      </c>
      <c r="M44">
        <f t="shared" ref="M44:M61" si="17">IF($L44="","",ROUND($L44*$M$10,2))</f>
        <v>17.399999999999999</v>
      </c>
      <c r="N44">
        <v>48</v>
      </c>
      <c r="O44">
        <v>46</v>
      </c>
      <c r="P44">
        <v>45</v>
      </c>
      <c r="Q44">
        <f t="shared" ref="Q44:Q61" si="18">IF(COUNT($N44:$P44)=0,"",SUM($N44:$P44))</f>
        <v>139</v>
      </c>
      <c r="R44">
        <f t="shared" ref="R44:R61" si="19">IF(ISERROR(IF($Q44="","",ROUND(($Q44/$Q$10)*$R$10,2))),"",IF($Q44="","",ROUND(($Q44/$Q$10)*$R$10,2)))</f>
        <v>92.67</v>
      </c>
      <c r="S44">
        <f t="shared" ref="S44:S61" si="20">IF($R44="","",ROUND($R44*$S$10,2))</f>
        <v>46.34</v>
      </c>
      <c r="T44">
        <v>31</v>
      </c>
      <c r="U44">
        <v>32</v>
      </c>
      <c r="V44">
        <v>33</v>
      </c>
      <c r="W44">
        <f t="shared" ref="W44:W61" si="21">IF(COUNT($T44:$V44)=0,"",SUM($T44:$V44))</f>
        <v>96</v>
      </c>
      <c r="X44">
        <f t="shared" ref="X44:X61" si="22">IF(ISERROR(IF($W44="","",ROUND(($W44/$W$10)*$X$10,2))),"",IF($W44="","",ROUND(($W44/$W$10)*$X$10,2)))</f>
        <v>80</v>
      </c>
      <c r="Y44">
        <f t="shared" ref="Y44:Y61" si="23">IF($X44="","",ROUND($X44*$Y$10,2))</f>
        <v>24</v>
      </c>
      <c r="Z44">
        <f t="shared" si="13"/>
        <v>87.74</v>
      </c>
      <c r="AA44">
        <f t="shared" si="14"/>
        <v>89</v>
      </c>
      <c r="AB44" t="str">
        <f t="shared" ref="AB44:AB75" si="24">IF(ISERROR(IF(AA44="","",VLOOKUP(AA44,DESCRIPTORS,4,TRUE))),"",IF(AA44="","",VLOOKUP(AA44,DESCRIPTORS,4,TRUE)))</f>
        <v>Benchmarking</v>
      </c>
      <c r="AV44">
        <f t="shared" ref="AV44:AV75" si="25">(T44/$T$10)*100</f>
        <v>77.5</v>
      </c>
      <c r="AW44">
        <f t="shared" ref="AW44:AW75" si="26">(U44/$U$10)*100</f>
        <v>80</v>
      </c>
      <c r="AX44">
        <f t="shared" ref="AX44:AX75" si="27">(V44/$V$10)*100</f>
        <v>82.5</v>
      </c>
    </row>
    <row r="45" spans="1:50" ht="15.6" x14ac:dyDescent="0.3">
      <c r="A45">
        <v>34</v>
      </c>
      <c r="B45" t="str">
        <f>INPUT!B45</f>
        <v>Torres, Rico</v>
      </c>
      <c r="F45">
        <v>14</v>
      </c>
      <c r="G45">
        <v>14</v>
      </c>
      <c r="H45">
        <v>15</v>
      </c>
      <c r="I45">
        <v>16</v>
      </c>
      <c r="J45">
        <v>16</v>
      </c>
      <c r="K45">
        <f t="shared" si="15"/>
        <v>75</v>
      </c>
      <c r="L45">
        <f t="shared" si="16"/>
        <v>75</v>
      </c>
      <c r="M45">
        <f t="shared" si="17"/>
        <v>15</v>
      </c>
      <c r="N45">
        <v>41</v>
      </c>
      <c r="O45">
        <v>41</v>
      </c>
      <c r="P45">
        <v>38</v>
      </c>
      <c r="Q45">
        <f t="shared" si="18"/>
        <v>120</v>
      </c>
      <c r="R45">
        <f t="shared" si="19"/>
        <v>80</v>
      </c>
      <c r="S45">
        <f t="shared" si="20"/>
        <v>40</v>
      </c>
      <c r="T45">
        <v>26</v>
      </c>
      <c r="U45">
        <v>31</v>
      </c>
      <c r="V45">
        <v>27</v>
      </c>
      <c r="W45">
        <f t="shared" si="21"/>
        <v>84</v>
      </c>
      <c r="X45">
        <f t="shared" si="22"/>
        <v>70</v>
      </c>
      <c r="Y45">
        <f t="shared" si="23"/>
        <v>21</v>
      </c>
      <c r="Z45">
        <f t="shared" ref="Z45:Z61" si="28">IF(ISERROR(IF($V45="","",ROUND(SUM($M45,$S45,$Y45),2))),"",IF($V45="","",ROUND(SUM($M45,$S45,$Y45),2)))</f>
        <v>76</v>
      </c>
      <c r="AA45">
        <f t="shared" ref="AA45:AA76" si="29">IF(ISERROR(IF($V45="","",VLOOKUP(Z45,NewTransmu,4,TRUE))),"",IF($V45="","",VLOOKUP(Z45,NewTransmu,4,TRUE)))</f>
        <v>78</v>
      </c>
      <c r="AB45" t="str">
        <f t="shared" si="24"/>
        <v>Connecting</v>
      </c>
      <c r="AV45">
        <f t="shared" si="25"/>
        <v>65</v>
      </c>
      <c r="AW45">
        <f t="shared" si="26"/>
        <v>77.5</v>
      </c>
      <c r="AX45">
        <f t="shared" si="27"/>
        <v>67.5</v>
      </c>
    </row>
    <row r="46" spans="1:50" ht="15.6" x14ac:dyDescent="0.3">
      <c r="A46">
        <v>35</v>
      </c>
      <c r="B46" t="str">
        <f>INPUT!B46</f>
        <v>Valdez, Samuel</v>
      </c>
      <c r="F46">
        <v>19</v>
      </c>
      <c r="G46">
        <v>19</v>
      </c>
      <c r="H46">
        <v>18</v>
      </c>
      <c r="I46">
        <v>17</v>
      </c>
      <c r="J46">
        <v>18</v>
      </c>
      <c r="K46">
        <f t="shared" si="15"/>
        <v>91</v>
      </c>
      <c r="L46">
        <f t="shared" si="16"/>
        <v>91</v>
      </c>
      <c r="M46">
        <f t="shared" si="17"/>
        <v>18.2</v>
      </c>
      <c r="N46">
        <v>45</v>
      </c>
      <c r="O46">
        <v>49</v>
      </c>
      <c r="P46">
        <v>49</v>
      </c>
      <c r="Q46">
        <f t="shared" si="18"/>
        <v>143</v>
      </c>
      <c r="R46">
        <f t="shared" si="19"/>
        <v>95.33</v>
      </c>
      <c r="S46">
        <f t="shared" si="20"/>
        <v>47.67</v>
      </c>
      <c r="T46">
        <v>36</v>
      </c>
      <c r="U46">
        <v>34</v>
      </c>
      <c r="V46">
        <v>35</v>
      </c>
      <c r="W46">
        <f t="shared" si="21"/>
        <v>105</v>
      </c>
      <c r="X46">
        <f t="shared" si="22"/>
        <v>87.5</v>
      </c>
      <c r="Y46">
        <f t="shared" si="23"/>
        <v>26.25</v>
      </c>
      <c r="Z46">
        <f t="shared" si="28"/>
        <v>92.12</v>
      </c>
      <c r="AA46">
        <f t="shared" si="29"/>
        <v>94</v>
      </c>
      <c r="AB46" t="str">
        <f t="shared" si="24"/>
        <v>Advancing</v>
      </c>
      <c r="AV46">
        <f t="shared" si="25"/>
        <v>90</v>
      </c>
      <c r="AW46">
        <f t="shared" si="26"/>
        <v>85</v>
      </c>
      <c r="AX46">
        <f t="shared" si="27"/>
        <v>87.5</v>
      </c>
    </row>
    <row r="47" spans="1:50" ht="15.6" x14ac:dyDescent="0.3">
      <c r="A47">
        <v>36</v>
      </c>
      <c r="B47" t="str">
        <f>INPUT!B47</f>
        <v>Velasco, Sebastian</v>
      </c>
      <c r="F47">
        <v>9</v>
      </c>
      <c r="G47">
        <v>10</v>
      </c>
      <c r="H47">
        <v>9</v>
      </c>
      <c r="I47">
        <v>8</v>
      </c>
      <c r="J47">
        <v>8</v>
      </c>
      <c r="K47">
        <f t="shared" si="15"/>
        <v>44</v>
      </c>
      <c r="L47">
        <f t="shared" si="16"/>
        <v>44</v>
      </c>
      <c r="M47">
        <f t="shared" si="17"/>
        <v>8.8000000000000007</v>
      </c>
      <c r="N47">
        <v>28</v>
      </c>
      <c r="O47">
        <v>25</v>
      </c>
      <c r="P47">
        <v>23</v>
      </c>
      <c r="Q47">
        <f t="shared" si="18"/>
        <v>76</v>
      </c>
      <c r="R47">
        <f t="shared" si="19"/>
        <v>50.67</v>
      </c>
      <c r="S47">
        <f t="shared" si="20"/>
        <v>25.34</v>
      </c>
      <c r="T47">
        <v>17</v>
      </c>
      <c r="U47">
        <v>15</v>
      </c>
      <c r="V47">
        <v>19</v>
      </c>
      <c r="W47">
        <f t="shared" si="21"/>
        <v>51</v>
      </c>
      <c r="X47">
        <f t="shared" si="22"/>
        <v>42.5</v>
      </c>
      <c r="Y47">
        <f t="shared" si="23"/>
        <v>12.75</v>
      </c>
      <c r="Z47">
        <f t="shared" si="28"/>
        <v>46.89</v>
      </c>
      <c r="AA47">
        <f t="shared" si="29"/>
        <v>63</v>
      </c>
      <c r="AB47" t="str">
        <f t="shared" si="24"/>
        <v>Emerging</v>
      </c>
      <c r="AV47">
        <f t="shared" si="25"/>
        <v>42.5</v>
      </c>
      <c r="AW47">
        <f t="shared" si="26"/>
        <v>37.5</v>
      </c>
      <c r="AX47">
        <f t="shared" si="27"/>
        <v>47.5</v>
      </c>
    </row>
    <row r="48" spans="1:50" ht="15.6" x14ac:dyDescent="0.3">
      <c r="A48">
        <v>37</v>
      </c>
      <c r="B48" t="str">
        <f>INPUT!B48</f>
        <v>Villanueva, Simon</v>
      </c>
      <c r="F48">
        <v>15</v>
      </c>
      <c r="G48">
        <v>16</v>
      </c>
      <c r="H48">
        <v>16</v>
      </c>
      <c r="I48">
        <v>16</v>
      </c>
      <c r="J48">
        <v>17</v>
      </c>
      <c r="K48">
        <f t="shared" si="15"/>
        <v>80</v>
      </c>
      <c r="L48">
        <f t="shared" si="16"/>
        <v>80</v>
      </c>
      <c r="M48">
        <f t="shared" si="17"/>
        <v>16</v>
      </c>
      <c r="N48">
        <v>40</v>
      </c>
      <c r="O48">
        <v>39</v>
      </c>
      <c r="P48">
        <v>43</v>
      </c>
      <c r="Q48">
        <f t="shared" si="18"/>
        <v>122</v>
      </c>
      <c r="R48">
        <f t="shared" si="19"/>
        <v>81.33</v>
      </c>
      <c r="S48">
        <f t="shared" si="20"/>
        <v>40.67</v>
      </c>
      <c r="T48">
        <v>30</v>
      </c>
      <c r="U48">
        <v>29</v>
      </c>
      <c r="V48">
        <v>28</v>
      </c>
      <c r="W48">
        <f t="shared" si="21"/>
        <v>87</v>
      </c>
      <c r="X48">
        <f t="shared" si="22"/>
        <v>72.5</v>
      </c>
      <c r="Y48">
        <f t="shared" si="23"/>
        <v>21.75</v>
      </c>
      <c r="Z48">
        <f t="shared" si="28"/>
        <v>78.42</v>
      </c>
      <c r="AA48">
        <f t="shared" si="29"/>
        <v>80</v>
      </c>
      <c r="AB48" t="str">
        <f t="shared" si="24"/>
        <v>Benchmarking</v>
      </c>
      <c r="AV48">
        <f t="shared" si="25"/>
        <v>75</v>
      </c>
      <c r="AW48">
        <f t="shared" si="26"/>
        <v>72.5</v>
      </c>
      <c r="AX48">
        <f t="shared" si="27"/>
        <v>70</v>
      </c>
    </row>
    <row r="49" spans="1:50" ht="15.6" x14ac:dyDescent="0.3">
      <c r="A49">
        <v>38</v>
      </c>
      <c r="B49" t="str">
        <f>INPUT!B49</f>
        <v>Yap, Stephen</v>
      </c>
      <c r="F49">
        <v>16</v>
      </c>
      <c r="G49">
        <v>15</v>
      </c>
      <c r="H49">
        <v>15</v>
      </c>
      <c r="I49">
        <v>14</v>
      </c>
      <c r="J49">
        <v>15</v>
      </c>
      <c r="K49">
        <f t="shared" si="15"/>
        <v>75</v>
      </c>
      <c r="L49">
        <f t="shared" si="16"/>
        <v>75</v>
      </c>
      <c r="M49">
        <f t="shared" si="17"/>
        <v>15</v>
      </c>
      <c r="N49">
        <v>41</v>
      </c>
      <c r="O49">
        <v>40</v>
      </c>
      <c r="P49">
        <v>38</v>
      </c>
      <c r="Q49">
        <f t="shared" si="18"/>
        <v>119</v>
      </c>
      <c r="R49">
        <f t="shared" si="19"/>
        <v>79.33</v>
      </c>
      <c r="S49">
        <f t="shared" si="20"/>
        <v>39.67</v>
      </c>
      <c r="T49">
        <v>28</v>
      </c>
      <c r="U49">
        <v>29</v>
      </c>
      <c r="V49">
        <v>28</v>
      </c>
      <c r="W49">
        <f t="shared" si="21"/>
        <v>85</v>
      </c>
      <c r="X49">
        <f t="shared" si="22"/>
        <v>70.83</v>
      </c>
      <c r="Y49">
        <f t="shared" si="23"/>
        <v>21.25</v>
      </c>
      <c r="Z49">
        <f t="shared" si="28"/>
        <v>75.92</v>
      </c>
      <c r="AA49">
        <f t="shared" si="29"/>
        <v>77</v>
      </c>
      <c r="AB49" t="str">
        <f t="shared" si="24"/>
        <v>Connecting</v>
      </c>
      <c r="AV49">
        <f t="shared" si="25"/>
        <v>70</v>
      </c>
      <c r="AW49">
        <f t="shared" si="26"/>
        <v>72.5</v>
      </c>
      <c r="AX49">
        <f t="shared" si="27"/>
        <v>70</v>
      </c>
    </row>
    <row r="50" spans="1:50" ht="15.6" x14ac:dyDescent="0.3">
      <c r="A50">
        <v>39</v>
      </c>
      <c r="B50" t="str">
        <f>INPUT!B50</f>
        <v>Zamora, Thomas</v>
      </c>
      <c r="F50">
        <v>17</v>
      </c>
      <c r="G50">
        <v>16</v>
      </c>
      <c r="H50">
        <v>17</v>
      </c>
      <c r="I50">
        <v>17</v>
      </c>
      <c r="J50">
        <v>18</v>
      </c>
      <c r="K50">
        <f t="shared" si="15"/>
        <v>85</v>
      </c>
      <c r="L50">
        <f t="shared" si="16"/>
        <v>85</v>
      </c>
      <c r="M50">
        <f t="shared" si="17"/>
        <v>17</v>
      </c>
      <c r="N50">
        <v>45</v>
      </c>
      <c r="O50">
        <v>47</v>
      </c>
      <c r="P50">
        <v>47</v>
      </c>
      <c r="Q50">
        <f t="shared" si="18"/>
        <v>139</v>
      </c>
      <c r="R50">
        <f t="shared" si="19"/>
        <v>92.67</v>
      </c>
      <c r="S50">
        <f t="shared" si="20"/>
        <v>46.34</v>
      </c>
      <c r="T50">
        <v>34</v>
      </c>
      <c r="U50">
        <v>33</v>
      </c>
      <c r="V50">
        <v>33</v>
      </c>
      <c r="W50">
        <f t="shared" si="21"/>
        <v>100</v>
      </c>
      <c r="X50">
        <f t="shared" si="22"/>
        <v>83.33</v>
      </c>
      <c r="Y50">
        <f t="shared" si="23"/>
        <v>25</v>
      </c>
      <c r="Z50">
        <f t="shared" si="28"/>
        <v>88.34</v>
      </c>
      <c r="AA50">
        <f t="shared" si="29"/>
        <v>90</v>
      </c>
      <c r="AB50" t="str">
        <f t="shared" si="24"/>
        <v>Advancing</v>
      </c>
      <c r="AV50">
        <f t="shared" si="25"/>
        <v>85</v>
      </c>
      <c r="AW50">
        <f t="shared" si="26"/>
        <v>82.5</v>
      </c>
      <c r="AX50">
        <f t="shared" si="27"/>
        <v>82.5</v>
      </c>
    </row>
    <row r="51" spans="1:50" ht="15.6" x14ac:dyDescent="0.3">
      <c r="A51">
        <v>40</v>
      </c>
      <c r="B51" t="str">
        <f>INPUT!B51</f>
        <v>Zuniga, Vincent</v>
      </c>
      <c r="F51">
        <v>14</v>
      </c>
      <c r="G51">
        <v>15</v>
      </c>
      <c r="H51">
        <v>16</v>
      </c>
      <c r="I51">
        <v>14</v>
      </c>
      <c r="J51">
        <v>15</v>
      </c>
      <c r="K51">
        <f t="shared" si="15"/>
        <v>74</v>
      </c>
      <c r="L51">
        <f t="shared" si="16"/>
        <v>74</v>
      </c>
      <c r="M51">
        <f t="shared" si="17"/>
        <v>14.8</v>
      </c>
      <c r="N51">
        <v>36</v>
      </c>
      <c r="O51">
        <v>42</v>
      </c>
      <c r="P51">
        <v>38</v>
      </c>
      <c r="Q51">
        <f t="shared" si="18"/>
        <v>116</v>
      </c>
      <c r="R51">
        <f t="shared" si="19"/>
        <v>77.33</v>
      </c>
      <c r="S51">
        <f t="shared" si="20"/>
        <v>38.67</v>
      </c>
      <c r="T51">
        <v>30</v>
      </c>
      <c r="U51">
        <v>30</v>
      </c>
      <c r="V51">
        <v>27</v>
      </c>
      <c r="W51">
        <f t="shared" si="21"/>
        <v>87</v>
      </c>
      <c r="X51">
        <f t="shared" si="22"/>
        <v>72.5</v>
      </c>
      <c r="Y51">
        <f t="shared" si="23"/>
        <v>21.75</v>
      </c>
      <c r="Z51">
        <f t="shared" si="28"/>
        <v>75.22</v>
      </c>
      <c r="AA51">
        <f t="shared" si="29"/>
        <v>77</v>
      </c>
      <c r="AB51" t="str">
        <f t="shared" si="24"/>
        <v>Connecting</v>
      </c>
      <c r="AV51">
        <f t="shared" si="25"/>
        <v>75</v>
      </c>
      <c r="AW51">
        <f t="shared" si="26"/>
        <v>75</v>
      </c>
      <c r="AX51">
        <f t="shared" si="27"/>
        <v>67.5</v>
      </c>
    </row>
    <row r="52" spans="1:50" ht="15.6" x14ac:dyDescent="0.3">
      <c r="A52">
        <v>41</v>
      </c>
      <c r="B52" t="str">
        <f>INPUT!B52</f>
        <v>Abad, Xavier</v>
      </c>
      <c r="F52">
        <v>17</v>
      </c>
      <c r="G52">
        <v>16</v>
      </c>
      <c r="H52">
        <v>16</v>
      </c>
      <c r="I52">
        <v>16</v>
      </c>
      <c r="J52">
        <v>17</v>
      </c>
      <c r="K52">
        <f t="shared" si="15"/>
        <v>82</v>
      </c>
      <c r="L52">
        <f t="shared" si="16"/>
        <v>82</v>
      </c>
      <c r="M52">
        <f t="shared" si="17"/>
        <v>16.399999999999999</v>
      </c>
      <c r="N52">
        <v>43</v>
      </c>
      <c r="O52">
        <v>46</v>
      </c>
      <c r="P52">
        <v>47</v>
      </c>
      <c r="Q52">
        <f t="shared" si="18"/>
        <v>136</v>
      </c>
      <c r="R52">
        <f t="shared" si="19"/>
        <v>90.67</v>
      </c>
      <c r="S52">
        <f t="shared" si="20"/>
        <v>45.34</v>
      </c>
      <c r="T52">
        <v>35</v>
      </c>
      <c r="U52">
        <v>34</v>
      </c>
      <c r="V52">
        <v>29</v>
      </c>
      <c r="W52">
        <f t="shared" si="21"/>
        <v>98</v>
      </c>
      <c r="X52">
        <f t="shared" si="22"/>
        <v>81.67</v>
      </c>
      <c r="Y52">
        <f t="shared" si="23"/>
        <v>24.5</v>
      </c>
      <c r="Z52">
        <f t="shared" si="28"/>
        <v>86.24</v>
      </c>
      <c r="AA52">
        <f t="shared" si="29"/>
        <v>88</v>
      </c>
      <c r="AB52" t="str">
        <f t="shared" si="24"/>
        <v>Benchmarking</v>
      </c>
      <c r="AV52">
        <f t="shared" si="25"/>
        <v>87.5</v>
      </c>
      <c r="AW52">
        <f t="shared" si="26"/>
        <v>85</v>
      </c>
      <c r="AX52">
        <f t="shared" si="27"/>
        <v>72.5</v>
      </c>
    </row>
    <row r="53" spans="1:50" ht="15.6" x14ac:dyDescent="0.3">
      <c r="A53">
        <v>42</v>
      </c>
      <c r="B53" t="str">
        <f>INPUT!B53</f>
        <v>Agustin, Zachary</v>
      </c>
      <c r="F53">
        <v>13</v>
      </c>
      <c r="G53">
        <v>15</v>
      </c>
      <c r="H53">
        <v>14</v>
      </c>
      <c r="I53">
        <v>14</v>
      </c>
      <c r="J53">
        <v>15</v>
      </c>
      <c r="K53">
        <f t="shared" si="15"/>
        <v>71</v>
      </c>
      <c r="L53">
        <f t="shared" si="16"/>
        <v>71</v>
      </c>
      <c r="M53">
        <f t="shared" si="17"/>
        <v>14.2</v>
      </c>
      <c r="N53">
        <v>34</v>
      </c>
      <c r="O53">
        <v>40</v>
      </c>
      <c r="P53">
        <v>35</v>
      </c>
      <c r="Q53">
        <f t="shared" si="18"/>
        <v>109</v>
      </c>
      <c r="R53">
        <f t="shared" si="19"/>
        <v>72.67</v>
      </c>
      <c r="S53">
        <f t="shared" si="20"/>
        <v>36.340000000000003</v>
      </c>
      <c r="T53">
        <v>26</v>
      </c>
      <c r="U53">
        <v>25</v>
      </c>
      <c r="V53">
        <v>29</v>
      </c>
      <c r="W53">
        <f t="shared" si="21"/>
        <v>80</v>
      </c>
      <c r="X53">
        <f t="shared" si="22"/>
        <v>66.67</v>
      </c>
      <c r="Y53">
        <f t="shared" si="23"/>
        <v>20</v>
      </c>
      <c r="Z53">
        <f t="shared" si="28"/>
        <v>70.540000000000006</v>
      </c>
      <c r="AA53">
        <f t="shared" si="29"/>
        <v>75</v>
      </c>
      <c r="AB53" t="str">
        <f t="shared" si="24"/>
        <v>Connecting</v>
      </c>
      <c r="AV53">
        <f t="shared" si="25"/>
        <v>65</v>
      </c>
      <c r="AW53">
        <f t="shared" si="26"/>
        <v>62.5</v>
      </c>
      <c r="AX53">
        <f t="shared" si="27"/>
        <v>72.5</v>
      </c>
    </row>
    <row r="54" spans="1:50" ht="15.6" x14ac:dyDescent="0.3">
      <c r="A54">
        <v>43</v>
      </c>
      <c r="B54" t="str">
        <f>INPUT!B54</f>
        <v>Alvarez, Alvin</v>
      </c>
      <c r="F54">
        <v>17</v>
      </c>
      <c r="G54">
        <v>17</v>
      </c>
      <c r="H54">
        <v>18</v>
      </c>
      <c r="I54">
        <v>19</v>
      </c>
      <c r="J54">
        <v>19</v>
      </c>
      <c r="K54">
        <f t="shared" si="15"/>
        <v>90</v>
      </c>
      <c r="L54">
        <f t="shared" si="16"/>
        <v>90</v>
      </c>
      <c r="M54">
        <f t="shared" si="17"/>
        <v>18</v>
      </c>
      <c r="N54">
        <v>49</v>
      </c>
      <c r="O54">
        <v>45</v>
      </c>
      <c r="P54">
        <v>45</v>
      </c>
      <c r="Q54">
        <f t="shared" si="18"/>
        <v>139</v>
      </c>
      <c r="R54">
        <f t="shared" si="19"/>
        <v>92.67</v>
      </c>
      <c r="S54">
        <f t="shared" si="20"/>
        <v>46.34</v>
      </c>
      <c r="T54">
        <v>34</v>
      </c>
      <c r="U54">
        <v>32</v>
      </c>
      <c r="V54">
        <v>32</v>
      </c>
      <c r="W54">
        <f t="shared" si="21"/>
        <v>98</v>
      </c>
      <c r="X54">
        <f t="shared" si="22"/>
        <v>81.67</v>
      </c>
      <c r="Y54">
        <f t="shared" si="23"/>
        <v>24.5</v>
      </c>
      <c r="Z54">
        <f t="shared" si="28"/>
        <v>88.84</v>
      </c>
      <c r="AA54">
        <f t="shared" si="29"/>
        <v>90</v>
      </c>
      <c r="AB54" t="str">
        <f t="shared" si="24"/>
        <v>Advancing</v>
      </c>
      <c r="AV54">
        <f t="shared" si="25"/>
        <v>85</v>
      </c>
      <c r="AW54">
        <f t="shared" si="26"/>
        <v>80</v>
      </c>
      <c r="AX54">
        <f t="shared" si="27"/>
        <v>80</v>
      </c>
    </row>
    <row r="55" spans="1:50" ht="15.6" x14ac:dyDescent="0.3">
      <c r="A55">
        <v>44</v>
      </c>
      <c r="B55" t="str">
        <f>INPUT!B55</f>
        <v>Aquino, Andre</v>
      </c>
      <c r="F55">
        <v>10</v>
      </c>
      <c r="G55">
        <v>10</v>
      </c>
      <c r="H55">
        <v>8</v>
      </c>
      <c r="I55">
        <v>9</v>
      </c>
      <c r="J55">
        <v>8</v>
      </c>
      <c r="K55">
        <f t="shared" si="15"/>
        <v>45</v>
      </c>
      <c r="L55">
        <f t="shared" si="16"/>
        <v>45</v>
      </c>
      <c r="M55">
        <f t="shared" si="17"/>
        <v>9</v>
      </c>
      <c r="N55">
        <v>27</v>
      </c>
      <c r="O55">
        <v>26</v>
      </c>
      <c r="P55">
        <v>22</v>
      </c>
      <c r="Q55">
        <f t="shared" si="18"/>
        <v>75</v>
      </c>
      <c r="R55">
        <f t="shared" si="19"/>
        <v>50</v>
      </c>
      <c r="S55">
        <f t="shared" si="20"/>
        <v>25</v>
      </c>
      <c r="T55">
        <v>17</v>
      </c>
      <c r="U55">
        <v>16</v>
      </c>
      <c r="V55">
        <v>18</v>
      </c>
      <c r="W55">
        <f t="shared" si="21"/>
        <v>51</v>
      </c>
      <c r="X55">
        <f t="shared" si="22"/>
        <v>42.5</v>
      </c>
      <c r="Y55">
        <f t="shared" si="23"/>
        <v>12.75</v>
      </c>
      <c r="Z55">
        <f t="shared" si="28"/>
        <v>46.75</v>
      </c>
      <c r="AA55">
        <f t="shared" si="29"/>
        <v>63</v>
      </c>
      <c r="AB55" t="str">
        <f t="shared" si="24"/>
        <v>Emerging</v>
      </c>
      <c r="AV55">
        <f t="shared" si="25"/>
        <v>42.5</v>
      </c>
      <c r="AW55">
        <f t="shared" si="26"/>
        <v>40</v>
      </c>
      <c r="AX55">
        <f t="shared" si="27"/>
        <v>45</v>
      </c>
    </row>
    <row r="56" spans="1:50" ht="15.6" x14ac:dyDescent="0.3">
      <c r="A56">
        <v>45</v>
      </c>
      <c r="B56" t="str">
        <f>INPUT!B56</f>
        <v>Arceo, Benedict</v>
      </c>
      <c r="F56">
        <v>16</v>
      </c>
      <c r="G56">
        <v>16</v>
      </c>
      <c r="H56">
        <v>15</v>
      </c>
      <c r="I56">
        <v>15</v>
      </c>
      <c r="J56">
        <v>16</v>
      </c>
      <c r="K56">
        <f t="shared" si="15"/>
        <v>78</v>
      </c>
      <c r="L56">
        <f t="shared" si="16"/>
        <v>78</v>
      </c>
      <c r="M56">
        <f t="shared" si="17"/>
        <v>15.6</v>
      </c>
      <c r="N56">
        <v>37</v>
      </c>
      <c r="O56">
        <v>38</v>
      </c>
      <c r="P56">
        <v>38</v>
      </c>
      <c r="Q56">
        <f t="shared" si="18"/>
        <v>113</v>
      </c>
      <c r="R56">
        <f t="shared" si="19"/>
        <v>75.33</v>
      </c>
      <c r="S56">
        <f t="shared" si="20"/>
        <v>37.67</v>
      </c>
      <c r="T56">
        <v>31</v>
      </c>
      <c r="U56">
        <v>27</v>
      </c>
      <c r="V56">
        <v>31</v>
      </c>
      <c r="W56">
        <f t="shared" si="21"/>
        <v>89</v>
      </c>
      <c r="X56">
        <f t="shared" si="22"/>
        <v>74.17</v>
      </c>
      <c r="Y56">
        <f t="shared" si="23"/>
        <v>22.25</v>
      </c>
      <c r="Z56">
        <f t="shared" si="28"/>
        <v>75.52</v>
      </c>
      <c r="AA56">
        <f t="shared" si="29"/>
        <v>77</v>
      </c>
      <c r="AB56" t="str">
        <f t="shared" si="24"/>
        <v>Connecting</v>
      </c>
      <c r="AV56">
        <f t="shared" si="25"/>
        <v>77.5</v>
      </c>
      <c r="AW56">
        <f t="shared" si="26"/>
        <v>67.5</v>
      </c>
      <c r="AX56">
        <f t="shared" si="27"/>
        <v>77.5</v>
      </c>
    </row>
    <row r="57" spans="1:50" ht="15.6" x14ac:dyDescent="0.3">
      <c r="A57">
        <v>46</v>
      </c>
      <c r="B57" t="str">
        <f>INPUT!B57</f>
        <v>Arellano, Cyrus</v>
      </c>
      <c r="F57">
        <v>18</v>
      </c>
      <c r="G57">
        <v>18</v>
      </c>
      <c r="H57">
        <v>17</v>
      </c>
      <c r="I57">
        <v>17</v>
      </c>
      <c r="J57">
        <v>17</v>
      </c>
      <c r="K57">
        <f t="shared" si="15"/>
        <v>87</v>
      </c>
      <c r="L57">
        <f t="shared" si="16"/>
        <v>87</v>
      </c>
      <c r="M57">
        <f t="shared" si="17"/>
        <v>17.399999999999999</v>
      </c>
      <c r="N57">
        <v>45</v>
      </c>
      <c r="O57">
        <v>47</v>
      </c>
      <c r="P57">
        <v>42</v>
      </c>
      <c r="Q57">
        <f t="shared" si="18"/>
        <v>134</v>
      </c>
      <c r="R57">
        <f t="shared" si="19"/>
        <v>89.33</v>
      </c>
      <c r="S57">
        <f t="shared" si="20"/>
        <v>44.67</v>
      </c>
      <c r="T57">
        <v>31</v>
      </c>
      <c r="U57">
        <v>33</v>
      </c>
      <c r="V57">
        <v>30</v>
      </c>
      <c r="W57">
        <f t="shared" si="21"/>
        <v>94</v>
      </c>
      <c r="X57">
        <f t="shared" si="22"/>
        <v>78.33</v>
      </c>
      <c r="Y57">
        <f t="shared" si="23"/>
        <v>23.5</v>
      </c>
      <c r="Z57">
        <f t="shared" si="28"/>
        <v>85.57</v>
      </c>
      <c r="AA57">
        <f t="shared" si="29"/>
        <v>87</v>
      </c>
      <c r="AB57" t="str">
        <f t="shared" si="24"/>
        <v>Benchmarking</v>
      </c>
      <c r="AV57">
        <f t="shared" si="25"/>
        <v>77.5</v>
      </c>
      <c r="AW57">
        <f t="shared" si="26"/>
        <v>82.5</v>
      </c>
      <c r="AX57">
        <f t="shared" si="27"/>
        <v>75</v>
      </c>
    </row>
    <row r="58" spans="1:50" ht="15.6" x14ac:dyDescent="0.3">
      <c r="A58">
        <v>47</v>
      </c>
      <c r="B58" t="str">
        <f>INPUT!B58</f>
        <v>Barrera, Dominic</v>
      </c>
      <c r="F58">
        <v>16</v>
      </c>
      <c r="G58">
        <v>15</v>
      </c>
      <c r="H58">
        <v>15</v>
      </c>
      <c r="I58">
        <v>15</v>
      </c>
      <c r="J58">
        <v>16</v>
      </c>
      <c r="K58">
        <f t="shared" si="15"/>
        <v>77</v>
      </c>
      <c r="L58">
        <f t="shared" si="16"/>
        <v>77</v>
      </c>
      <c r="M58">
        <f t="shared" si="17"/>
        <v>15.4</v>
      </c>
      <c r="N58">
        <v>40</v>
      </c>
      <c r="O58">
        <v>43</v>
      </c>
      <c r="P58">
        <v>40</v>
      </c>
      <c r="Q58">
        <f t="shared" si="18"/>
        <v>123</v>
      </c>
      <c r="R58">
        <f t="shared" si="19"/>
        <v>82</v>
      </c>
      <c r="S58">
        <f t="shared" si="20"/>
        <v>41</v>
      </c>
      <c r="T58">
        <v>28</v>
      </c>
      <c r="U58">
        <v>30</v>
      </c>
      <c r="V58">
        <v>32</v>
      </c>
      <c r="W58">
        <f t="shared" si="21"/>
        <v>90</v>
      </c>
      <c r="X58">
        <f t="shared" si="22"/>
        <v>75</v>
      </c>
      <c r="Y58">
        <f t="shared" si="23"/>
        <v>22.5</v>
      </c>
      <c r="Z58">
        <f t="shared" si="28"/>
        <v>78.900000000000006</v>
      </c>
      <c r="AA58">
        <f t="shared" si="29"/>
        <v>80</v>
      </c>
      <c r="AB58" t="str">
        <f t="shared" si="24"/>
        <v>Benchmarking</v>
      </c>
      <c r="AV58">
        <f t="shared" si="25"/>
        <v>70</v>
      </c>
      <c r="AW58">
        <f t="shared" si="26"/>
        <v>75</v>
      </c>
      <c r="AX58">
        <f t="shared" si="27"/>
        <v>80</v>
      </c>
    </row>
    <row r="59" spans="1:50" ht="15.6" x14ac:dyDescent="0.3">
      <c r="A59">
        <v>48</v>
      </c>
      <c r="B59" t="str">
        <f>INPUT!B59</f>
        <v>Cabral, Emmanuel</v>
      </c>
      <c r="F59">
        <v>15</v>
      </c>
      <c r="G59">
        <v>17</v>
      </c>
      <c r="H59">
        <v>15</v>
      </c>
      <c r="I59">
        <v>17</v>
      </c>
      <c r="J59">
        <v>17</v>
      </c>
      <c r="K59">
        <f t="shared" si="15"/>
        <v>81</v>
      </c>
      <c r="L59">
        <f t="shared" si="16"/>
        <v>81</v>
      </c>
      <c r="M59">
        <f t="shared" si="17"/>
        <v>16.2</v>
      </c>
      <c r="N59">
        <v>41</v>
      </c>
      <c r="O59">
        <v>41</v>
      </c>
      <c r="P59">
        <v>43</v>
      </c>
      <c r="Q59">
        <f t="shared" si="18"/>
        <v>125</v>
      </c>
      <c r="R59">
        <f t="shared" si="19"/>
        <v>83.33</v>
      </c>
      <c r="S59">
        <f t="shared" si="20"/>
        <v>41.67</v>
      </c>
      <c r="T59">
        <v>31</v>
      </c>
      <c r="U59">
        <v>33</v>
      </c>
      <c r="V59">
        <v>32</v>
      </c>
      <c r="W59">
        <f t="shared" si="21"/>
        <v>96</v>
      </c>
      <c r="X59">
        <f t="shared" si="22"/>
        <v>80</v>
      </c>
      <c r="Y59">
        <f t="shared" si="23"/>
        <v>24</v>
      </c>
      <c r="Z59">
        <f t="shared" si="28"/>
        <v>81.87</v>
      </c>
      <c r="AA59">
        <f t="shared" si="29"/>
        <v>83</v>
      </c>
      <c r="AB59" t="str">
        <f t="shared" si="24"/>
        <v>Benchmarking</v>
      </c>
      <c r="AV59">
        <f t="shared" si="25"/>
        <v>77.5</v>
      </c>
      <c r="AW59">
        <f t="shared" si="26"/>
        <v>82.5</v>
      </c>
      <c r="AX59">
        <f t="shared" si="27"/>
        <v>80</v>
      </c>
    </row>
    <row r="60" spans="1:50" ht="15.6" x14ac:dyDescent="0.3">
      <c r="A60">
        <v>49</v>
      </c>
      <c r="B60" t="str">
        <f>INPUT!B60</f>
        <v>David, Francis</v>
      </c>
      <c r="F60">
        <v>16</v>
      </c>
      <c r="G60">
        <v>16</v>
      </c>
      <c r="H60">
        <v>16</v>
      </c>
      <c r="I60">
        <v>15</v>
      </c>
      <c r="J60">
        <v>17</v>
      </c>
      <c r="K60">
        <f t="shared" si="15"/>
        <v>80</v>
      </c>
      <c r="L60">
        <f t="shared" si="16"/>
        <v>80</v>
      </c>
      <c r="M60">
        <f t="shared" si="17"/>
        <v>16</v>
      </c>
      <c r="N60">
        <v>40</v>
      </c>
      <c r="O60">
        <v>41</v>
      </c>
      <c r="P60">
        <v>42</v>
      </c>
      <c r="Q60">
        <f t="shared" si="18"/>
        <v>123</v>
      </c>
      <c r="R60">
        <f t="shared" si="19"/>
        <v>82</v>
      </c>
      <c r="S60">
        <f t="shared" si="20"/>
        <v>41</v>
      </c>
      <c r="T60">
        <v>31</v>
      </c>
      <c r="U60">
        <v>31</v>
      </c>
      <c r="V60">
        <v>28</v>
      </c>
      <c r="W60">
        <f t="shared" si="21"/>
        <v>90</v>
      </c>
      <c r="X60">
        <f t="shared" si="22"/>
        <v>75</v>
      </c>
      <c r="Y60">
        <f t="shared" si="23"/>
        <v>22.5</v>
      </c>
      <c r="Z60">
        <f t="shared" si="28"/>
        <v>79.5</v>
      </c>
      <c r="AA60">
        <f t="shared" si="29"/>
        <v>81</v>
      </c>
      <c r="AB60" t="str">
        <f t="shared" si="24"/>
        <v>Benchmarking</v>
      </c>
      <c r="AV60">
        <f t="shared" si="25"/>
        <v>77.5</v>
      </c>
      <c r="AW60">
        <f t="shared" si="26"/>
        <v>77.5</v>
      </c>
      <c r="AX60">
        <f t="shared" si="27"/>
        <v>70</v>
      </c>
    </row>
    <row r="61" spans="1:50" ht="15.6" x14ac:dyDescent="0.3">
      <c r="A61">
        <v>50</v>
      </c>
      <c r="B61" t="str">
        <f>INPUT!B61</f>
        <v>Escobar, Gian</v>
      </c>
      <c r="F61">
        <v>17</v>
      </c>
      <c r="G61">
        <v>17</v>
      </c>
      <c r="H61">
        <v>18</v>
      </c>
      <c r="I61">
        <v>18</v>
      </c>
      <c r="J61">
        <v>18</v>
      </c>
      <c r="K61">
        <f t="shared" si="15"/>
        <v>88</v>
      </c>
      <c r="L61">
        <f t="shared" si="16"/>
        <v>88</v>
      </c>
      <c r="M61">
        <f t="shared" si="17"/>
        <v>17.600000000000001</v>
      </c>
      <c r="N61">
        <v>47</v>
      </c>
      <c r="O61">
        <v>47</v>
      </c>
      <c r="P61">
        <v>44</v>
      </c>
      <c r="Q61">
        <f t="shared" si="18"/>
        <v>138</v>
      </c>
      <c r="R61">
        <f t="shared" si="19"/>
        <v>92</v>
      </c>
      <c r="S61">
        <f t="shared" si="20"/>
        <v>46</v>
      </c>
      <c r="T61">
        <v>34</v>
      </c>
      <c r="U61">
        <v>35</v>
      </c>
      <c r="V61">
        <v>34</v>
      </c>
      <c r="W61">
        <f t="shared" si="21"/>
        <v>103</v>
      </c>
      <c r="X61">
        <f t="shared" si="22"/>
        <v>85.83</v>
      </c>
      <c r="Y61">
        <f t="shared" si="23"/>
        <v>25.75</v>
      </c>
      <c r="Z61">
        <f t="shared" si="28"/>
        <v>89.35</v>
      </c>
      <c r="AA61">
        <f t="shared" si="29"/>
        <v>91</v>
      </c>
      <c r="AB61" t="str">
        <f t="shared" si="24"/>
        <v>Advancing</v>
      </c>
      <c r="AV61">
        <f t="shared" si="25"/>
        <v>85</v>
      </c>
      <c r="AW61">
        <f t="shared" si="26"/>
        <v>87.5</v>
      </c>
      <c r="AX61">
        <f t="shared" si="27"/>
        <v>85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19</v>
      </c>
      <c r="G63">
        <v>18</v>
      </c>
      <c r="H63">
        <v>19</v>
      </c>
      <c r="I63">
        <v>19</v>
      </c>
      <c r="J63">
        <v>19</v>
      </c>
      <c r="K63">
        <f t="shared" ref="K63:K94" si="30">IF(COUNT($F63:$J63)=0,"",SUM($F63:$J63))</f>
        <v>94</v>
      </c>
      <c r="L63">
        <f t="shared" ref="L63:L94" si="31">IF(ISERROR(IF($K63="","",ROUND(($K63/$K$10)*$L$10,2))),"",IF($K63="","",ROUND(($K63/$K$10)*$L$10,2)))</f>
        <v>94</v>
      </c>
      <c r="M63">
        <f t="shared" ref="M63:M94" si="32">IF($L63="","",ROUND($L63*$M$10,2))</f>
        <v>18.8</v>
      </c>
      <c r="N63">
        <v>49</v>
      </c>
      <c r="O63">
        <v>45</v>
      </c>
      <c r="P63">
        <v>44</v>
      </c>
      <c r="Q63">
        <f t="shared" ref="Q63:Q94" si="33">IF(COUNT($N63:$P63)=0,"",SUM($N63:$P63))</f>
        <v>138</v>
      </c>
      <c r="R63">
        <f t="shared" ref="R63:R94" si="34">IF(ISERROR(IF($Q63="","",ROUND(($Q63/$Q$10)*$R$10,2))),"",IF($Q63="","",ROUND(($Q63/$Q$10)*$R$10,2)))</f>
        <v>92</v>
      </c>
      <c r="S63">
        <f t="shared" ref="S63:S94" si="35">IF($R63="","",ROUND($R63*$S$10,2))</f>
        <v>46</v>
      </c>
      <c r="T63">
        <v>36</v>
      </c>
      <c r="U63">
        <v>32</v>
      </c>
      <c r="V63">
        <v>35</v>
      </c>
      <c r="W63">
        <f t="shared" ref="W63:W94" si="36">IF(COUNT($T63:$V63)=0,"",SUM($T63:$V63))</f>
        <v>103</v>
      </c>
      <c r="X63">
        <f t="shared" ref="X63:X94" si="37">IF(ISERROR(IF($W63="","",ROUND(($W63/$W$10)*$X$10,2))),"",IF($W63="","",ROUND(($W63/$W$10)*$X$10,2)))</f>
        <v>85.83</v>
      </c>
      <c r="Y63">
        <f t="shared" ref="Y63:Y94" si="38">IF($X63="","",ROUND($X63*$Y$10,2))</f>
        <v>25.75</v>
      </c>
      <c r="Z63">
        <f t="shared" ref="Z63:Z94" si="39">IF(ISERROR(IF($V63="","",ROUND(SUM($M63,$S63,$Y63),2))),"",IF($V63="","",ROUND(SUM($M63,$S63,$Y63),2)))</f>
        <v>90.55</v>
      </c>
      <c r="AA63">
        <f t="shared" ref="AA63:AA94" si="40">IF(ISERROR(IF($V63="","",VLOOKUP(Z63,NewTransmu,4,TRUE))),"",IF($V63="","",VLOOKUP(Z63,NewTransmu,4,TRUE)))</f>
        <v>92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90</v>
      </c>
      <c r="AW63">
        <f t="shared" si="26"/>
        <v>80</v>
      </c>
      <c r="AX63">
        <f t="shared" si="27"/>
        <v>87.5</v>
      </c>
    </row>
    <row r="64" spans="1:50" ht="15.6" x14ac:dyDescent="0.3">
      <c r="A64">
        <v>2</v>
      </c>
      <c r="B64" t="str">
        <f>INPUT!B64</f>
        <v>Garcia, Angela</v>
      </c>
      <c r="F64">
        <v>16</v>
      </c>
      <c r="G64">
        <v>18</v>
      </c>
      <c r="H64">
        <v>17</v>
      </c>
      <c r="I64">
        <v>16</v>
      </c>
      <c r="J64">
        <v>17</v>
      </c>
      <c r="K64">
        <f t="shared" si="30"/>
        <v>84</v>
      </c>
      <c r="L64">
        <f t="shared" si="31"/>
        <v>84</v>
      </c>
      <c r="M64">
        <f t="shared" si="32"/>
        <v>16.8</v>
      </c>
      <c r="N64">
        <v>44</v>
      </c>
      <c r="O64">
        <v>44</v>
      </c>
      <c r="P64">
        <v>42</v>
      </c>
      <c r="Q64">
        <f t="shared" si="33"/>
        <v>130</v>
      </c>
      <c r="R64">
        <f t="shared" si="34"/>
        <v>86.67</v>
      </c>
      <c r="S64">
        <f t="shared" si="35"/>
        <v>43.34</v>
      </c>
      <c r="T64">
        <v>31</v>
      </c>
      <c r="U64">
        <v>29</v>
      </c>
      <c r="V64">
        <v>34</v>
      </c>
      <c r="W64">
        <f t="shared" si="36"/>
        <v>94</v>
      </c>
      <c r="X64">
        <f t="shared" si="37"/>
        <v>78.33</v>
      </c>
      <c r="Y64">
        <f t="shared" si="38"/>
        <v>23.5</v>
      </c>
      <c r="Z64">
        <f t="shared" si="39"/>
        <v>83.64</v>
      </c>
      <c r="AA64">
        <f t="shared" si="40"/>
        <v>85</v>
      </c>
      <c r="AB64" t="str">
        <f t="shared" si="41"/>
        <v>Benchmarking</v>
      </c>
      <c r="AV64">
        <f t="shared" si="25"/>
        <v>77.5</v>
      </c>
      <c r="AW64">
        <f t="shared" si="26"/>
        <v>72.5</v>
      </c>
      <c r="AX64">
        <f t="shared" si="27"/>
        <v>85</v>
      </c>
    </row>
    <row r="65" spans="1:50" ht="15.6" x14ac:dyDescent="0.3">
      <c r="A65">
        <v>3</v>
      </c>
      <c r="B65" t="str">
        <f>INPUT!B65</f>
        <v>Gonzales, Bea</v>
      </c>
      <c r="F65">
        <v>15</v>
      </c>
      <c r="G65">
        <v>16</v>
      </c>
      <c r="H65">
        <v>16</v>
      </c>
      <c r="I65">
        <v>14</v>
      </c>
      <c r="J65">
        <v>15</v>
      </c>
      <c r="K65">
        <f t="shared" si="30"/>
        <v>76</v>
      </c>
      <c r="L65">
        <f t="shared" si="31"/>
        <v>76</v>
      </c>
      <c r="M65">
        <f t="shared" si="32"/>
        <v>15.2</v>
      </c>
      <c r="N65">
        <v>40</v>
      </c>
      <c r="O65">
        <v>37</v>
      </c>
      <c r="P65">
        <v>43</v>
      </c>
      <c r="Q65">
        <f t="shared" si="33"/>
        <v>120</v>
      </c>
      <c r="R65">
        <f t="shared" si="34"/>
        <v>80</v>
      </c>
      <c r="S65">
        <f t="shared" si="35"/>
        <v>40</v>
      </c>
      <c r="T65">
        <v>28</v>
      </c>
      <c r="U65">
        <v>29</v>
      </c>
      <c r="V65">
        <v>27</v>
      </c>
      <c r="W65">
        <f t="shared" si="36"/>
        <v>84</v>
      </c>
      <c r="X65">
        <f t="shared" si="37"/>
        <v>70</v>
      </c>
      <c r="Y65">
        <f t="shared" si="38"/>
        <v>21</v>
      </c>
      <c r="Z65">
        <f t="shared" si="39"/>
        <v>76.2</v>
      </c>
      <c r="AA65">
        <f t="shared" si="40"/>
        <v>78</v>
      </c>
      <c r="AB65" t="str">
        <f t="shared" si="41"/>
        <v>Connecting</v>
      </c>
      <c r="AV65">
        <f t="shared" si="25"/>
        <v>70</v>
      </c>
      <c r="AW65">
        <f t="shared" si="26"/>
        <v>72.5</v>
      </c>
      <c r="AX65">
        <f t="shared" si="27"/>
        <v>67.5</v>
      </c>
    </row>
    <row r="66" spans="1:50" ht="15.6" x14ac:dyDescent="0.3">
      <c r="A66">
        <v>4</v>
      </c>
      <c r="B66" t="str">
        <f>INPUT!B66</f>
        <v>Hernandez, Bianca</v>
      </c>
      <c r="F66">
        <v>16</v>
      </c>
      <c r="G66">
        <v>17</v>
      </c>
      <c r="H66">
        <v>17</v>
      </c>
      <c r="I66">
        <v>15</v>
      </c>
      <c r="J66">
        <v>16</v>
      </c>
      <c r="K66">
        <f t="shared" si="30"/>
        <v>81</v>
      </c>
      <c r="L66">
        <f t="shared" si="31"/>
        <v>81</v>
      </c>
      <c r="M66">
        <f t="shared" si="32"/>
        <v>16.2</v>
      </c>
      <c r="N66">
        <v>43</v>
      </c>
      <c r="O66">
        <v>38</v>
      </c>
      <c r="P66">
        <v>45</v>
      </c>
      <c r="Q66">
        <f t="shared" si="33"/>
        <v>126</v>
      </c>
      <c r="R66">
        <f t="shared" si="34"/>
        <v>84</v>
      </c>
      <c r="S66">
        <f t="shared" si="35"/>
        <v>42</v>
      </c>
      <c r="T66">
        <v>33</v>
      </c>
      <c r="U66">
        <v>31</v>
      </c>
      <c r="V66">
        <v>32</v>
      </c>
      <c r="W66">
        <f t="shared" si="36"/>
        <v>96</v>
      </c>
      <c r="X66">
        <f t="shared" si="37"/>
        <v>80</v>
      </c>
      <c r="Y66">
        <f t="shared" si="38"/>
        <v>24</v>
      </c>
      <c r="Z66">
        <f t="shared" si="39"/>
        <v>82.2</v>
      </c>
      <c r="AA66">
        <f t="shared" si="40"/>
        <v>84</v>
      </c>
      <c r="AB66" t="str">
        <f t="shared" si="41"/>
        <v>Benchmarking</v>
      </c>
      <c r="AV66">
        <f t="shared" si="25"/>
        <v>82.5</v>
      </c>
      <c r="AW66">
        <f t="shared" si="26"/>
        <v>77.5</v>
      </c>
      <c r="AX66">
        <f t="shared" si="27"/>
        <v>80</v>
      </c>
    </row>
    <row r="67" spans="1:50" ht="15.6" x14ac:dyDescent="0.3">
      <c r="A67">
        <v>5</v>
      </c>
      <c r="B67" t="str">
        <f>INPUT!B67</f>
        <v>Ilagan, Camille</v>
      </c>
      <c r="F67">
        <v>18</v>
      </c>
      <c r="G67">
        <v>18</v>
      </c>
      <c r="H67">
        <v>19</v>
      </c>
      <c r="I67">
        <v>20</v>
      </c>
      <c r="J67">
        <v>18</v>
      </c>
      <c r="K67">
        <f t="shared" si="30"/>
        <v>93</v>
      </c>
      <c r="L67">
        <f t="shared" si="31"/>
        <v>93</v>
      </c>
      <c r="M67">
        <f t="shared" si="32"/>
        <v>18.600000000000001</v>
      </c>
      <c r="N67">
        <v>47</v>
      </c>
      <c r="O67">
        <v>47</v>
      </c>
      <c r="P67">
        <v>46</v>
      </c>
      <c r="Q67">
        <f t="shared" si="33"/>
        <v>140</v>
      </c>
      <c r="R67">
        <f t="shared" si="34"/>
        <v>93.33</v>
      </c>
      <c r="S67">
        <f t="shared" si="35"/>
        <v>46.67</v>
      </c>
      <c r="T67">
        <v>38</v>
      </c>
      <c r="U67">
        <v>34</v>
      </c>
      <c r="V67">
        <v>34</v>
      </c>
      <c r="W67">
        <f t="shared" si="36"/>
        <v>106</v>
      </c>
      <c r="X67">
        <f t="shared" si="37"/>
        <v>88.33</v>
      </c>
      <c r="Y67">
        <f t="shared" si="38"/>
        <v>26.5</v>
      </c>
      <c r="Z67">
        <f t="shared" si="39"/>
        <v>91.77</v>
      </c>
      <c r="AA67">
        <f t="shared" si="40"/>
        <v>93</v>
      </c>
      <c r="AB67" t="str">
        <f t="shared" si="41"/>
        <v>Advancing</v>
      </c>
      <c r="AV67">
        <f t="shared" si="25"/>
        <v>95</v>
      </c>
      <c r="AW67">
        <f t="shared" si="26"/>
        <v>85</v>
      </c>
      <c r="AX67">
        <f t="shared" si="27"/>
        <v>85</v>
      </c>
    </row>
    <row r="68" spans="1:50" ht="15.6" x14ac:dyDescent="0.3">
      <c r="A68">
        <v>6</v>
      </c>
      <c r="B68" t="str">
        <f>INPUT!B68</f>
        <v>Jimenez, Carla</v>
      </c>
      <c r="F68">
        <v>18</v>
      </c>
      <c r="G68">
        <v>18</v>
      </c>
      <c r="H68">
        <v>18</v>
      </c>
      <c r="I68">
        <v>20</v>
      </c>
      <c r="J68">
        <v>19</v>
      </c>
      <c r="K68">
        <f t="shared" si="30"/>
        <v>93</v>
      </c>
      <c r="L68">
        <f t="shared" si="31"/>
        <v>93</v>
      </c>
      <c r="M68">
        <f t="shared" si="32"/>
        <v>18.600000000000001</v>
      </c>
      <c r="N68">
        <v>47</v>
      </c>
      <c r="O68">
        <v>47</v>
      </c>
      <c r="P68">
        <v>49</v>
      </c>
      <c r="Q68">
        <f t="shared" si="33"/>
        <v>143</v>
      </c>
      <c r="R68">
        <f t="shared" si="34"/>
        <v>95.33</v>
      </c>
      <c r="S68">
        <f t="shared" si="35"/>
        <v>47.67</v>
      </c>
      <c r="T68">
        <v>35</v>
      </c>
      <c r="U68">
        <v>34</v>
      </c>
      <c r="V68">
        <v>39</v>
      </c>
      <c r="W68">
        <f t="shared" si="36"/>
        <v>108</v>
      </c>
      <c r="X68">
        <f t="shared" si="37"/>
        <v>90</v>
      </c>
      <c r="Y68">
        <f t="shared" si="38"/>
        <v>27</v>
      </c>
      <c r="Z68">
        <f t="shared" si="39"/>
        <v>93.27</v>
      </c>
      <c r="AA68">
        <f t="shared" si="40"/>
        <v>95</v>
      </c>
      <c r="AB68" t="str">
        <f t="shared" si="41"/>
        <v>Advancing</v>
      </c>
      <c r="AV68">
        <f t="shared" si="25"/>
        <v>87.5</v>
      </c>
      <c r="AW68">
        <f t="shared" si="26"/>
        <v>85</v>
      </c>
      <c r="AX68">
        <f t="shared" si="27"/>
        <v>97.5</v>
      </c>
    </row>
    <row r="69" spans="1:50" ht="15.6" x14ac:dyDescent="0.3">
      <c r="A69">
        <v>7</v>
      </c>
      <c r="B69" t="str">
        <f>INPUT!B69</f>
        <v>Lacson, Chloe</v>
      </c>
      <c r="F69">
        <v>15</v>
      </c>
      <c r="G69">
        <v>14</v>
      </c>
      <c r="H69">
        <v>13</v>
      </c>
      <c r="I69">
        <v>13</v>
      </c>
      <c r="J69">
        <v>15</v>
      </c>
      <c r="K69">
        <f t="shared" si="30"/>
        <v>70</v>
      </c>
      <c r="L69">
        <f t="shared" si="31"/>
        <v>70</v>
      </c>
      <c r="M69">
        <f t="shared" si="32"/>
        <v>14</v>
      </c>
      <c r="N69">
        <v>36</v>
      </c>
      <c r="O69">
        <v>33</v>
      </c>
      <c r="P69">
        <v>35</v>
      </c>
      <c r="Q69">
        <f t="shared" si="33"/>
        <v>104</v>
      </c>
      <c r="R69">
        <f t="shared" si="34"/>
        <v>69.33</v>
      </c>
      <c r="S69">
        <f t="shared" si="35"/>
        <v>34.67</v>
      </c>
      <c r="T69">
        <v>26</v>
      </c>
      <c r="U69">
        <v>27</v>
      </c>
      <c r="V69">
        <v>25</v>
      </c>
      <c r="W69">
        <f t="shared" si="36"/>
        <v>78</v>
      </c>
      <c r="X69">
        <f t="shared" si="37"/>
        <v>65</v>
      </c>
      <c r="Y69">
        <f t="shared" si="38"/>
        <v>19.5</v>
      </c>
      <c r="Z69">
        <f t="shared" si="39"/>
        <v>68.17</v>
      </c>
      <c r="AA69">
        <f t="shared" si="40"/>
        <v>74</v>
      </c>
      <c r="AB69" t="str">
        <f t="shared" si="41"/>
        <v xml:space="preserve">Developing </v>
      </c>
      <c r="AV69">
        <f t="shared" si="25"/>
        <v>65</v>
      </c>
      <c r="AW69">
        <f t="shared" si="26"/>
        <v>67.5</v>
      </c>
      <c r="AX69">
        <f t="shared" si="27"/>
        <v>62.5</v>
      </c>
    </row>
    <row r="70" spans="1:50" ht="15.6" x14ac:dyDescent="0.3">
      <c r="A70">
        <v>8</v>
      </c>
      <c r="B70" t="str">
        <f>INPUT!B70</f>
        <v>Lim, Clarisse</v>
      </c>
      <c r="F70">
        <v>18</v>
      </c>
      <c r="G70">
        <v>17</v>
      </c>
      <c r="H70">
        <v>19</v>
      </c>
      <c r="I70">
        <v>19</v>
      </c>
      <c r="J70">
        <v>18</v>
      </c>
      <c r="K70">
        <f t="shared" si="30"/>
        <v>91</v>
      </c>
      <c r="L70">
        <f t="shared" si="31"/>
        <v>91</v>
      </c>
      <c r="M70">
        <f t="shared" si="32"/>
        <v>18.2</v>
      </c>
      <c r="N70">
        <v>46</v>
      </c>
      <c r="O70">
        <v>44</v>
      </c>
      <c r="P70">
        <v>45</v>
      </c>
      <c r="Q70">
        <f t="shared" si="33"/>
        <v>135</v>
      </c>
      <c r="R70">
        <f t="shared" si="34"/>
        <v>90</v>
      </c>
      <c r="S70">
        <f t="shared" si="35"/>
        <v>45</v>
      </c>
      <c r="T70">
        <v>34</v>
      </c>
      <c r="U70">
        <v>36</v>
      </c>
      <c r="V70">
        <v>36</v>
      </c>
      <c r="W70">
        <f t="shared" si="36"/>
        <v>106</v>
      </c>
      <c r="X70">
        <f t="shared" si="37"/>
        <v>88.33</v>
      </c>
      <c r="Y70">
        <f t="shared" si="38"/>
        <v>26.5</v>
      </c>
      <c r="Z70">
        <f t="shared" si="39"/>
        <v>89.7</v>
      </c>
      <c r="AA70">
        <f t="shared" si="40"/>
        <v>91</v>
      </c>
      <c r="AB70" t="str">
        <f t="shared" si="41"/>
        <v>Advancing</v>
      </c>
      <c r="AV70">
        <f t="shared" si="25"/>
        <v>85</v>
      </c>
      <c r="AW70">
        <f t="shared" si="26"/>
        <v>90</v>
      </c>
      <c r="AX70">
        <f t="shared" si="27"/>
        <v>90</v>
      </c>
    </row>
    <row r="71" spans="1:50" ht="15.6" x14ac:dyDescent="0.3">
      <c r="A71">
        <v>9</v>
      </c>
      <c r="B71" t="str">
        <f>INPUT!B71</f>
        <v>Manalo, Danica</v>
      </c>
      <c r="F71">
        <v>14</v>
      </c>
      <c r="G71">
        <v>13</v>
      </c>
      <c r="H71">
        <v>12</v>
      </c>
      <c r="I71">
        <v>14</v>
      </c>
      <c r="J71">
        <v>14</v>
      </c>
      <c r="K71">
        <f t="shared" si="30"/>
        <v>67</v>
      </c>
      <c r="L71">
        <f t="shared" si="31"/>
        <v>67</v>
      </c>
      <c r="M71">
        <f t="shared" si="32"/>
        <v>13.4</v>
      </c>
      <c r="N71">
        <v>34</v>
      </c>
      <c r="O71">
        <v>33</v>
      </c>
      <c r="P71">
        <v>36</v>
      </c>
      <c r="Q71">
        <f t="shared" si="33"/>
        <v>103</v>
      </c>
      <c r="R71">
        <f t="shared" si="34"/>
        <v>68.67</v>
      </c>
      <c r="S71">
        <f t="shared" si="35"/>
        <v>34.340000000000003</v>
      </c>
      <c r="T71">
        <v>26</v>
      </c>
      <c r="U71">
        <v>23</v>
      </c>
      <c r="V71">
        <v>26</v>
      </c>
      <c r="W71">
        <f t="shared" si="36"/>
        <v>75</v>
      </c>
      <c r="X71">
        <f t="shared" si="37"/>
        <v>62.5</v>
      </c>
      <c r="Y71">
        <f t="shared" si="38"/>
        <v>18.75</v>
      </c>
      <c r="Z71">
        <f t="shared" si="39"/>
        <v>66.489999999999995</v>
      </c>
      <c r="AA71">
        <f t="shared" si="40"/>
        <v>73</v>
      </c>
      <c r="AB71" t="str">
        <f t="shared" si="41"/>
        <v xml:space="preserve">Developing </v>
      </c>
      <c r="AV71">
        <f t="shared" si="25"/>
        <v>65</v>
      </c>
      <c r="AW71">
        <f t="shared" si="26"/>
        <v>57.499999999999993</v>
      </c>
      <c r="AX71">
        <f t="shared" si="27"/>
        <v>65</v>
      </c>
    </row>
    <row r="72" spans="1:50" ht="15.6" x14ac:dyDescent="0.3">
      <c r="A72">
        <v>10</v>
      </c>
      <c r="B72" t="str">
        <f>INPUT!B72</f>
        <v>Mendoza, Diana</v>
      </c>
      <c r="F72">
        <v>16</v>
      </c>
      <c r="G72">
        <v>18</v>
      </c>
      <c r="H72">
        <v>18</v>
      </c>
      <c r="I72">
        <v>18</v>
      </c>
      <c r="J72">
        <v>17</v>
      </c>
      <c r="K72">
        <f t="shared" si="30"/>
        <v>87</v>
      </c>
      <c r="L72">
        <f t="shared" si="31"/>
        <v>87</v>
      </c>
      <c r="M72">
        <f t="shared" si="32"/>
        <v>17.399999999999999</v>
      </c>
      <c r="N72">
        <v>42</v>
      </c>
      <c r="O72">
        <v>43</v>
      </c>
      <c r="P72">
        <v>46</v>
      </c>
      <c r="Q72">
        <f t="shared" si="33"/>
        <v>131</v>
      </c>
      <c r="R72">
        <f t="shared" si="34"/>
        <v>87.33</v>
      </c>
      <c r="S72">
        <f t="shared" si="35"/>
        <v>43.67</v>
      </c>
      <c r="T72">
        <v>31</v>
      </c>
      <c r="U72">
        <v>34</v>
      </c>
      <c r="V72">
        <v>34</v>
      </c>
      <c r="W72">
        <f t="shared" si="36"/>
        <v>99</v>
      </c>
      <c r="X72">
        <f t="shared" si="37"/>
        <v>82.5</v>
      </c>
      <c r="Y72">
        <f t="shared" si="38"/>
        <v>24.75</v>
      </c>
      <c r="Z72">
        <f t="shared" si="39"/>
        <v>85.82</v>
      </c>
      <c r="AA72">
        <f t="shared" si="40"/>
        <v>87</v>
      </c>
      <c r="AB72" t="str">
        <f t="shared" si="41"/>
        <v>Benchmarking</v>
      </c>
      <c r="AV72">
        <f t="shared" si="25"/>
        <v>77.5</v>
      </c>
      <c r="AW72">
        <f t="shared" si="26"/>
        <v>85</v>
      </c>
      <c r="AX72">
        <f t="shared" si="27"/>
        <v>85</v>
      </c>
    </row>
    <row r="73" spans="1:50" ht="15.6" x14ac:dyDescent="0.3">
      <c r="A73">
        <v>11</v>
      </c>
      <c r="B73" t="str">
        <f>INPUT!B73</f>
        <v>Navarro, Elena</v>
      </c>
      <c r="F73">
        <v>17</v>
      </c>
      <c r="G73">
        <v>15</v>
      </c>
      <c r="H73">
        <v>16</v>
      </c>
      <c r="I73">
        <v>16</v>
      </c>
      <c r="J73">
        <v>16</v>
      </c>
      <c r="K73">
        <f t="shared" si="30"/>
        <v>80</v>
      </c>
      <c r="L73">
        <f t="shared" si="31"/>
        <v>80</v>
      </c>
      <c r="M73">
        <f t="shared" si="32"/>
        <v>16</v>
      </c>
      <c r="N73">
        <v>43</v>
      </c>
      <c r="O73">
        <v>41</v>
      </c>
      <c r="P73">
        <v>44</v>
      </c>
      <c r="Q73">
        <f t="shared" si="33"/>
        <v>128</v>
      </c>
      <c r="R73">
        <f t="shared" si="34"/>
        <v>85.33</v>
      </c>
      <c r="S73">
        <f t="shared" si="35"/>
        <v>42.67</v>
      </c>
      <c r="T73">
        <v>32</v>
      </c>
      <c r="U73">
        <v>31</v>
      </c>
      <c r="V73">
        <v>29</v>
      </c>
      <c r="W73">
        <f t="shared" si="36"/>
        <v>92</v>
      </c>
      <c r="X73">
        <f t="shared" si="37"/>
        <v>76.67</v>
      </c>
      <c r="Y73">
        <f t="shared" si="38"/>
        <v>23</v>
      </c>
      <c r="Z73">
        <f t="shared" si="39"/>
        <v>81.67</v>
      </c>
      <c r="AA73">
        <f t="shared" si="40"/>
        <v>83</v>
      </c>
      <c r="AB73" t="str">
        <f t="shared" si="41"/>
        <v>Benchmarking</v>
      </c>
      <c r="AV73">
        <f t="shared" si="25"/>
        <v>80</v>
      </c>
      <c r="AW73">
        <f t="shared" si="26"/>
        <v>77.5</v>
      </c>
      <c r="AX73">
        <f t="shared" si="27"/>
        <v>72.5</v>
      </c>
    </row>
    <row r="74" spans="1:50" ht="15.6" x14ac:dyDescent="0.3">
      <c r="A74">
        <v>12</v>
      </c>
      <c r="B74" t="str">
        <f>INPUT!B74</f>
        <v>Ocampo, Ella</v>
      </c>
      <c r="F74">
        <v>16</v>
      </c>
      <c r="G74">
        <v>15</v>
      </c>
      <c r="H74">
        <v>15</v>
      </c>
      <c r="I74">
        <v>15</v>
      </c>
      <c r="J74">
        <v>17</v>
      </c>
      <c r="K74">
        <f t="shared" si="30"/>
        <v>78</v>
      </c>
      <c r="L74">
        <f t="shared" si="31"/>
        <v>78</v>
      </c>
      <c r="M74">
        <f t="shared" si="32"/>
        <v>15.6</v>
      </c>
      <c r="N74">
        <v>41</v>
      </c>
      <c r="O74">
        <v>39</v>
      </c>
      <c r="P74">
        <v>44</v>
      </c>
      <c r="Q74">
        <f t="shared" si="33"/>
        <v>124</v>
      </c>
      <c r="R74">
        <f t="shared" si="34"/>
        <v>82.67</v>
      </c>
      <c r="S74">
        <f t="shared" si="35"/>
        <v>41.34</v>
      </c>
      <c r="T74">
        <v>28</v>
      </c>
      <c r="U74">
        <v>27</v>
      </c>
      <c r="V74">
        <v>31</v>
      </c>
      <c r="W74">
        <f t="shared" si="36"/>
        <v>86</v>
      </c>
      <c r="X74">
        <f t="shared" si="37"/>
        <v>71.67</v>
      </c>
      <c r="Y74">
        <f t="shared" si="38"/>
        <v>21.5</v>
      </c>
      <c r="Z74">
        <f t="shared" si="39"/>
        <v>78.44</v>
      </c>
      <c r="AA74">
        <f t="shared" si="40"/>
        <v>80</v>
      </c>
      <c r="AB74" t="str">
        <f t="shared" si="41"/>
        <v>Benchmarking</v>
      </c>
      <c r="AV74">
        <f t="shared" si="25"/>
        <v>70</v>
      </c>
      <c r="AW74">
        <f t="shared" si="26"/>
        <v>67.5</v>
      </c>
      <c r="AX74">
        <f t="shared" si="27"/>
        <v>77.5</v>
      </c>
    </row>
    <row r="75" spans="1:50" ht="15.6" x14ac:dyDescent="0.3">
      <c r="A75">
        <v>13</v>
      </c>
      <c r="B75" t="str">
        <f>INPUT!B75</f>
        <v>Ortega, Erika</v>
      </c>
      <c r="F75">
        <v>15</v>
      </c>
      <c r="G75">
        <v>18</v>
      </c>
      <c r="H75">
        <v>18</v>
      </c>
      <c r="I75">
        <v>18</v>
      </c>
      <c r="J75">
        <v>16</v>
      </c>
      <c r="K75">
        <f t="shared" si="30"/>
        <v>85</v>
      </c>
      <c r="L75">
        <f t="shared" si="31"/>
        <v>85</v>
      </c>
      <c r="M75">
        <f t="shared" si="32"/>
        <v>17</v>
      </c>
      <c r="N75">
        <v>44</v>
      </c>
      <c r="O75">
        <v>40</v>
      </c>
      <c r="P75">
        <v>46</v>
      </c>
      <c r="Q75">
        <f t="shared" si="33"/>
        <v>130</v>
      </c>
      <c r="R75">
        <f t="shared" si="34"/>
        <v>86.67</v>
      </c>
      <c r="S75">
        <f t="shared" si="35"/>
        <v>43.34</v>
      </c>
      <c r="T75">
        <v>32</v>
      </c>
      <c r="U75">
        <v>31</v>
      </c>
      <c r="V75">
        <v>30</v>
      </c>
      <c r="W75">
        <f t="shared" si="36"/>
        <v>93</v>
      </c>
      <c r="X75">
        <f t="shared" si="37"/>
        <v>77.5</v>
      </c>
      <c r="Y75">
        <f t="shared" si="38"/>
        <v>23.25</v>
      </c>
      <c r="Z75">
        <f t="shared" si="39"/>
        <v>83.59</v>
      </c>
      <c r="AA75">
        <f t="shared" si="40"/>
        <v>85</v>
      </c>
      <c r="AB75" t="str">
        <f t="shared" si="41"/>
        <v>Benchmarking</v>
      </c>
      <c r="AV75">
        <f t="shared" si="25"/>
        <v>80</v>
      </c>
      <c r="AW75">
        <f t="shared" si="26"/>
        <v>77.5</v>
      </c>
      <c r="AX75">
        <f t="shared" si="27"/>
        <v>75</v>
      </c>
    </row>
    <row r="76" spans="1:50" ht="15.6" x14ac:dyDescent="0.3">
      <c r="A76">
        <v>14</v>
      </c>
      <c r="B76" t="str">
        <f>INPUT!B76</f>
        <v>Pascual, Faith</v>
      </c>
      <c r="F76">
        <v>18</v>
      </c>
      <c r="G76">
        <v>17</v>
      </c>
      <c r="H76">
        <v>16</v>
      </c>
      <c r="I76">
        <v>17</v>
      </c>
      <c r="J76">
        <v>17</v>
      </c>
      <c r="K76">
        <f t="shared" si="30"/>
        <v>85</v>
      </c>
      <c r="L76">
        <f t="shared" si="31"/>
        <v>85</v>
      </c>
      <c r="M76">
        <f t="shared" si="32"/>
        <v>17</v>
      </c>
      <c r="N76">
        <v>39</v>
      </c>
      <c r="O76">
        <v>41</v>
      </c>
      <c r="P76">
        <v>42</v>
      </c>
      <c r="Q76">
        <f t="shared" si="33"/>
        <v>122</v>
      </c>
      <c r="R76">
        <f t="shared" si="34"/>
        <v>81.33</v>
      </c>
      <c r="S76">
        <f t="shared" si="35"/>
        <v>40.67</v>
      </c>
      <c r="T76">
        <v>33</v>
      </c>
      <c r="U76">
        <v>28</v>
      </c>
      <c r="V76">
        <v>29</v>
      </c>
      <c r="W76">
        <f t="shared" si="36"/>
        <v>90</v>
      </c>
      <c r="X76">
        <f t="shared" si="37"/>
        <v>75</v>
      </c>
      <c r="Y76">
        <f t="shared" si="38"/>
        <v>22.5</v>
      </c>
      <c r="Z76">
        <f t="shared" si="39"/>
        <v>80.17</v>
      </c>
      <c r="AA76">
        <f t="shared" si="40"/>
        <v>82</v>
      </c>
      <c r="AB76" t="str">
        <f t="shared" si="41"/>
        <v>Benchmarking</v>
      </c>
      <c r="AV76">
        <f t="shared" ref="AV76:AV112" si="42">(T76/$T$10)*100</f>
        <v>82.5</v>
      </c>
      <c r="AW76">
        <f t="shared" ref="AW76:AW112" si="43">(U76/$U$10)*100</f>
        <v>70</v>
      </c>
      <c r="AX76">
        <f t="shared" ref="AX76:AX112" si="44">(V76/$V$10)*100</f>
        <v>72.5</v>
      </c>
    </row>
    <row r="77" spans="1:50" ht="15.6" x14ac:dyDescent="0.3">
      <c r="A77">
        <v>15</v>
      </c>
      <c r="B77" t="str">
        <f>INPUT!B77</f>
        <v>Quizon, Gabrielle</v>
      </c>
      <c r="F77">
        <v>18</v>
      </c>
      <c r="G77">
        <v>17</v>
      </c>
      <c r="H77">
        <v>18</v>
      </c>
      <c r="I77">
        <v>18</v>
      </c>
      <c r="J77">
        <v>17</v>
      </c>
      <c r="K77">
        <f t="shared" si="30"/>
        <v>88</v>
      </c>
      <c r="L77">
        <f t="shared" si="31"/>
        <v>88</v>
      </c>
      <c r="M77">
        <f t="shared" si="32"/>
        <v>17.600000000000001</v>
      </c>
      <c r="N77">
        <v>42</v>
      </c>
      <c r="O77">
        <v>42</v>
      </c>
      <c r="P77">
        <v>47</v>
      </c>
      <c r="Q77">
        <f t="shared" si="33"/>
        <v>131</v>
      </c>
      <c r="R77">
        <f t="shared" si="34"/>
        <v>87.33</v>
      </c>
      <c r="S77">
        <f t="shared" si="35"/>
        <v>43.67</v>
      </c>
      <c r="T77">
        <v>33</v>
      </c>
      <c r="U77">
        <v>36</v>
      </c>
      <c r="V77">
        <v>32</v>
      </c>
      <c r="W77">
        <f t="shared" si="36"/>
        <v>101</v>
      </c>
      <c r="X77">
        <f t="shared" si="37"/>
        <v>84.17</v>
      </c>
      <c r="Y77">
        <f t="shared" si="38"/>
        <v>25.25</v>
      </c>
      <c r="Z77">
        <f t="shared" si="39"/>
        <v>86.52</v>
      </c>
      <c r="AA77">
        <f t="shared" si="40"/>
        <v>88</v>
      </c>
      <c r="AB77" t="str">
        <f t="shared" si="41"/>
        <v>Benchmarking</v>
      </c>
      <c r="AV77">
        <f t="shared" si="42"/>
        <v>82.5</v>
      </c>
      <c r="AW77">
        <f t="shared" si="43"/>
        <v>90</v>
      </c>
      <c r="AX77">
        <f t="shared" si="44"/>
        <v>80</v>
      </c>
    </row>
    <row r="78" spans="1:50" ht="15.6" x14ac:dyDescent="0.3">
      <c r="A78">
        <v>16</v>
      </c>
      <c r="B78" t="str">
        <f>INPUT!B78</f>
        <v>Ramos, Hannah</v>
      </c>
      <c r="F78">
        <v>16</v>
      </c>
      <c r="G78">
        <v>16</v>
      </c>
      <c r="H78">
        <v>16</v>
      </c>
      <c r="I78">
        <v>16</v>
      </c>
      <c r="J78">
        <v>14</v>
      </c>
      <c r="K78">
        <f t="shared" si="30"/>
        <v>78</v>
      </c>
      <c r="L78">
        <f t="shared" si="31"/>
        <v>78</v>
      </c>
      <c r="M78">
        <f t="shared" si="32"/>
        <v>15.6</v>
      </c>
      <c r="N78">
        <v>41</v>
      </c>
      <c r="O78">
        <v>42</v>
      </c>
      <c r="P78">
        <v>40</v>
      </c>
      <c r="Q78">
        <f t="shared" si="33"/>
        <v>123</v>
      </c>
      <c r="R78">
        <f t="shared" si="34"/>
        <v>82</v>
      </c>
      <c r="S78">
        <f t="shared" si="35"/>
        <v>41</v>
      </c>
      <c r="T78">
        <v>31</v>
      </c>
      <c r="U78">
        <v>32</v>
      </c>
      <c r="V78">
        <v>27</v>
      </c>
      <c r="W78">
        <f t="shared" si="36"/>
        <v>90</v>
      </c>
      <c r="X78">
        <f t="shared" si="37"/>
        <v>75</v>
      </c>
      <c r="Y78">
        <f t="shared" si="38"/>
        <v>22.5</v>
      </c>
      <c r="Z78">
        <f t="shared" si="39"/>
        <v>79.099999999999994</v>
      </c>
      <c r="AA78">
        <f t="shared" si="40"/>
        <v>81</v>
      </c>
      <c r="AB78" t="str">
        <f t="shared" si="41"/>
        <v>Benchmarking</v>
      </c>
      <c r="AV78">
        <f t="shared" si="42"/>
        <v>77.5</v>
      </c>
      <c r="AW78">
        <f t="shared" si="43"/>
        <v>80</v>
      </c>
      <c r="AX78">
        <f t="shared" si="44"/>
        <v>67.5</v>
      </c>
    </row>
    <row r="79" spans="1:50" ht="15.6" x14ac:dyDescent="0.3">
      <c r="A79">
        <v>17</v>
      </c>
      <c r="B79" t="str">
        <f>INPUT!B79</f>
        <v>Reyes, Isabelle</v>
      </c>
      <c r="F79">
        <v>13</v>
      </c>
      <c r="G79">
        <v>15</v>
      </c>
      <c r="H79">
        <v>15</v>
      </c>
      <c r="I79">
        <v>15</v>
      </c>
      <c r="J79">
        <v>15</v>
      </c>
      <c r="K79">
        <f t="shared" si="30"/>
        <v>73</v>
      </c>
      <c r="L79">
        <f t="shared" si="31"/>
        <v>73</v>
      </c>
      <c r="M79">
        <f t="shared" si="32"/>
        <v>14.6</v>
      </c>
      <c r="N79">
        <v>38</v>
      </c>
      <c r="O79">
        <v>36</v>
      </c>
      <c r="P79">
        <v>37</v>
      </c>
      <c r="Q79">
        <f t="shared" si="33"/>
        <v>111</v>
      </c>
      <c r="R79">
        <f t="shared" si="34"/>
        <v>74</v>
      </c>
      <c r="S79">
        <f t="shared" si="35"/>
        <v>37</v>
      </c>
      <c r="T79">
        <v>30</v>
      </c>
      <c r="U79">
        <v>26</v>
      </c>
      <c r="V79">
        <v>28</v>
      </c>
      <c r="W79">
        <f t="shared" si="36"/>
        <v>84</v>
      </c>
      <c r="X79">
        <f t="shared" si="37"/>
        <v>70</v>
      </c>
      <c r="Y79">
        <f t="shared" si="38"/>
        <v>21</v>
      </c>
      <c r="Z79">
        <f t="shared" si="39"/>
        <v>72.599999999999994</v>
      </c>
      <c r="AA79">
        <f t="shared" si="40"/>
        <v>75</v>
      </c>
      <c r="AB79" t="str">
        <f t="shared" si="41"/>
        <v>Connecting</v>
      </c>
      <c r="AV79">
        <f t="shared" si="42"/>
        <v>75</v>
      </c>
      <c r="AW79">
        <f t="shared" si="43"/>
        <v>65</v>
      </c>
      <c r="AX79">
        <f t="shared" si="44"/>
        <v>70</v>
      </c>
    </row>
    <row r="80" spans="1:50" ht="15.6" x14ac:dyDescent="0.3">
      <c r="A80">
        <v>18</v>
      </c>
      <c r="B80" t="str">
        <f>INPUT!B80</f>
        <v>Rivera, Jasmine</v>
      </c>
      <c r="F80">
        <v>19</v>
      </c>
      <c r="G80">
        <v>18</v>
      </c>
      <c r="H80">
        <v>17</v>
      </c>
      <c r="I80">
        <v>17</v>
      </c>
      <c r="J80">
        <v>18</v>
      </c>
      <c r="K80">
        <f t="shared" si="30"/>
        <v>89</v>
      </c>
      <c r="L80">
        <f t="shared" si="31"/>
        <v>89</v>
      </c>
      <c r="M80">
        <f t="shared" si="32"/>
        <v>17.8</v>
      </c>
      <c r="N80">
        <v>44</v>
      </c>
      <c r="O80">
        <v>48</v>
      </c>
      <c r="P80">
        <v>44</v>
      </c>
      <c r="Q80">
        <f t="shared" si="33"/>
        <v>136</v>
      </c>
      <c r="R80">
        <f t="shared" si="34"/>
        <v>90.67</v>
      </c>
      <c r="S80">
        <f t="shared" si="35"/>
        <v>45.34</v>
      </c>
      <c r="T80">
        <v>33</v>
      </c>
      <c r="U80">
        <v>35</v>
      </c>
      <c r="V80">
        <v>36</v>
      </c>
      <c r="W80">
        <f t="shared" si="36"/>
        <v>104</v>
      </c>
      <c r="X80">
        <f t="shared" si="37"/>
        <v>86.67</v>
      </c>
      <c r="Y80">
        <f t="shared" si="38"/>
        <v>26</v>
      </c>
      <c r="Z80">
        <f t="shared" si="39"/>
        <v>89.14</v>
      </c>
      <c r="AA80">
        <f t="shared" si="40"/>
        <v>91</v>
      </c>
      <c r="AB80" t="str">
        <f t="shared" si="41"/>
        <v>Advancing</v>
      </c>
      <c r="AV80">
        <f t="shared" si="42"/>
        <v>82.5</v>
      </c>
      <c r="AW80">
        <f t="shared" si="43"/>
        <v>87.5</v>
      </c>
      <c r="AX80">
        <f t="shared" si="44"/>
        <v>90</v>
      </c>
    </row>
    <row r="81" spans="1:50" ht="15.6" x14ac:dyDescent="0.3">
      <c r="A81">
        <v>19</v>
      </c>
      <c r="B81" t="str">
        <f>INPUT!B81</f>
        <v>Rosales, Jillian</v>
      </c>
      <c r="F81">
        <v>14</v>
      </c>
      <c r="G81">
        <v>14</v>
      </c>
      <c r="H81">
        <v>14</v>
      </c>
      <c r="I81">
        <v>13</v>
      </c>
      <c r="J81">
        <v>13</v>
      </c>
      <c r="K81">
        <f t="shared" si="30"/>
        <v>68</v>
      </c>
      <c r="L81">
        <f t="shared" si="31"/>
        <v>68</v>
      </c>
      <c r="M81">
        <f t="shared" si="32"/>
        <v>13.6</v>
      </c>
      <c r="N81">
        <v>32</v>
      </c>
      <c r="O81">
        <v>32</v>
      </c>
      <c r="P81">
        <v>34</v>
      </c>
      <c r="Q81">
        <f t="shared" si="33"/>
        <v>98</v>
      </c>
      <c r="R81">
        <f t="shared" si="34"/>
        <v>65.33</v>
      </c>
      <c r="S81">
        <f t="shared" si="35"/>
        <v>32.67</v>
      </c>
      <c r="T81">
        <v>22</v>
      </c>
      <c r="U81">
        <v>22</v>
      </c>
      <c r="V81">
        <v>22</v>
      </c>
      <c r="W81">
        <f t="shared" si="36"/>
        <v>66</v>
      </c>
      <c r="X81">
        <f t="shared" si="37"/>
        <v>55</v>
      </c>
      <c r="Y81">
        <f t="shared" si="38"/>
        <v>16.5</v>
      </c>
      <c r="Z81">
        <f t="shared" si="39"/>
        <v>62.77</v>
      </c>
      <c r="AA81">
        <f t="shared" si="40"/>
        <v>71</v>
      </c>
      <c r="AB81" t="str">
        <f t="shared" si="41"/>
        <v xml:space="preserve">Developing </v>
      </c>
      <c r="AV81">
        <f t="shared" si="42"/>
        <v>55.000000000000007</v>
      </c>
      <c r="AW81">
        <f t="shared" si="43"/>
        <v>55.000000000000007</v>
      </c>
      <c r="AX81">
        <f t="shared" si="44"/>
        <v>55.000000000000007</v>
      </c>
    </row>
    <row r="82" spans="1:50" ht="15.6" x14ac:dyDescent="0.3">
      <c r="A82">
        <v>20</v>
      </c>
      <c r="B82" t="str">
        <f>INPUT!B82</f>
        <v>Salazar, Julia</v>
      </c>
      <c r="F82">
        <v>15</v>
      </c>
      <c r="G82">
        <v>16</v>
      </c>
      <c r="H82">
        <v>15</v>
      </c>
      <c r="I82">
        <v>16</v>
      </c>
      <c r="J82">
        <v>17</v>
      </c>
      <c r="K82">
        <f t="shared" si="30"/>
        <v>79</v>
      </c>
      <c r="L82">
        <f t="shared" si="31"/>
        <v>79</v>
      </c>
      <c r="M82">
        <f t="shared" si="32"/>
        <v>15.8</v>
      </c>
      <c r="N82">
        <v>43</v>
      </c>
      <c r="O82">
        <v>39</v>
      </c>
      <c r="P82">
        <v>39</v>
      </c>
      <c r="Q82">
        <f t="shared" si="33"/>
        <v>121</v>
      </c>
      <c r="R82">
        <f t="shared" si="34"/>
        <v>80.67</v>
      </c>
      <c r="S82">
        <f t="shared" si="35"/>
        <v>40.340000000000003</v>
      </c>
      <c r="T82">
        <v>28</v>
      </c>
      <c r="U82">
        <v>28</v>
      </c>
      <c r="V82">
        <v>29</v>
      </c>
      <c r="W82">
        <f t="shared" si="36"/>
        <v>85</v>
      </c>
      <c r="X82">
        <f t="shared" si="37"/>
        <v>70.83</v>
      </c>
      <c r="Y82">
        <f t="shared" si="38"/>
        <v>21.25</v>
      </c>
      <c r="Z82">
        <f t="shared" si="39"/>
        <v>77.39</v>
      </c>
      <c r="AA82">
        <f t="shared" si="40"/>
        <v>79</v>
      </c>
      <c r="AB82" t="str">
        <f t="shared" si="41"/>
        <v>Connecting</v>
      </c>
      <c r="AV82">
        <f t="shared" si="42"/>
        <v>70</v>
      </c>
      <c r="AW82">
        <f t="shared" si="43"/>
        <v>70</v>
      </c>
      <c r="AX82">
        <f t="shared" si="44"/>
        <v>72.5</v>
      </c>
    </row>
    <row r="83" spans="1:50" ht="15.6" x14ac:dyDescent="0.3">
      <c r="A83">
        <v>21</v>
      </c>
      <c r="B83" t="str">
        <f>INPUT!B83</f>
        <v>Santiago, Katrina</v>
      </c>
      <c r="F83">
        <v>18</v>
      </c>
      <c r="G83">
        <v>16</v>
      </c>
      <c r="H83">
        <v>15</v>
      </c>
      <c r="I83">
        <v>18</v>
      </c>
      <c r="J83">
        <v>15</v>
      </c>
      <c r="K83">
        <f t="shared" si="30"/>
        <v>82</v>
      </c>
      <c r="L83">
        <f t="shared" si="31"/>
        <v>82</v>
      </c>
      <c r="M83">
        <f t="shared" si="32"/>
        <v>16.399999999999999</v>
      </c>
      <c r="N83">
        <v>44</v>
      </c>
      <c r="O83">
        <v>41</v>
      </c>
      <c r="P83">
        <v>44</v>
      </c>
      <c r="Q83">
        <f t="shared" si="33"/>
        <v>129</v>
      </c>
      <c r="R83">
        <f t="shared" si="34"/>
        <v>86</v>
      </c>
      <c r="S83">
        <f t="shared" si="35"/>
        <v>43</v>
      </c>
      <c r="T83">
        <v>34</v>
      </c>
      <c r="U83">
        <v>30</v>
      </c>
      <c r="V83">
        <v>32</v>
      </c>
      <c r="W83">
        <f t="shared" si="36"/>
        <v>96</v>
      </c>
      <c r="X83">
        <f t="shared" si="37"/>
        <v>80</v>
      </c>
      <c r="Y83">
        <f t="shared" si="38"/>
        <v>24</v>
      </c>
      <c r="Z83">
        <f t="shared" si="39"/>
        <v>83.4</v>
      </c>
      <c r="AA83">
        <f t="shared" si="40"/>
        <v>85</v>
      </c>
      <c r="AB83" t="str">
        <f t="shared" si="41"/>
        <v>Benchmarking</v>
      </c>
      <c r="AV83">
        <f t="shared" si="42"/>
        <v>85</v>
      </c>
      <c r="AW83">
        <f t="shared" si="43"/>
        <v>75</v>
      </c>
      <c r="AX83">
        <f t="shared" si="44"/>
        <v>80</v>
      </c>
    </row>
    <row r="84" spans="1:50" ht="15.6" x14ac:dyDescent="0.3">
      <c r="A84">
        <v>22</v>
      </c>
      <c r="B84" t="str">
        <f>INPUT!B84</f>
        <v>Santos, Kayla</v>
      </c>
      <c r="F84">
        <v>15</v>
      </c>
      <c r="G84">
        <v>17</v>
      </c>
      <c r="H84">
        <v>15</v>
      </c>
      <c r="I84">
        <v>16</v>
      </c>
      <c r="J84">
        <v>15</v>
      </c>
      <c r="K84">
        <f t="shared" si="30"/>
        <v>78</v>
      </c>
      <c r="L84">
        <f t="shared" si="31"/>
        <v>78</v>
      </c>
      <c r="M84">
        <f t="shared" si="32"/>
        <v>15.6</v>
      </c>
      <c r="N84">
        <v>41</v>
      </c>
      <c r="O84">
        <v>39</v>
      </c>
      <c r="P84">
        <v>40</v>
      </c>
      <c r="Q84">
        <f t="shared" si="33"/>
        <v>120</v>
      </c>
      <c r="R84">
        <f t="shared" si="34"/>
        <v>80</v>
      </c>
      <c r="S84">
        <f t="shared" si="35"/>
        <v>40</v>
      </c>
      <c r="T84">
        <v>33</v>
      </c>
      <c r="U84">
        <v>29</v>
      </c>
      <c r="V84">
        <v>30</v>
      </c>
      <c r="W84">
        <f t="shared" si="36"/>
        <v>92</v>
      </c>
      <c r="X84">
        <f t="shared" si="37"/>
        <v>76.67</v>
      </c>
      <c r="Y84">
        <f t="shared" si="38"/>
        <v>23</v>
      </c>
      <c r="Z84">
        <f t="shared" si="39"/>
        <v>78.599999999999994</v>
      </c>
      <c r="AA84">
        <f t="shared" si="40"/>
        <v>80</v>
      </c>
      <c r="AB84" t="str">
        <f t="shared" si="41"/>
        <v>Benchmarking</v>
      </c>
      <c r="AV84">
        <f t="shared" si="42"/>
        <v>82.5</v>
      </c>
      <c r="AW84">
        <f t="shared" si="43"/>
        <v>72.5</v>
      </c>
      <c r="AX84">
        <f t="shared" si="44"/>
        <v>75</v>
      </c>
    </row>
    <row r="85" spans="1:50" ht="15.6" x14ac:dyDescent="0.3">
      <c r="A85">
        <v>23</v>
      </c>
      <c r="B85" t="str">
        <f>INPUT!B85</f>
        <v>Soriano, Kiana</v>
      </c>
      <c r="F85">
        <v>15</v>
      </c>
      <c r="G85">
        <v>16</v>
      </c>
      <c r="H85">
        <v>16</v>
      </c>
      <c r="I85">
        <v>17</v>
      </c>
      <c r="J85">
        <v>15</v>
      </c>
      <c r="K85">
        <f t="shared" si="30"/>
        <v>79</v>
      </c>
      <c r="L85">
        <f t="shared" si="31"/>
        <v>79</v>
      </c>
      <c r="M85">
        <f t="shared" si="32"/>
        <v>15.8</v>
      </c>
      <c r="N85">
        <v>40</v>
      </c>
      <c r="O85">
        <v>42</v>
      </c>
      <c r="P85">
        <v>42</v>
      </c>
      <c r="Q85">
        <f t="shared" si="33"/>
        <v>124</v>
      </c>
      <c r="R85">
        <f t="shared" si="34"/>
        <v>82.67</v>
      </c>
      <c r="S85">
        <f t="shared" si="35"/>
        <v>41.34</v>
      </c>
      <c r="T85">
        <v>32</v>
      </c>
      <c r="U85">
        <v>28</v>
      </c>
      <c r="V85">
        <v>31</v>
      </c>
      <c r="W85">
        <f t="shared" si="36"/>
        <v>91</v>
      </c>
      <c r="X85">
        <f t="shared" si="37"/>
        <v>75.83</v>
      </c>
      <c r="Y85">
        <f t="shared" si="38"/>
        <v>22.75</v>
      </c>
      <c r="Z85">
        <f t="shared" si="39"/>
        <v>79.89</v>
      </c>
      <c r="AA85">
        <f t="shared" si="40"/>
        <v>81</v>
      </c>
      <c r="AB85" t="str">
        <f t="shared" si="41"/>
        <v>Benchmarking</v>
      </c>
      <c r="AV85">
        <f t="shared" si="42"/>
        <v>80</v>
      </c>
      <c r="AW85">
        <f t="shared" si="43"/>
        <v>70</v>
      </c>
      <c r="AX85">
        <f t="shared" si="44"/>
        <v>77.5</v>
      </c>
    </row>
    <row r="86" spans="1:50" ht="15.6" x14ac:dyDescent="0.3">
      <c r="A86">
        <v>24</v>
      </c>
      <c r="B86" t="str">
        <f>INPUT!B86</f>
        <v>Torres, Leah</v>
      </c>
      <c r="F86">
        <v>18</v>
      </c>
      <c r="G86">
        <v>17</v>
      </c>
      <c r="H86">
        <v>17</v>
      </c>
      <c r="I86">
        <v>18</v>
      </c>
      <c r="J86">
        <v>16</v>
      </c>
      <c r="K86">
        <f t="shared" si="30"/>
        <v>86</v>
      </c>
      <c r="L86">
        <f t="shared" si="31"/>
        <v>86</v>
      </c>
      <c r="M86">
        <f t="shared" si="32"/>
        <v>17.2</v>
      </c>
      <c r="N86">
        <v>48</v>
      </c>
      <c r="O86">
        <v>42</v>
      </c>
      <c r="P86">
        <v>45</v>
      </c>
      <c r="Q86">
        <f t="shared" si="33"/>
        <v>135</v>
      </c>
      <c r="R86">
        <f t="shared" si="34"/>
        <v>90</v>
      </c>
      <c r="S86">
        <f t="shared" si="35"/>
        <v>45</v>
      </c>
      <c r="T86">
        <v>31</v>
      </c>
      <c r="U86">
        <v>34</v>
      </c>
      <c r="V86">
        <v>31</v>
      </c>
      <c r="W86">
        <f t="shared" si="36"/>
        <v>96</v>
      </c>
      <c r="X86">
        <f t="shared" si="37"/>
        <v>80</v>
      </c>
      <c r="Y86">
        <f t="shared" si="38"/>
        <v>24</v>
      </c>
      <c r="Z86">
        <f t="shared" si="39"/>
        <v>86.2</v>
      </c>
      <c r="AA86">
        <f t="shared" si="40"/>
        <v>88</v>
      </c>
      <c r="AB86" t="str">
        <f t="shared" si="41"/>
        <v>Benchmarking</v>
      </c>
      <c r="AV86">
        <f t="shared" si="42"/>
        <v>77.5</v>
      </c>
      <c r="AW86">
        <f t="shared" si="43"/>
        <v>85</v>
      </c>
      <c r="AX86">
        <f t="shared" si="44"/>
        <v>77.5</v>
      </c>
    </row>
    <row r="87" spans="1:50" ht="15.6" x14ac:dyDescent="0.3">
      <c r="A87">
        <v>25</v>
      </c>
      <c r="B87" t="str">
        <f>INPUT!B87</f>
        <v>Valdez, Liana</v>
      </c>
      <c r="F87">
        <v>16</v>
      </c>
      <c r="G87">
        <v>16</v>
      </c>
      <c r="H87">
        <v>17</v>
      </c>
      <c r="I87">
        <v>16</v>
      </c>
      <c r="J87">
        <v>17</v>
      </c>
      <c r="K87">
        <f t="shared" si="30"/>
        <v>82</v>
      </c>
      <c r="L87">
        <f t="shared" si="31"/>
        <v>82</v>
      </c>
      <c r="M87">
        <f t="shared" si="32"/>
        <v>16.399999999999999</v>
      </c>
      <c r="N87">
        <v>42</v>
      </c>
      <c r="O87">
        <v>43</v>
      </c>
      <c r="P87">
        <v>45</v>
      </c>
      <c r="Q87">
        <f t="shared" si="33"/>
        <v>130</v>
      </c>
      <c r="R87">
        <f t="shared" si="34"/>
        <v>86.67</v>
      </c>
      <c r="S87">
        <f t="shared" si="35"/>
        <v>43.34</v>
      </c>
      <c r="T87">
        <v>33</v>
      </c>
      <c r="U87">
        <v>30</v>
      </c>
      <c r="V87">
        <v>32</v>
      </c>
      <c r="W87">
        <f t="shared" si="36"/>
        <v>95</v>
      </c>
      <c r="X87">
        <f t="shared" si="37"/>
        <v>79.17</v>
      </c>
      <c r="Y87">
        <f t="shared" si="38"/>
        <v>23.75</v>
      </c>
      <c r="Z87">
        <f t="shared" si="39"/>
        <v>83.49</v>
      </c>
      <c r="AA87">
        <f t="shared" si="40"/>
        <v>85</v>
      </c>
      <c r="AB87" t="str">
        <f t="shared" si="41"/>
        <v>Benchmarking</v>
      </c>
      <c r="AV87">
        <f t="shared" si="42"/>
        <v>82.5</v>
      </c>
      <c r="AW87">
        <f t="shared" si="43"/>
        <v>75</v>
      </c>
      <c r="AX87">
        <f t="shared" si="44"/>
        <v>80</v>
      </c>
    </row>
    <row r="88" spans="1:50" ht="15.6" x14ac:dyDescent="0.3">
      <c r="A88">
        <v>26</v>
      </c>
      <c r="B88" t="str">
        <f>INPUT!B88</f>
        <v>Velasco, Lia</v>
      </c>
      <c r="F88">
        <v>18</v>
      </c>
      <c r="G88">
        <v>18</v>
      </c>
      <c r="H88">
        <v>18</v>
      </c>
      <c r="I88">
        <v>18</v>
      </c>
      <c r="J88">
        <v>19</v>
      </c>
      <c r="K88">
        <f t="shared" si="30"/>
        <v>91</v>
      </c>
      <c r="L88">
        <f t="shared" si="31"/>
        <v>91</v>
      </c>
      <c r="M88">
        <f t="shared" si="32"/>
        <v>18.2</v>
      </c>
      <c r="N88">
        <v>44</v>
      </c>
      <c r="O88">
        <v>44</v>
      </c>
      <c r="P88">
        <v>48</v>
      </c>
      <c r="Q88">
        <f t="shared" si="33"/>
        <v>136</v>
      </c>
      <c r="R88">
        <f t="shared" si="34"/>
        <v>90.67</v>
      </c>
      <c r="S88">
        <f t="shared" si="35"/>
        <v>45.34</v>
      </c>
      <c r="T88">
        <v>34</v>
      </c>
      <c r="U88">
        <v>34</v>
      </c>
      <c r="V88">
        <v>33</v>
      </c>
      <c r="W88">
        <f t="shared" si="36"/>
        <v>101</v>
      </c>
      <c r="X88">
        <f t="shared" si="37"/>
        <v>84.17</v>
      </c>
      <c r="Y88">
        <f t="shared" si="38"/>
        <v>25.25</v>
      </c>
      <c r="Z88">
        <f t="shared" si="39"/>
        <v>88.79</v>
      </c>
      <c r="AA88">
        <f t="shared" si="40"/>
        <v>90</v>
      </c>
      <c r="AB88" t="str">
        <f t="shared" si="41"/>
        <v>Advancing</v>
      </c>
      <c r="AV88">
        <f t="shared" si="42"/>
        <v>85</v>
      </c>
      <c r="AW88">
        <f t="shared" si="43"/>
        <v>85</v>
      </c>
      <c r="AX88">
        <f t="shared" si="44"/>
        <v>82.5</v>
      </c>
    </row>
    <row r="89" spans="1:50" ht="15.6" x14ac:dyDescent="0.3">
      <c r="A89">
        <v>27</v>
      </c>
      <c r="B89" t="str">
        <f>INPUT!B89</f>
        <v>Villanueva, Mara</v>
      </c>
      <c r="F89">
        <v>18</v>
      </c>
      <c r="G89">
        <v>19</v>
      </c>
      <c r="H89">
        <v>18</v>
      </c>
      <c r="I89">
        <v>19</v>
      </c>
      <c r="J89">
        <v>19</v>
      </c>
      <c r="K89">
        <f t="shared" si="30"/>
        <v>93</v>
      </c>
      <c r="L89">
        <f t="shared" si="31"/>
        <v>93</v>
      </c>
      <c r="M89">
        <f t="shared" si="32"/>
        <v>18.600000000000001</v>
      </c>
      <c r="N89">
        <v>50</v>
      </c>
      <c r="O89">
        <v>50</v>
      </c>
      <c r="P89">
        <v>46</v>
      </c>
      <c r="Q89">
        <f t="shared" si="33"/>
        <v>146</v>
      </c>
      <c r="R89">
        <f t="shared" si="34"/>
        <v>97.33</v>
      </c>
      <c r="S89">
        <f t="shared" si="35"/>
        <v>48.67</v>
      </c>
      <c r="T89">
        <v>35</v>
      </c>
      <c r="U89">
        <v>38</v>
      </c>
      <c r="V89">
        <v>34</v>
      </c>
      <c r="W89">
        <f t="shared" si="36"/>
        <v>107</v>
      </c>
      <c r="X89">
        <f t="shared" si="37"/>
        <v>89.17</v>
      </c>
      <c r="Y89">
        <f t="shared" si="38"/>
        <v>26.75</v>
      </c>
      <c r="Z89">
        <f t="shared" si="39"/>
        <v>94.02</v>
      </c>
      <c r="AA89">
        <f t="shared" si="40"/>
        <v>96</v>
      </c>
      <c r="AB89" t="str">
        <f t="shared" si="41"/>
        <v>Advancing</v>
      </c>
      <c r="AV89">
        <f t="shared" si="42"/>
        <v>87.5</v>
      </c>
      <c r="AW89">
        <f t="shared" si="43"/>
        <v>95</v>
      </c>
      <c r="AX89">
        <f t="shared" si="44"/>
        <v>85</v>
      </c>
    </row>
    <row r="90" spans="1:50" ht="15.6" x14ac:dyDescent="0.3">
      <c r="A90">
        <v>28</v>
      </c>
      <c r="B90" t="str">
        <f>INPUT!B90</f>
        <v>Yap, Maria</v>
      </c>
      <c r="F90">
        <v>16</v>
      </c>
      <c r="G90">
        <v>14</v>
      </c>
      <c r="H90">
        <v>15</v>
      </c>
      <c r="I90">
        <v>16</v>
      </c>
      <c r="J90">
        <v>14</v>
      </c>
      <c r="K90">
        <f t="shared" si="30"/>
        <v>75</v>
      </c>
      <c r="L90">
        <f t="shared" si="31"/>
        <v>75</v>
      </c>
      <c r="M90">
        <f t="shared" si="32"/>
        <v>15</v>
      </c>
      <c r="N90">
        <v>43</v>
      </c>
      <c r="O90">
        <v>38</v>
      </c>
      <c r="P90">
        <v>40</v>
      </c>
      <c r="Q90">
        <f t="shared" si="33"/>
        <v>121</v>
      </c>
      <c r="R90">
        <f t="shared" si="34"/>
        <v>80.67</v>
      </c>
      <c r="S90">
        <f t="shared" si="35"/>
        <v>40.340000000000003</v>
      </c>
      <c r="T90">
        <v>27</v>
      </c>
      <c r="U90">
        <v>28</v>
      </c>
      <c r="V90">
        <v>30</v>
      </c>
      <c r="W90">
        <f t="shared" si="36"/>
        <v>85</v>
      </c>
      <c r="X90">
        <f t="shared" si="37"/>
        <v>70.83</v>
      </c>
      <c r="Y90">
        <f t="shared" si="38"/>
        <v>21.25</v>
      </c>
      <c r="Z90">
        <f t="shared" si="39"/>
        <v>76.59</v>
      </c>
      <c r="AA90">
        <f t="shared" si="40"/>
        <v>78</v>
      </c>
      <c r="AB90" t="str">
        <f t="shared" si="41"/>
        <v>Connecting</v>
      </c>
      <c r="AV90">
        <f t="shared" si="42"/>
        <v>67.5</v>
      </c>
      <c r="AW90">
        <f t="shared" si="43"/>
        <v>70</v>
      </c>
      <c r="AX90">
        <f t="shared" si="44"/>
        <v>75</v>
      </c>
    </row>
    <row r="91" spans="1:50" ht="15.6" x14ac:dyDescent="0.3">
      <c r="A91">
        <v>29</v>
      </c>
      <c r="B91" t="str">
        <f>INPUT!B91</f>
        <v>Zamora, Mika</v>
      </c>
      <c r="F91">
        <v>16</v>
      </c>
      <c r="G91">
        <v>17</v>
      </c>
      <c r="H91">
        <v>17</v>
      </c>
      <c r="I91">
        <v>16</v>
      </c>
      <c r="J91">
        <v>15</v>
      </c>
      <c r="K91">
        <f t="shared" si="30"/>
        <v>81</v>
      </c>
      <c r="L91">
        <f t="shared" si="31"/>
        <v>81</v>
      </c>
      <c r="M91">
        <f t="shared" si="32"/>
        <v>16.2</v>
      </c>
      <c r="N91">
        <v>44</v>
      </c>
      <c r="O91">
        <v>44</v>
      </c>
      <c r="P91">
        <v>43</v>
      </c>
      <c r="Q91">
        <f t="shared" si="33"/>
        <v>131</v>
      </c>
      <c r="R91">
        <f t="shared" si="34"/>
        <v>87.33</v>
      </c>
      <c r="S91">
        <f t="shared" si="35"/>
        <v>43.67</v>
      </c>
      <c r="T91">
        <v>30</v>
      </c>
      <c r="U91">
        <v>32</v>
      </c>
      <c r="V91">
        <v>33</v>
      </c>
      <c r="W91">
        <f t="shared" si="36"/>
        <v>95</v>
      </c>
      <c r="X91">
        <f t="shared" si="37"/>
        <v>79.17</v>
      </c>
      <c r="Y91">
        <f t="shared" si="38"/>
        <v>23.75</v>
      </c>
      <c r="Z91">
        <f t="shared" si="39"/>
        <v>83.62</v>
      </c>
      <c r="AA91">
        <f t="shared" si="40"/>
        <v>85</v>
      </c>
      <c r="AB91" t="str">
        <f t="shared" si="41"/>
        <v>Benchmarking</v>
      </c>
      <c r="AV91">
        <f t="shared" si="42"/>
        <v>75</v>
      </c>
      <c r="AW91">
        <f t="shared" si="43"/>
        <v>80</v>
      </c>
      <c r="AX91">
        <f t="shared" si="44"/>
        <v>82.5</v>
      </c>
    </row>
    <row r="92" spans="1:50" ht="15.6" x14ac:dyDescent="0.3">
      <c r="A92">
        <v>30</v>
      </c>
      <c r="B92" t="str">
        <f>INPUT!B92</f>
        <v>Zuniga, Nicole</v>
      </c>
      <c r="F92">
        <v>18</v>
      </c>
      <c r="G92">
        <v>19</v>
      </c>
      <c r="H92">
        <v>18</v>
      </c>
      <c r="I92">
        <v>19</v>
      </c>
      <c r="J92">
        <v>20</v>
      </c>
      <c r="K92">
        <f t="shared" si="30"/>
        <v>94</v>
      </c>
      <c r="L92">
        <f t="shared" si="31"/>
        <v>94</v>
      </c>
      <c r="M92">
        <f t="shared" si="32"/>
        <v>18.8</v>
      </c>
      <c r="N92">
        <v>50</v>
      </c>
      <c r="O92">
        <v>46</v>
      </c>
      <c r="P92">
        <v>50</v>
      </c>
      <c r="Q92">
        <f t="shared" si="33"/>
        <v>146</v>
      </c>
      <c r="R92">
        <f t="shared" si="34"/>
        <v>97.33</v>
      </c>
      <c r="S92">
        <f t="shared" si="35"/>
        <v>48.67</v>
      </c>
      <c r="T92">
        <v>37</v>
      </c>
      <c r="U92">
        <v>35</v>
      </c>
      <c r="V92">
        <v>35</v>
      </c>
      <c r="W92">
        <f t="shared" si="36"/>
        <v>107</v>
      </c>
      <c r="X92">
        <f t="shared" si="37"/>
        <v>89.17</v>
      </c>
      <c r="Y92">
        <f t="shared" si="38"/>
        <v>26.75</v>
      </c>
      <c r="Z92">
        <f t="shared" si="39"/>
        <v>94.22</v>
      </c>
      <c r="AA92">
        <f t="shared" si="40"/>
        <v>96</v>
      </c>
      <c r="AB92" t="str">
        <f t="shared" si="41"/>
        <v>Advancing</v>
      </c>
      <c r="AV92">
        <f t="shared" si="42"/>
        <v>92.5</v>
      </c>
      <c r="AW92">
        <f t="shared" si="43"/>
        <v>87.5</v>
      </c>
      <c r="AX92">
        <f t="shared" si="44"/>
        <v>87.5</v>
      </c>
    </row>
    <row r="93" spans="1:50" ht="15.6" x14ac:dyDescent="0.3">
      <c r="A93">
        <v>31</v>
      </c>
      <c r="B93" t="str">
        <f>INPUT!B93</f>
        <v>Abad, Patricia</v>
      </c>
      <c r="F93">
        <v>17</v>
      </c>
      <c r="G93">
        <v>17</v>
      </c>
      <c r="H93">
        <v>18</v>
      </c>
      <c r="I93">
        <v>17</v>
      </c>
      <c r="J93">
        <v>16</v>
      </c>
      <c r="K93">
        <f t="shared" si="30"/>
        <v>85</v>
      </c>
      <c r="L93">
        <f t="shared" si="31"/>
        <v>85</v>
      </c>
      <c r="M93">
        <f t="shared" si="32"/>
        <v>17</v>
      </c>
      <c r="N93">
        <v>43</v>
      </c>
      <c r="O93">
        <v>43</v>
      </c>
      <c r="P93">
        <v>44</v>
      </c>
      <c r="Q93">
        <f t="shared" si="33"/>
        <v>130</v>
      </c>
      <c r="R93">
        <f t="shared" si="34"/>
        <v>86.67</v>
      </c>
      <c r="S93">
        <f t="shared" si="35"/>
        <v>43.34</v>
      </c>
      <c r="T93">
        <v>33</v>
      </c>
      <c r="U93">
        <v>32</v>
      </c>
      <c r="V93">
        <v>33</v>
      </c>
      <c r="W93">
        <f t="shared" si="36"/>
        <v>98</v>
      </c>
      <c r="X93">
        <f t="shared" si="37"/>
        <v>81.67</v>
      </c>
      <c r="Y93">
        <f t="shared" si="38"/>
        <v>24.5</v>
      </c>
      <c r="Z93">
        <f t="shared" si="39"/>
        <v>84.84</v>
      </c>
      <c r="AA93">
        <f t="shared" si="40"/>
        <v>86</v>
      </c>
      <c r="AB93" t="str">
        <f t="shared" si="41"/>
        <v>Benchmarking</v>
      </c>
      <c r="AV93">
        <f t="shared" si="42"/>
        <v>82.5</v>
      </c>
      <c r="AW93">
        <f t="shared" si="43"/>
        <v>80</v>
      </c>
      <c r="AX93">
        <f t="shared" si="44"/>
        <v>82.5</v>
      </c>
    </row>
    <row r="94" spans="1:50" ht="15.6" x14ac:dyDescent="0.3">
      <c r="A94">
        <v>32</v>
      </c>
      <c r="B94" t="str">
        <f>INPUT!B94</f>
        <v>Agustin, Rachel</v>
      </c>
      <c r="F94">
        <v>18</v>
      </c>
      <c r="G94">
        <v>19</v>
      </c>
      <c r="H94">
        <v>19</v>
      </c>
      <c r="I94">
        <v>20</v>
      </c>
      <c r="J94">
        <v>19</v>
      </c>
      <c r="K94">
        <f t="shared" si="30"/>
        <v>95</v>
      </c>
      <c r="L94">
        <f t="shared" si="31"/>
        <v>95</v>
      </c>
      <c r="M94">
        <f t="shared" si="32"/>
        <v>19</v>
      </c>
      <c r="N94">
        <v>50</v>
      </c>
      <c r="O94">
        <v>50</v>
      </c>
      <c r="P94">
        <v>46</v>
      </c>
      <c r="Q94">
        <f t="shared" si="33"/>
        <v>146</v>
      </c>
      <c r="R94">
        <f t="shared" si="34"/>
        <v>97.33</v>
      </c>
      <c r="S94">
        <f t="shared" si="35"/>
        <v>48.67</v>
      </c>
      <c r="T94">
        <v>34</v>
      </c>
      <c r="U94">
        <v>34</v>
      </c>
      <c r="V94">
        <v>34</v>
      </c>
      <c r="W94">
        <f t="shared" si="36"/>
        <v>102</v>
      </c>
      <c r="X94">
        <f t="shared" si="37"/>
        <v>85</v>
      </c>
      <c r="Y94">
        <f t="shared" si="38"/>
        <v>25.5</v>
      </c>
      <c r="Z94">
        <f t="shared" si="39"/>
        <v>93.17</v>
      </c>
      <c r="AA94">
        <f t="shared" si="40"/>
        <v>95</v>
      </c>
      <c r="AB94" t="str">
        <f t="shared" si="41"/>
        <v>Advancing</v>
      </c>
      <c r="AV94">
        <f t="shared" si="42"/>
        <v>85</v>
      </c>
      <c r="AW94">
        <f t="shared" si="43"/>
        <v>85</v>
      </c>
      <c r="AX94">
        <f t="shared" si="44"/>
        <v>85</v>
      </c>
    </row>
    <row r="95" spans="1:50" ht="15.6" x14ac:dyDescent="0.3">
      <c r="A95">
        <v>33</v>
      </c>
      <c r="B95" t="str">
        <f>INPUT!B95</f>
        <v>Alvarez, Rebecca</v>
      </c>
      <c r="F95">
        <v>16</v>
      </c>
      <c r="G95">
        <v>16</v>
      </c>
      <c r="H95">
        <v>17</v>
      </c>
      <c r="I95">
        <v>17</v>
      </c>
      <c r="J95">
        <v>16</v>
      </c>
      <c r="K95">
        <f t="shared" ref="K95:K112" si="45">IF(COUNT($F95:$J95)=0,"",SUM($F95:$J95))</f>
        <v>82</v>
      </c>
      <c r="L95">
        <f t="shared" ref="L95:L112" si="46">IF(ISERROR(IF($K95="","",ROUND(($K95/$K$10)*$L$10,2))),"",IF($K95="","",ROUND(($K95/$K$10)*$L$10,2)))</f>
        <v>82</v>
      </c>
      <c r="M95">
        <f t="shared" ref="M95:M112" si="47">IF($L95="","",ROUND($L95*$M$10,2))</f>
        <v>16.399999999999999</v>
      </c>
      <c r="N95">
        <v>45</v>
      </c>
      <c r="O95">
        <v>43</v>
      </c>
      <c r="P95">
        <v>42</v>
      </c>
      <c r="Q95">
        <f t="shared" ref="Q95:Q112" si="48">IF(COUNT($N95:$P95)=0,"",SUM($N95:$P95))</f>
        <v>130</v>
      </c>
      <c r="R95">
        <f t="shared" ref="R95:R112" si="49">IF(ISERROR(IF($Q95="","",ROUND(($Q95/$Q$10)*$R$10,2))),"",IF($Q95="","",ROUND(($Q95/$Q$10)*$R$10,2)))</f>
        <v>86.67</v>
      </c>
      <c r="S95">
        <f t="shared" ref="S95:S112" si="50">IF($R95="","",ROUND($R95*$S$10,2))</f>
        <v>43.34</v>
      </c>
      <c r="T95">
        <v>29</v>
      </c>
      <c r="U95">
        <v>28</v>
      </c>
      <c r="V95">
        <v>29</v>
      </c>
      <c r="W95">
        <f t="shared" ref="W95:W112" si="51">IF(COUNT($T95:$V95)=0,"",SUM($T95:$V95))</f>
        <v>86</v>
      </c>
      <c r="X95">
        <f t="shared" ref="X95:X112" si="52">IF(ISERROR(IF($W95="","",ROUND(($W95/$W$10)*$X$10,2))),"",IF($W95="","",ROUND(($W95/$W$10)*$X$10,2)))</f>
        <v>71.67</v>
      </c>
      <c r="Y95">
        <f t="shared" ref="Y95:Y112" si="53">IF($X95="","",ROUND($X95*$Y$10,2))</f>
        <v>21.5</v>
      </c>
      <c r="Z95">
        <f t="shared" ref="Z95:Z112" si="54">IF(ISERROR(IF($V95="","",ROUND(SUM($M95,$S95,$Y95),2))),"",IF($V95="","",ROUND(SUM($M95,$S95,$Y95),2)))</f>
        <v>81.239999999999995</v>
      </c>
      <c r="AA95">
        <f t="shared" ref="AA95:AA126" si="55">IF(ISERROR(IF($V95="","",VLOOKUP(Z95,NewTransmu,4,TRUE))),"",IF($V95="","",VLOOKUP(Z95,NewTransmu,4,TRUE)))</f>
        <v>83</v>
      </c>
      <c r="AB95" t="str">
        <f t="shared" ref="AB95:AB126" si="56">IF(ISERROR(IF(AA95="","",VLOOKUP(AA95,DESCRIPTORS,4,TRUE))),"",IF(AA95="","",VLOOKUP(AA95,DESCRIPTORS,4,TRUE)))</f>
        <v>Benchmarking</v>
      </c>
      <c r="AV95">
        <f t="shared" si="42"/>
        <v>72.5</v>
      </c>
      <c r="AW95">
        <f t="shared" si="43"/>
        <v>70</v>
      </c>
      <c r="AX95">
        <f t="shared" si="44"/>
        <v>72.5</v>
      </c>
    </row>
    <row r="96" spans="1:50" ht="15.6" x14ac:dyDescent="0.3">
      <c r="A96">
        <v>34</v>
      </c>
      <c r="B96" t="str">
        <f>INPUT!B96</f>
        <v>Aquino, Rhea</v>
      </c>
      <c r="F96">
        <v>16</v>
      </c>
      <c r="G96">
        <v>13</v>
      </c>
      <c r="H96">
        <v>13</v>
      </c>
      <c r="I96">
        <v>14</v>
      </c>
      <c r="J96">
        <v>16</v>
      </c>
      <c r="K96">
        <f t="shared" si="45"/>
        <v>72</v>
      </c>
      <c r="L96">
        <f t="shared" si="46"/>
        <v>72</v>
      </c>
      <c r="M96">
        <f t="shared" si="47"/>
        <v>14.4</v>
      </c>
      <c r="N96">
        <v>38</v>
      </c>
      <c r="O96">
        <v>39</v>
      </c>
      <c r="P96">
        <v>40</v>
      </c>
      <c r="Q96">
        <f t="shared" si="48"/>
        <v>117</v>
      </c>
      <c r="R96">
        <f t="shared" si="49"/>
        <v>78</v>
      </c>
      <c r="S96">
        <f t="shared" si="50"/>
        <v>39</v>
      </c>
      <c r="T96">
        <v>28</v>
      </c>
      <c r="U96">
        <v>29</v>
      </c>
      <c r="V96">
        <v>27</v>
      </c>
      <c r="W96">
        <f t="shared" si="51"/>
        <v>84</v>
      </c>
      <c r="X96">
        <f t="shared" si="52"/>
        <v>70</v>
      </c>
      <c r="Y96">
        <f t="shared" si="53"/>
        <v>21</v>
      </c>
      <c r="Z96">
        <f t="shared" si="54"/>
        <v>74.400000000000006</v>
      </c>
      <c r="AA96">
        <f t="shared" si="55"/>
        <v>76</v>
      </c>
      <c r="AB96" t="str">
        <f t="shared" si="56"/>
        <v>Connecting</v>
      </c>
      <c r="AV96">
        <f t="shared" si="42"/>
        <v>70</v>
      </c>
      <c r="AW96">
        <f t="shared" si="43"/>
        <v>72.5</v>
      </c>
      <c r="AX96">
        <f t="shared" si="44"/>
        <v>67.5</v>
      </c>
    </row>
    <row r="97" spans="1:50" ht="15.6" x14ac:dyDescent="0.3">
      <c r="A97">
        <v>35</v>
      </c>
      <c r="B97" t="str">
        <f>INPUT!B97</f>
        <v>Arceo, Samantha</v>
      </c>
      <c r="F97">
        <v>18</v>
      </c>
      <c r="G97">
        <v>20</v>
      </c>
      <c r="H97">
        <v>20</v>
      </c>
      <c r="I97">
        <v>19</v>
      </c>
      <c r="J97">
        <v>19</v>
      </c>
      <c r="K97">
        <f t="shared" si="45"/>
        <v>96</v>
      </c>
      <c r="L97">
        <f t="shared" si="46"/>
        <v>96</v>
      </c>
      <c r="M97">
        <f t="shared" si="47"/>
        <v>19.2</v>
      </c>
      <c r="N97">
        <v>50</v>
      </c>
      <c r="O97">
        <v>47</v>
      </c>
      <c r="P97">
        <v>47</v>
      </c>
      <c r="Q97">
        <f t="shared" si="48"/>
        <v>144</v>
      </c>
      <c r="R97">
        <f t="shared" si="49"/>
        <v>96</v>
      </c>
      <c r="S97">
        <f t="shared" si="50"/>
        <v>48</v>
      </c>
      <c r="T97">
        <v>39</v>
      </c>
      <c r="U97">
        <v>39</v>
      </c>
      <c r="V97">
        <v>37</v>
      </c>
      <c r="W97">
        <f t="shared" si="51"/>
        <v>115</v>
      </c>
      <c r="X97">
        <f t="shared" si="52"/>
        <v>95.83</v>
      </c>
      <c r="Y97">
        <f t="shared" si="53"/>
        <v>28.75</v>
      </c>
      <c r="Z97">
        <f t="shared" si="54"/>
        <v>95.95</v>
      </c>
      <c r="AA97">
        <f t="shared" si="55"/>
        <v>97</v>
      </c>
      <c r="AB97" t="str">
        <f t="shared" si="56"/>
        <v>Advancing</v>
      </c>
      <c r="AV97">
        <f t="shared" si="42"/>
        <v>97.5</v>
      </c>
      <c r="AW97">
        <f t="shared" si="43"/>
        <v>97.5</v>
      </c>
      <c r="AX97">
        <f t="shared" si="44"/>
        <v>92.5</v>
      </c>
    </row>
    <row r="98" spans="1:50" ht="15.6" x14ac:dyDescent="0.3">
      <c r="A98">
        <v>36</v>
      </c>
      <c r="B98" t="str">
        <f>INPUT!B98</f>
        <v>Arellano, Sofia</v>
      </c>
      <c r="F98">
        <v>9</v>
      </c>
      <c r="G98">
        <v>8</v>
      </c>
      <c r="H98">
        <v>9</v>
      </c>
      <c r="I98">
        <v>8</v>
      </c>
      <c r="J98">
        <v>9</v>
      </c>
      <c r="K98">
        <f t="shared" si="45"/>
        <v>43</v>
      </c>
      <c r="L98">
        <f t="shared" si="46"/>
        <v>43</v>
      </c>
      <c r="M98">
        <f t="shared" si="47"/>
        <v>8.6</v>
      </c>
      <c r="N98">
        <v>22</v>
      </c>
      <c r="O98">
        <v>25</v>
      </c>
      <c r="P98">
        <v>20</v>
      </c>
      <c r="Q98">
        <f t="shared" si="48"/>
        <v>67</v>
      </c>
      <c r="R98">
        <f t="shared" si="49"/>
        <v>44.67</v>
      </c>
      <c r="S98">
        <f t="shared" si="50"/>
        <v>22.34</v>
      </c>
      <c r="T98">
        <v>13</v>
      </c>
      <c r="U98">
        <v>17</v>
      </c>
      <c r="V98">
        <v>17</v>
      </c>
      <c r="W98">
        <f t="shared" si="51"/>
        <v>47</v>
      </c>
      <c r="X98">
        <f t="shared" si="52"/>
        <v>39.17</v>
      </c>
      <c r="Y98">
        <f t="shared" si="53"/>
        <v>11.75</v>
      </c>
      <c r="Z98">
        <f t="shared" si="54"/>
        <v>42.69</v>
      </c>
      <c r="AA98">
        <f t="shared" si="55"/>
        <v>61</v>
      </c>
      <c r="AB98" t="str">
        <f t="shared" si="56"/>
        <v>Emerging</v>
      </c>
      <c r="AV98">
        <f t="shared" si="42"/>
        <v>32.5</v>
      </c>
      <c r="AW98">
        <f t="shared" si="43"/>
        <v>42.5</v>
      </c>
      <c r="AX98">
        <f t="shared" si="44"/>
        <v>42.5</v>
      </c>
    </row>
    <row r="99" spans="1:50" ht="15.6" x14ac:dyDescent="0.3">
      <c r="A99">
        <v>37</v>
      </c>
      <c r="B99" t="str">
        <f>INPUT!B99</f>
        <v>Barrera, Sophia</v>
      </c>
      <c r="F99">
        <v>18</v>
      </c>
      <c r="G99">
        <v>17</v>
      </c>
      <c r="H99">
        <v>17</v>
      </c>
      <c r="I99">
        <v>16</v>
      </c>
      <c r="J99">
        <v>17</v>
      </c>
      <c r="K99">
        <f t="shared" si="45"/>
        <v>85</v>
      </c>
      <c r="L99">
        <f t="shared" si="46"/>
        <v>85</v>
      </c>
      <c r="M99">
        <f t="shared" si="47"/>
        <v>17</v>
      </c>
      <c r="N99">
        <v>41</v>
      </c>
      <c r="O99">
        <v>47</v>
      </c>
      <c r="P99">
        <v>42</v>
      </c>
      <c r="Q99">
        <f t="shared" si="48"/>
        <v>130</v>
      </c>
      <c r="R99">
        <f t="shared" si="49"/>
        <v>86.67</v>
      </c>
      <c r="S99">
        <f t="shared" si="50"/>
        <v>43.34</v>
      </c>
      <c r="T99">
        <v>32</v>
      </c>
      <c r="U99">
        <v>31</v>
      </c>
      <c r="V99">
        <v>33</v>
      </c>
      <c r="W99">
        <f t="shared" si="51"/>
        <v>96</v>
      </c>
      <c r="X99">
        <f t="shared" si="52"/>
        <v>80</v>
      </c>
      <c r="Y99">
        <f t="shared" si="53"/>
        <v>24</v>
      </c>
      <c r="Z99">
        <f t="shared" si="54"/>
        <v>84.34</v>
      </c>
      <c r="AA99">
        <f t="shared" si="55"/>
        <v>86</v>
      </c>
      <c r="AB99" t="str">
        <f t="shared" si="56"/>
        <v>Benchmarking</v>
      </c>
      <c r="AV99">
        <f t="shared" si="42"/>
        <v>80</v>
      </c>
      <c r="AW99">
        <f t="shared" si="43"/>
        <v>77.5</v>
      </c>
      <c r="AX99">
        <f t="shared" si="44"/>
        <v>82.5</v>
      </c>
    </row>
    <row r="100" spans="1:50" ht="15.6" x14ac:dyDescent="0.3">
      <c r="A100">
        <v>38</v>
      </c>
      <c r="B100" t="str">
        <f>INPUT!B100</f>
        <v>Cabral, Therese</v>
      </c>
      <c r="F100">
        <v>17</v>
      </c>
      <c r="G100">
        <v>17</v>
      </c>
      <c r="H100">
        <v>16</v>
      </c>
      <c r="I100">
        <v>16</v>
      </c>
      <c r="J100">
        <v>16</v>
      </c>
      <c r="K100">
        <f t="shared" si="45"/>
        <v>82</v>
      </c>
      <c r="L100">
        <f t="shared" si="46"/>
        <v>82</v>
      </c>
      <c r="M100">
        <f t="shared" si="47"/>
        <v>16.399999999999999</v>
      </c>
      <c r="N100">
        <v>42</v>
      </c>
      <c r="O100">
        <v>47</v>
      </c>
      <c r="P100">
        <v>45</v>
      </c>
      <c r="Q100">
        <f t="shared" si="48"/>
        <v>134</v>
      </c>
      <c r="R100">
        <f t="shared" si="49"/>
        <v>89.33</v>
      </c>
      <c r="S100">
        <f t="shared" si="50"/>
        <v>44.67</v>
      </c>
      <c r="T100">
        <v>30</v>
      </c>
      <c r="U100">
        <v>32</v>
      </c>
      <c r="V100">
        <v>33</v>
      </c>
      <c r="W100">
        <f t="shared" si="51"/>
        <v>95</v>
      </c>
      <c r="X100">
        <f t="shared" si="52"/>
        <v>79.17</v>
      </c>
      <c r="Y100">
        <f t="shared" si="53"/>
        <v>23.75</v>
      </c>
      <c r="Z100">
        <f t="shared" si="54"/>
        <v>84.82</v>
      </c>
      <c r="AA100">
        <f t="shared" si="55"/>
        <v>86</v>
      </c>
      <c r="AB100" t="str">
        <f t="shared" si="56"/>
        <v>Benchmarking</v>
      </c>
      <c r="AV100">
        <f t="shared" si="42"/>
        <v>75</v>
      </c>
      <c r="AW100">
        <f t="shared" si="43"/>
        <v>80</v>
      </c>
      <c r="AX100">
        <f t="shared" si="44"/>
        <v>82.5</v>
      </c>
    </row>
    <row r="101" spans="1:50" ht="15.6" x14ac:dyDescent="0.3">
      <c r="A101">
        <v>39</v>
      </c>
      <c r="B101" t="str">
        <f>INPUT!B101</f>
        <v>David, Trisha</v>
      </c>
      <c r="F101">
        <v>18</v>
      </c>
      <c r="G101">
        <v>18</v>
      </c>
      <c r="H101">
        <v>20</v>
      </c>
      <c r="I101">
        <v>18</v>
      </c>
      <c r="J101">
        <v>20</v>
      </c>
      <c r="K101">
        <f t="shared" si="45"/>
        <v>94</v>
      </c>
      <c r="L101">
        <f t="shared" si="46"/>
        <v>94</v>
      </c>
      <c r="M101">
        <f t="shared" si="47"/>
        <v>18.8</v>
      </c>
      <c r="N101">
        <v>49</v>
      </c>
      <c r="O101">
        <v>50</v>
      </c>
      <c r="P101">
        <v>49</v>
      </c>
      <c r="Q101">
        <f t="shared" si="48"/>
        <v>148</v>
      </c>
      <c r="R101">
        <f t="shared" si="49"/>
        <v>98.67</v>
      </c>
      <c r="S101">
        <f t="shared" si="50"/>
        <v>49.34</v>
      </c>
      <c r="T101">
        <v>39</v>
      </c>
      <c r="U101">
        <v>35</v>
      </c>
      <c r="V101">
        <v>34</v>
      </c>
      <c r="W101">
        <f t="shared" si="51"/>
        <v>108</v>
      </c>
      <c r="X101">
        <f t="shared" si="52"/>
        <v>90</v>
      </c>
      <c r="Y101">
        <f t="shared" si="53"/>
        <v>27</v>
      </c>
      <c r="Z101">
        <f t="shared" si="54"/>
        <v>95.14</v>
      </c>
      <c r="AA101">
        <f t="shared" si="55"/>
        <v>97</v>
      </c>
      <c r="AB101" t="str">
        <f t="shared" si="56"/>
        <v>Advancing</v>
      </c>
      <c r="AV101">
        <f t="shared" si="42"/>
        <v>97.5</v>
      </c>
      <c r="AW101">
        <f t="shared" si="43"/>
        <v>87.5</v>
      </c>
      <c r="AX101">
        <f t="shared" si="44"/>
        <v>85</v>
      </c>
    </row>
    <row r="102" spans="1:50" ht="15.6" x14ac:dyDescent="0.3">
      <c r="A102">
        <v>40</v>
      </c>
      <c r="B102" t="str">
        <f>INPUT!B102</f>
        <v>Escobar, Valerie</v>
      </c>
      <c r="F102">
        <v>17</v>
      </c>
      <c r="G102">
        <v>18</v>
      </c>
      <c r="H102">
        <v>18</v>
      </c>
      <c r="I102">
        <v>18</v>
      </c>
      <c r="J102">
        <v>18</v>
      </c>
      <c r="K102">
        <f t="shared" si="45"/>
        <v>89</v>
      </c>
      <c r="L102">
        <f t="shared" si="46"/>
        <v>89</v>
      </c>
      <c r="M102">
        <f t="shared" si="47"/>
        <v>17.8</v>
      </c>
      <c r="N102">
        <v>46</v>
      </c>
      <c r="O102">
        <v>44</v>
      </c>
      <c r="P102">
        <v>41</v>
      </c>
      <c r="Q102">
        <f t="shared" si="48"/>
        <v>131</v>
      </c>
      <c r="R102">
        <f t="shared" si="49"/>
        <v>87.33</v>
      </c>
      <c r="S102">
        <f t="shared" si="50"/>
        <v>43.67</v>
      </c>
      <c r="T102">
        <v>32</v>
      </c>
      <c r="U102">
        <v>34</v>
      </c>
      <c r="V102">
        <v>35</v>
      </c>
      <c r="W102">
        <f t="shared" si="51"/>
        <v>101</v>
      </c>
      <c r="X102">
        <f t="shared" si="52"/>
        <v>84.17</v>
      </c>
      <c r="Y102">
        <f t="shared" si="53"/>
        <v>25.25</v>
      </c>
      <c r="Z102">
        <f t="shared" si="54"/>
        <v>86.72</v>
      </c>
      <c r="AA102">
        <f t="shared" si="55"/>
        <v>88</v>
      </c>
      <c r="AB102" t="str">
        <f t="shared" si="56"/>
        <v>Benchmarking</v>
      </c>
      <c r="AV102">
        <f t="shared" si="42"/>
        <v>80</v>
      </c>
      <c r="AW102">
        <f t="shared" si="43"/>
        <v>85</v>
      </c>
      <c r="AX102">
        <f t="shared" si="44"/>
        <v>87.5</v>
      </c>
    </row>
    <row r="103" spans="1:50" ht="15.6" x14ac:dyDescent="0.3">
      <c r="A103">
        <v>41</v>
      </c>
      <c r="B103" t="str">
        <f>INPUT!B103</f>
        <v>Aguilar, Vanessa</v>
      </c>
      <c r="F103">
        <v>16</v>
      </c>
      <c r="G103">
        <v>18</v>
      </c>
      <c r="H103">
        <v>16</v>
      </c>
      <c r="I103">
        <v>17</v>
      </c>
      <c r="J103">
        <v>16</v>
      </c>
      <c r="K103">
        <f t="shared" si="45"/>
        <v>83</v>
      </c>
      <c r="L103">
        <f t="shared" si="46"/>
        <v>83</v>
      </c>
      <c r="M103">
        <f t="shared" si="47"/>
        <v>16.600000000000001</v>
      </c>
      <c r="N103">
        <v>43</v>
      </c>
      <c r="O103">
        <v>42</v>
      </c>
      <c r="P103">
        <v>47</v>
      </c>
      <c r="Q103">
        <f t="shared" si="48"/>
        <v>132</v>
      </c>
      <c r="R103">
        <f t="shared" si="49"/>
        <v>88</v>
      </c>
      <c r="S103">
        <f t="shared" si="50"/>
        <v>44</v>
      </c>
      <c r="T103">
        <v>35</v>
      </c>
      <c r="U103">
        <v>35</v>
      </c>
      <c r="V103">
        <v>34</v>
      </c>
      <c r="W103">
        <f t="shared" si="51"/>
        <v>104</v>
      </c>
      <c r="X103">
        <f t="shared" si="52"/>
        <v>86.67</v>
      </c>
      <c r="Y103">
        <f t="shared" si="53"/>
        <v>26</v>
      </c>
      <c r="Z103">
        <f t="shared" si="54"/>
        <v>86.6</v>
      </c>
      <c r="AA103">
        <f t="shared" si="55"/>
        <v>88</v>
      </c>
      <c r="AB103" t="str">
        <f t="shared" si="56"/>
        <v>Benchmarking</v>
      </c>
      <c r="AV103">
        <f t="shared" si="42"/>
        <v>87.5</v>
      </c>
      <c r="AW103">
        <f t="shared" si="43"/>
        <v>87.5</v>
      </c>
      <c r="AX103">
        <f t="shared" si="44"/>
        <v>85</v>
      </c>
    </row>
    <row r="104" spans="1:50" ht="15.6" x14ac:dyDescent="0.3">
      <c r="A104">
        <v>42</v>
      </c>
      <c r="B104" t="str">
        <f>INPUT!B104</f>
        <v>Alcantara, Veronica</v>
      </c>
      <c r="F104">
        <v>15</v>
      </c>
      <c r="G104">
        <v>14</v>
      </c>
      <c r="H104">
        <v>13</v>
      </c>
      <c r="I104">
        <v>15</v>
      </c>
      <c r="J104">
        <v>14</v>
      </c>
      <c r="K104">
        <f t="shared" si="45"/>
        <v>71</v>
      </c>
      <c r="L104">
        <f t="shared" si="46"/>
        <v>71</v>
      </c>
      <c r="M104">
        <f t="shared" si="47"/>
        <v>14.2</v>
      </c>
      <c r="N104">
        <v>34</v>
      </c>
      <c r="O104">
        <v>34</v>
      </c>
      <c r="P104">
        <v>39</v>
      </c>
      <c r="Q104">
        <f t="shared" si="48"/>
        <v>107</v>
      </c>
      <c r="R104">
        <f t="shared" si="49"/>
        <v>71.33</v>
      </c>
      <c r="S104">
        <f t="shared" si="50"/>
        <v>35.67</v>
      </c>
      <c r="T104">
        <v>24</v>
      </c>
      <c r="U104">
        <v>29</v>
      </c>
      <c r="V104">
        <v>24</v>
      </c>
      <c r="W104">
        <f t="shared" si="51"/>
        <v>77</v>
      </c>
      <c r="X104">
        <f t="shared" si="52"/>
        <v>64.17</v>
      </c>
      <c r="Y104">
        <f t="shared" si="53"/>
        <v>19.25</v>
      </c>
      <c r="Z104">
        <f t="shared" si="54"/>
        <v>69.12</v>
      </c>
      <c r="AA104">
        <f t="shared" si="55"/>
        <v>74</v>
      </c>
      <c r="AB104" t="str">
        <f t="shared" si="56"/>
        <v xml:space="preserve">Developing </v>
      </c>
      <c r="AV104">
        <f t="shared" si="42"/>
        <v>60</v>
      </c>
      <c r="AW104">
        <f t="shared" si="43"/>
        <v>72.5</v>
      </c>
      <c r="AX104">
        <f t="shared" si="44"/>
        <v>60</v>
      </c>
    </row>
    <row r="105" spans="1:50" ht="15.6" x14ac:dyDescent="0.3">
      <c r="A105">
        <v>43</v>
      </c>
      <c r="B105" t="str">
        <f>INPUT!B105</f>
        <v>Andrada, Victoria</v>
      </c>
      <c r="F105">
        <v>8</v>
      </c>
      <c r="G105">
        <v>10</v>
      </c>
      <c r="H105">
        <v>9</v>
      </c>
      <c r="I105">
        <v>10</v>
      </c>
      <c r="J105">
        <v>9</v>
      </c>
      <c r="K105">
        <f t="shared" si="45"/>
        <v>46</v>
      </c>
      <c r="L105">
        <f t="shared" si="46"/>
        <v>46</v>
      </c>
      <c r="M105">
        <f t="shared" si="47"/>
        <v>9.1999999999999993</v>
      </c>
      <c r="N105">
        <v>24</v>
      </c>
      <c r="O105">
        <v>22</v>
      </c>
      <c r="P105">
        <v>22</v>
      </c>
      <c r="Q105">
        <f t="shared" si="48"/>
        <v>68</v>
      </c>
      <c r="R105">
        <f t="shared" si="49"/>
        <v>45.33</v>
      </c>
      <c r="S105">
        <f t="shared" si="50"/>
        <v>22.67</v>
      </c>
      <c r="T105">
        <v>19</v>
      </c>
      <c r="U105">
        <v>18</v>
      </c>
      <c r="V105">
        <v>18</v>
      </c>
      <c r="W105">
        <f t="shared" si="51"/>
        <v>55</v>
      </c>
      <c r="X105">
        <f t="shared" si="52"/>
        <v>45.83</v>
      </c>
      <c r="Y105">
        <f t="shared" si="53"/>
        <v>13.75</v>
      </c>
      <c r="Z105">
        <f t="shared" si="54"/>
        <v>45.62</v>
      </c>
      <c r="AA105">
        <f t="shared" si="55"/>
        <v>62</v>
      </c>
      <c r="AB105" t="str">
        <f t="shared" si="56"/>
        <v>Emerging</v>
      </c>
      <c r="AV105">
        <f t="shared" si="42"/>
        <v>47.5</v>
      </c>
      <c r="AW105">
        <f t="shared" si="43"/>
        <v>45</v>
      </c>
      <c r="AX105">
        <f t="shared" si="44"/>
        <v>45</v>
      </c>
    </row>
    <row r="106" spans="1:50" ht="15.6" x14ac:dyDescent="0.3">
      <c r="A106">
        <v>44</v>
      </c>
      <c r="B106" t="str">
        <f>INPUT!B106</f>
        <v>Bautista, Yasmine</v>
      </c>
      <c r="F106">
        <v>14</v>
      </c>
      <c r="G106">
        <v>15</v>
      </c>
      <c r="H106">
        <v>16</v>
      </c>
      <c r="I106">
        <v>16</v>
      </c>
      <c r="J106">
        <v>14</v>
      </c>
      <c r="K106">
        <f t="shared" si="45"/>
        <v>75</v>
      </c>
      <c r="L106">
        <f t="shared" si="46"/>
        <v>75</v>
      </c>
      <c r="M106">
        <f t="shared" si="47"/>
        <v>15</v>
      </c>
      <c r="N106">
        <v>37</v>
      </c>
      <c r="O106">
        <v>38</v>
      </c>
      <c r="P106">
        <v>39</v>
      </c>
      <c r="Q106">
        <f t="shared" si="48"/>
        <v>114</v>
      </c>
      <c r="R106">
        <f t="shared" si="49"/>
        <v>76</v>
      </c>
      <c r="S106">
        <f t="shared" si="50"/>
        <v>38</v>
      </c>
      <c r="T106">
        <v>29</v>
      </c>
      <c r="U106">
        <v>27</v>
      </c>
      <c r="V106">
        <v>28</v>
      </c>
      <c r="W106">
        <f t="shared" si="51"/>
        <v>84</v>
      </c>
      <c r="X106">
        <f t="shared" si="52"/>
        <v>70</v>
      </c>
      <c r="Y106">
        <f t="shared" si="53"/>
        <v>21</v>
      </c>
      <c r="Z106">
        <f t="shared" si="54"/>
        <v>74</v>
      </c>
      <c r="AA106">
        <f t="shared" si="55"/>
        <v>76</v>
      </c>
      <c r="AB106" t="str">
        <f t="shared" si="56"/>
        <v>Connecting</v>
      </c>
      <c r="AV106">
        <f t="shared" si="42"/>
        <v>72.5</v>
      </c>
      <c r="AW106">
        <f t="shared" si="43"/>
        <v>67.5</v>
      </c>
      <c r="AX106">
        <f t="shared" si="44"/>
        <v>70</v>
      </c>
    </row>
    <row r="107" spans="1:50" ht="15.6" x14ac:dyDescent="0.3">
      <c r="A107">
        <v>45</v>
      </c>
      <c r="B107" t="str">
        <f>INPUT!B107</f>
        <v>Bernardo, Zoe</v>
      </c>
      <c r="F107">
        <v>19</v>
      </c>
      <c r="G107">
        <v>18</v>
      </c>
      <c r="H107">
        <v>18</v>
      </c>
      <c r="I107">
        <v>19</v>
      </c>
      <c r="J107">
        <v>19</v>
      </c>
      <c r="K107">
        <f t="shared" si="45"/>
        <v>93</v>
      </c>
      <c r="L107">
        <f t="shared" si="46"/>
        <v>93</v>
      </c>
      <c r="M107">
        <f t="shared" si="47"/>
        <v>18.600000000000001</v>
      </c>
      <c r="N107">
        <v>46</v>
      </c>
      <c r="O107">
        <v>48</v>
      </c>
      <c r="P107">
        <v>46</v>
      </c>
      <c r="Q107">
        <f t="shared" si="48"/>
        <v>140</v>
      </c>
      <c r="R107">
        <f t="shared" si="49"/>
        <v>93.33</v>
      </c>
      <c r="S107">
        <f t="shared" si="50"/>
        <v>46.67</v>
      </c>
      <c r="T107">
        <v>33</v>
      </c>
      <c r="U107">
        <v>34</v>
      </c>
      <c r="V107">
        <v>35</v>
      </c>
      <c r="W107">
        <f t="shared" si="51"/>
        <v>102</v>
      </c>
      <c r="X107">
        <f t="shared" si="52"/>
        <v>85</v>
      </c>
      <c r="Y107">
        <f t="shared" si="53"/>
        <v>25.5</v>
      </c>
      <c r="Z107">
        <f t="shared" si="54"/>
        <v>90.77</v>
      </c>
      <c r="AA107">
        <f t="shared" si="55"/>
        <v>92</v>
      </c>
      <c r="AB107" t="str">
        <f t="shared" si="56"/>
        <v>Advancing</v>
      </c>
      <c r="AV107">
        <f t="shared" si="42"/>
        <v>82.5</v>
      </c>
      <c r="AW107">
        <f t="shared" si="43"/>
        <v>85</v>
      </c>
      <c r="AX107">
        <f t="shared" si="44"/>
        <v>87.5</v>
      </c>
    </row>
    <row r="108" spans="1:50" ht="15.6" x14ac:dyDescent="0.3">
      <c r="A108">
        <v>46</v>
      </c>
      <c r="B108" t="str">
        <f>INPUT!B108</f>
        <v>Castillo, Amara</v>
      </c>
      <c r="F108">
        <v>17</v>
      </c>
      <c r="G108">
        <v>16</v>
      </c>
      <c r="H108">
        <v>17</v>
      </c>
      <c r="I108">
        <v>17</v>
      </c>
      <c r="J108">
        <v>18</v>
      </c>
      <c r="K108">
        <f t="shared" si="45"/>
        <v>85</v>
      </c>
      <c r="L108">
        <f t="shared" si="46"/>
        <v>85</v>
      </c>
      <c r="M108">
        <f t="shared" si="47"/>
        <v>17</v>
      </c>
      <c r="N108">
        <v>42</v>
      </c>
      <c r="O108">
        <v>46</v>
      </c>
      <c r="P108">
        <v>45</v>
      </c>
      <c r="Q108">
        <f t="shared" si="48"/>
        <v>133</v>
      </c>
      <c r="R108">
        <f t="shared" si="49"/>
        <v>88.67</v>
      </c>
      <c r="S108">
        <f t="shared" si="50"/>
        <v>44.34</v>
      </c>
      <c r="T108">
        <v>30</v>
      </c>
      <c r="U108">
        <v>31</v>
      </c>
      <c r="V108">
        <v>29</v>
      </c>
      <c r="W108">
        <f t="shared" si="51"/>
        <v>90</v>
      </c>
      <c r="X108">
        <f t="shared" si="52"/>
        <v>75</v>
      </c>
      <c r="Y108">
        <f t="shared" si="53"/>
        <v>22.5</v>
      </c>
      <c r="Z108">
        <f t="shared" si="54"/>
        <v>83.84</v>
      </c>
      <c r="AA108">
        <f t="shared" si="55"/>
        <v>85</v>
      </c>
      <c r="AB108" t="str">
        <f t="shared" si="56"/>
        <v>Benchmarking</v>
      </c>
      <c r="AV108">
        <f t="shared" si="42"/>
        <v>75</v>
      </c>
      <c r="AW108">
        <f t="shared" si="43"/>
        <v>77.5</v>
      </c>
      <c r="AX108">
        <f t="shared" si="44"/>
        <v>72.5</v>
      </c>
    </row>
    <row r="109" spans="1:50" ht="15.6" x14ac:dyDescent="0.3">
      <c r="A109">
        <v>47</v>
      </c>
      <c r="B109" t="str">
        <f>INPUT!B109</f>
        <v>Cruz, Andrea</v>
      </c>
      <c r="F109">
        <v>17</v>
      </c>
      <c r="G109">
        <v>14</v>
      </c>
      <c r="H109">
        <v>14</v>
      </c>
      <c r="I109">
        <v>16</v>
      </c>
      <c r="J109">
        <v>15</v>
      </c>
      <c r="K109">
        <f t="shared" si="45"/>
        <v>76</v>
      </c>
      <c r="L109">
        <f t="shared" si="46"/>
        <v>76</v>
      </c>
      <c r="M109">
        <f t="shared" si="47"/>
        <v>15.2</v>
      </c>
      <c r="N109">
        <v>40</v>
      </c>
      <c r="O109">
        <v>41</v>
      </c>
      <c r="P109">
        <v>41</v>
      </c>
      <c r="Q109">
        <f t="shared" si="48"/>
        <v>122</v>
      </c>
      <c r="R109">
        <f t="shared" si="49"/>
        <v>81.33</v>
      </c>
      <c r="S109">
        <f t="shared" si="50"/>
        <v>40.67</v>
      </c>
      <c r="T109">
        <v>30</v>
      </c>
      <c r="U109">
        <v>32</v>
      </c>
      <c r="V109">
        <v>31</v>
      </c>
      <c r="W109">
        <f t="shared" si="51"/>
        <v>93</v>
      </c>
      <c r="X109">
        <f t="shared" si="52"/>
        <v>77.5</v>
      </c>
      <c r="Y109">
        <f t="shared" si="53"/>
        <v>23.25</v>
      </c>
      <c r="Z109">
        <f t="shared" si="54"/>
        <v>79.12</v>
      </c>
      <c r="AA109">
        <f t="shared" si="55"/>
        <v>81</v>
      </c>
      <c r="AB109" t="str">
        <f t="shared" si="56"/>
        <v>Benchmarking</v>
      </c>
      <c r="AV109">
        <f t="shared" si="42"/>
        <v>75</v>
      </c>
      <c r="AW109">
        <f t="shared" si="43"/>
        <v>80</v>
      </c>
      <c r="AX109">
        <f t="shared" si="44"/>
        <v>77.5</v>
      </c>
    </row>
    <row r="110" spans="1:50" ht="15.6" x14ac:dyDescent="0.3">
      <c r="A110">
        <v>48</v>
      </c>
      <c r="B110" t="str">
        <f>INPUT!B110</f>
        <v>Dela Cruz, Beatriz</v>
      </c>
      <c r="F110">
        <v>11</v>
      </c>
      <c r="G110">
        <v>10</v>
      </c>
      <c r="H110">
        <v>10</v>
      </c>
      <c r="I110">
        <v>11</v>
      </c>
      <c r="J110">
        <v>9</v>
      </c>
      <c r="K110">
        <f t="shared" si="45"/>
        <v>51</v>
      </c>
      <c r="L110">
        <f t="shared" si="46"/>
        <v>51</v>
      </c>
      <c r="M110">
        <f t="shared" si="47"/>
        <v>10.199999999999999</v>
      </c>
      <c r="N110">
        <v>23</v>
      </c>
      <c r="O110">
        <v>29</v>
      </c>
      <c r="P110">
        <v>25</v>
      </c>
      <c r="Q110">
        <f t="shared" si="48"/>
        <v>77</v>
      </c>
      <c r="R110">
        <f t="shared" si="49"/>
        <v>51.33</v>
      </c>
      <c r="S110">
        <f t="shared" si="50"/>
        <v>25.67</v>
      </c>
      <c r="T110">
        <v>21</v>
      </c>
      <c r="U110">
        <v>20</v>
      </c>
      <c r="V110">
        <v>19</v>
      </c>
      <c r="W110">
        <f t="shared" si="51"/>
        <v>60</v>
      </c>
      <c r="X110">
        <f t="shared" si="52"/>
        <v>50</v>
      </c>
      <c r="Y110">
        <f t="shared" si="53"/>
        <v>15</v>
      </c>
      <c r="Z110">
        <f t="shared" si="54"/>
        <v>50.87</v>
      </c>
      <c r="AA110">
        <f t="shared" si="55"/>
        <v>65</v>
      </c>
      <c r="AB110" t="str">
        <f t="shared" si="56"/>
        <v xml:space="preserve">Developing </v>
      </c>
      <c r="AV110">
        <f t="shared" si="42"/>
        <v>52.5</v>
      </c>
      <c r="AW110">
        <f t="shared" si="43"/>
        <v>50</v>
      </c>
      <c r="AX110">
        <f t="shared" si="44"/>
        <v>47.5</v>
      </c>
    </row>
    <row r="111" spans="1:50" ht="15.6" x14ac:dyDescent="0.3">
      <c r="A111">
        <v>49</v>
      </c>
      <c r="B111" t="str">
        <f>INPUT!B111</f>
        <v>Diaz, Celine</v>
      </c>
      <c r="F111">
        <v>13</v>
      </c>
      <c r="G111">
        <v>15</v>
      </c>
      <c r="H111">
        <v>15</v>
      </c>
      <c r="I111">
        <v>13</v>
      </c>
      <c r="J111">
        <v>13</v>
      </c>
      <c r="K111">
        <f t="shared" si="45"/>
        <v>69</v>
      </c>
      <c r="L111">
        <f t="shared" si="46"/>
        <v>69</v>
      </c>
      <c r="M111">
        <f t="shared" si="47"/>
        <v>13.8</v>
      </c>
      <c r="N111">
        <v>38</v>
      </c>
      <c r="O111">
        <v>33</v>
      </c>
      <c r="P111">
        <v>33</v>
      </c>
      <c r="Q111">
        <f t="shared" si="48"/>
        <v>104</v>
      </c>
      <c r="R111">
        <f t="shared" si="49"/>
        <v>69.33</v>
      </c>
      <c r="S111">
        <f t="shared" si="50"/>
        <v>34.67</v>
      </c>
      <c r="T111">
        <v>27</v>
      </c>
      <c r="U111">
        <v>26</v>
      </c>
      <c r="V111">
        <v>28</v>
      </c>
      <c r="W111">
        <f t="shared" si="51"/>
        <v>81</v>
      </c>
      <c r="X111">
        <f t="shared" si="52"/>
        <v>67.5</v>
      </c>
      <c r="Y111">
        <f t="shared" si="53"/>
        <v>20.25</v>
      </c>
      <c r="Z111">
        <f t="shared" si="54"/>
        <v>68.72</v>
      </c>
      <c r="AA111">
        <f t="shared" si="55"/>
        <v>74</v>
      </c>
      <c r="AB111" t="str">
        <f t="shared" si="56"/>
        <v xml:space="preserve">Developing </v>
      </c>
      <c r="AV111">
        <f t="shared" si="42"/>
        <v>67.5</v>
      </c>
      <c r="AW111">
        <f t="shared" si="43"/>
        <v>65</v>
      </c>
      <c r="AX111">
        <f t="shared" si="44"/>
        <v>70</v>
      </c>
    </row>
    <row r="112" spans="1:50" ht="15.6" x14ac:dyDescent="0.3">
      <c r="A112">
        <v>50</v>
      </c>
      <c r="B112" t="str">
        <f>INPUT!B112</f>
        <v>Evangelista, Danielle</v>
      </c>
      <c r="F112">
        <v>16</v>
      </c>
      <c r="G112">
        <v>17</v>
      </c>
      <c r="H112">
        <v>17</v>
      </c>
      <c r="I112">
        <v>15</v>
      </c>
      <c r="J112">
        <v>18</v>
      </c>
      <c r="K112">
        <f t="shared" si="45"/>
        <v>83</v>
      </c>
      <c r="L112">
        <f t="shared" si="46"/>
        <v>83</v>
      </c>
      <c r="M112">
        <f t="shared" si="47"/>
        <v>16.600000000000001</v>
      </c>
      <c r="N112">
        <v>45</v>
      </c>
      <c r="O112">
        <v>46</v>
      </c>
      <c r="P112">
        <v>44</v>
      </c>
      <c r="Q112">
        <f t="shared" si="48"/>
        <v>135</v>
      </c>
      <c r="R112">
        <f t="shared" si="49"/>
        <v>90</v>
      </c>
      <c r="S112">
        <f t="shared" si="50"/>
        <v>45</v>
      </c>
      <c r="T112">
        <v>32</v>
      </c>
      <c r="U112">
        <v>32</v>
      </c>
      <c r="V112">
        <v>33</v>
      </c>
      <c r="W112">
        <f t="shared" si="51"/>
        <v>97</v>
      </c>
      <c r="X112">
        <f t="shared" si="52"/>
        <v>80.83</v>
      </c>
      <c r="Y112">
        <f t="shared" si="53"/>
        <v>24.25</v>
      </c>
      <c r="Z112">
        <f t="shared" si="54"/>
        <v>85.85</v>
      </c>
      <c r="AA112">
        <f t="shared" si="55"/>
        <v>87</v>
      </c>
      <c r="AB112" t="str">
        <f t="shared" si="56"/>
        <v>Benchmarking</v>
      </c>
      <c r="AV112">
        <f t="shared" si="42"/>
        <v>80</v>
      </c>
      <c r="AW112">
        <f t="shared" si="43"/>
        <v>80</v>
      </c>
      <c r="AX112">
        <f t="shared" si="44"/>
        <v>82.5</v>
      </c>
    </row>
  </sheetData>
  <autoFilter ref="B11:B112" xr:uid="{00000000-0009-0000-0000-000001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151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Science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18</v>
      </c>
      <c r="G12">
        <v>19</v>
      </c>
      <c r="H12">
        <v>17</v>
      </c>
      <c r="I12">
        <v>18</v>
      </c>
      <c r="J12">
        <v>19</v>
      </c>
      <c r="K12">
        <f t="shared" ref="K12:K43" si="0">IF(COUNT($F12:$J12)=0,"",SUM($F12:$J12))</f>
        <v>91</v>
      </c>
      <c r="L12">
        <f t="shared" ref="L12:L43" si="1">IF(ISERROR(IF($K12="","",ROUND(($K12/$K$10)*$L$10,2))),"",IF($K12="","",ROUND(($K12/$K$10)*$L$10,2)))</f>
        <v>91</v>
      </c>
      <c r="M12">
        <f t="shared" ref="M12:M43" si="2">IF($L12="","",ROUND($L12*$M$10,2))</f>
        <v>18.2</v>
      </c>
      <c r="N12">
        <v>47</v>
      </c>
      <c r="O12">
        <v>47</v>
      </c>
      <c r="P12">
        <v>49</v>
      </c>
      <c r="Q12">
        <f t="shared" ref="Q12:Q43" si="3">IF(COUNT($N12:$P12)=0,"",SUM($N12:$P12))</f>
        <v>143</v>
      </c>
      <c r="R12">
        <f t="shared" ref="R12:R43" si="4">IF(ISERROR(IF($Q12="","",ROUND(($Q12/$Q$10)*$R$10,2))),"",IF($Q12="","",ROUND(($Q12/$Q$10)*$R$10,2)))</f>
        <v>95.33</v>
      </c>
      <c r="S12">
        <f t="shared" ref="S12:S43" si="5">IF($R12="","",ROUND($R12*$S$10,2))</f>
        <v>47.67</v>
      </c>
      <c r="T12">
        <v>34</v>
      </c>
      <c r="U12">
        <v>35</v>
      </c>
      <c r="V12">
        <v>33</v>
      </c>
      <c r="W12">
        <f t="shared" ref="W12:W43" si="6">IF(COUNT($T12:$V12)=0,"",SUM($T12:$V12))</f>
        <v>102</v>
      </c>
      <c r="X12">
        <f t="shared" ref="X12:X43" si="7">IF(ISERROR(IF($W12="","",ROUND(($W12/$W$10)*$X$10,2))),"",IF($W12="","",ROUND(($W12/$W$10)*$X$10,2)))</f>
        <v>85</v>
      </c>
      <c r="Y12">
        <f t="shared" ref="Y12:Y43" si="8">IF($X12="","",ROUND($X12*$Y$10,2))</f>
        <v>25.5</v>
      </c>
      <c r="Z12">
        <f>IF(ISERROR(IF($W12="","",ROUND(SUM($M12,$S12,$Y12),2))),"",IF($W12="","",ROUND(SUM($M12,$S12,$Y12),2)))</f>
        <v>91.37</v>
      </c>
      <c r="AA12">
        <f>IF(ISERROR(IF($W12="","",VLOOKUP(Z12,NewTransmu,4,TRUE))),"",IF($W12="","",VLOOKUP(Z12,NewTransmu,4,TRUE)))</f>
        <v>93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85</v>
      </c>
      <c r="AW12">
        <f t="shared" ref="AW12:AW43" si="11">(U12/$U$10)*100</f>
        <v>87.5</v>
      </c>
      <c r="AX12">
        <f t="shared" ref="AX12:AX43" si="12">(V12/$V$10)*100</f>
        <v>82.5</v>
      </c>
    </row>
    <row r="13" spans="1:50" ht="15.6" x14ac:dyDescent="0.3">
      <c r="A13">
        <v>2</v>
      </c>
      <c r="B13" t="str">
        <f>INPUT!B13</f>
        <v>Alcantara, Angelo</v>
      </c>
      <c r="F13">
        <v>18</v>
      </c>
      <c r="G13">
        <v>20</v>
      </c>
      <c r="H13">
        <v>19</v>
      </c>
      <c r="I13">
        <v>19</v>
      </c>
      <c r="J13">
        <v>20</v>
      </c>
      <c r="K13">
        <f t="shared" si="0"/>
        <v>96</v>
      </c>
      <c r="L13">
        <f t="shared" si="1"/>
        <v>96</v>
      </c>
      <c r="M13">
        <f t="shared" si="2"/>
        <v>19.2</v>
      </c>
      <c r="N13">
        <v>49</v>
      </c>
      <c r="O13">
        <v>50</v>
      </c>
      <c r="P13">
        <v>50</v>
      </c>
      <c r="Q13">
        <f t="shared" si="3"/>
        <v>149</v>
      </c>
      <c r="R13">
        <f t="shared" si="4"/>
        <v>99.33</v>
      </c>
      <c r="S13">
        <f t="shared" si="5"/>
        <v>49.67</v>
      </c>
      <c r="T13">
        <v>38</v>
      </c>
      <c r="U13">
        <v>37</v>
      </c>
      <c r="V13">
        <v>39</v>
      </c>
      <c r="W13">
        <f t="shared" si="6"/>
        <v>114</v>
      </c>
      <c r="X13">
        <f t="shared" si="7"/>
        <v>95</v>
      </c>
      <c r="Y13">
        <f t="shared" si="8"/>
        <v>28.5</v>
      </c>
      <c r="Z13">
        <f t="shared" ref="Z13:Z44" si="13">IF(ISERROR(IF($V13="","",ROUND(SUM($M13,$S13,$Y13),2))),"",IF($V13="","",ROUND(SUM($M13,$S13,$Y13),2)))</f>
        <v>97.37</v>
      </c>
      <c r="AA13">
        <f t="shared" ref="AA13:AA44" si="14">IF(ISERROR(IF($V13="","",VLOOKUP(Z13,NewTransmu,4,TRUE))),"",IF($V13="","",VLOOKUP(Z13,NewTransmu,4,TRUE)))</f>
        <v>98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95</v>
      </c>
      <c r="AW13">
        <f t="shared" si="11"/>
        <v>92.5</v>
      </c>
      <c r="AX13">
        <f t="shared" si="12"/>
        <v>97.5</v>
      </c>
    </row>
    <row r="14" spans="1:50" ht="15.6" x14ac:dyDescent="0.3">
      <c r="A14">
        <v>3</v>
      </c>
      <c r="B14" t="str">
        <f>INPUT!B14</f>
        <v>Andrada, Anton</v>
      </c>
      <c r="F14">
        <v>17</v>
      </c>
      <c r="G14">
        <v>16</v>
      </c>
      <c r="H14">
        <v>17</v>
      </c>
      <c r="I14">
        <v>16</v>
      </c>
      <c r="J14">
        <v>16</v>
      </c>
      <c r="K14">
        <f t="shared" si="0"/>
        <v>82</v>
      </c>
      <c r="L14">
        <f t="shared" si="1"/>
        <v>82</v>
      </c>
      <c r="M14">
        <f t="shared" si="2"/>
        <v>16.399999999999999</v>
      </c>
      <c r="N14">
        <v>41</v>
      </c>
      <c r="O14">
        <v>40</v>
      </c>
      <c r="P14">
        <v>38</v>
      </c>
      <c r="Q14">
        <f t="shared" si="3"/>
        <v>119</v>
      </c>
      <c r="R14">
        <f t="shared" si="4"/>
        <v>79.33</v>
      </c>
      <c r="S14">
        <f t="shared" si="5"/>
        <v>39.67</v>
      </c>
      <c r="T14">
        <v>29</v>
      </c>
      <c r="U14">
        <v>28</v>
      </c>
      <c r="V14">
        <v>28</v>
      </c>
      <c r="W14">
        <f t="shared" si="6"/>
        <v>85</v>
      </c>
      <c r="X14">
        <f t="shared" si="7"/>
        <v>70.83</v>
      </c>
      <c r="Y14">
        <f t="shared" si="8"/>
        <v>21.25</v>
      </c>
      <c r="Z14">
        <f t="shared" si="13"/>
        <v>77.319999999999993</v>
      </c>
      <c r="AA14">
        <f t="shared" si="14"/>
        <v>79</v>
      </c>
      <c r="AB14" t="str">
        <f t="shared" si="9"/>
        <v>Connecting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72.5</v>
      </c>
      <c r="AW14">
        <f t="shared" si="11"/>
        <v>70</v>
      </c>
      <c r="AX14">
        <f t="shared" si="12"/>
        <v>70</v>
      </c>
    </row>
    <row r="15" spans="1:50" ht="15.6" x14ac:dyDescent="0.3">
      <c r="A15">
        <v>4</v>
      </c>
      <c r="B15" t="str">
        <f>INPUT!B15</f>
        <v>Bautista, Bryan</v>
      </c>
      <c r="F15">
        <v>13</v>
      </c>
      <c r="G15">
        <v>13</v>
      </c>
      <c r="H15">
        <v>12</v>
      </c>
      <c r="I15">
        <v>15</v>
      </c>
      <c r="J15">
        <v>14</v>
      </c>
      <c r="K15">
        <f t="shared" si="0"/>
        <v>67</v>
      </c>
      <c r="L15">
        <f t="shared" si="1"/>
        <v>67</v>
      </c>
      <c r="M15">
        <f t="shared" si="2"/>
        <v>13.4</v>
      </c>
      <c r="N15">
        <v>35</v>
      </c>
      <c r="O15">
        <v>35</v>
      </c>
      <c r="P15">
        <v>38</v>
      </c>
      <c r="Q15">
        <f t="shared" si="3"/>
        <v>108</v>
      </c>
      <c r="R15">
        <f t="shared" si="4"/>
        <v>72</v>
      </c>
      <c r="S15">
        <f t="shared" si="5"/>
        <v>36</v>
      </c>
      <c r="T15">
        <v>27</v>
      </c>
      <c r="U15">
        <v>24</v>
      </c>
      <c r="V15">
        <v>22</v>
      </c>
      <c r="W15">
        <f t="shared" si="6"/>
        <v>73</v>
      </c>
      <c r="X15">
        <f t="shared" si="7"/>
        <v>60.83</v>
      </c>
      <c r="Y15">
        <f t="shared" si="8"/>
        <v>18.25</v>
      </c>
      <c r="Z15">
        <f t="shared" si="13"/>
        <v>67.650000000000006</v>
      </c>
      <c r="AA15">
        <f t="shared" si="14"/>
        <v>73</v>
      </c>
      <c r="AB15" t="str">
        <f t="shared" si="9"/>
        <v xml:space="preserve">Developing 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67.5</v>
      </c>
      <c r="AW15">
        <f t="shared" si="11"/>
        <v>60</v>
      </c>
      <c r="AX15">
        <f t="shared" si="12"/>
        <v>55.000000000000007</v>
      </c>
    </row>
    <row r="16" spans="1:50" ht="15.6" x14ac:dyDescent="0.3">
      <c r="A16">
        <v>5</v>
      </c>
      <c r="B16" t="str">
        <f>INPUT!B16</f>
        <v>Bernardo, Caleb</v>
      </c>
      <c r="F16">
        <v>19</v>
      </c>
      <c r="G16">
        <v>19</v>
      </c>
      <c r="H16">
        <v>18</v>
      </c>
      <c r="I16">
        <v>17</v>
      </c>
      <c r="J16">
        <v>17</v>
      </c>
      <c r="K16">
        <f t="shared" si="0"/>
        <v>90</v>
      </c>
      <c r="L16">
        <f t="shared" si="1"/>
        <v>90</v>
      </c>
      <c r="M16">
        <f t="shared" si="2"/>
        <v>18</v>
      </c>
      <c r="N16">
        <v>45</v>
      </c>
      <c r="O16">
        <v>44</v>
      </c>
      <c r="P16">
        <v>48</v>
      </c>
      <c r="Q16">
        <f t="shared" si="3"/>
        <v>137</v>
      </c>
      <c r="R16">
        <f t="shared" si="4"/>
        <v>91.33</v>
      </c>
      <c r="S16">
        <f t="shared" si="5"/>
        <v>45.67</v>
      </c>
      <c r="T16">
        <v>36</v>
      </c>
      <c r="U16">
        <v>34</v>
      </c>
      <c r="V16">
        <v>35</v>
      </c>
      <c r="W16">
        <f t="shared" si="6"/>
        <v>105</v>
      </c>
      <c r="X16">
        <f t="shared" si="7"/>
        <v>87.5</v>
      </c>
      <c r="Y16">
        <f t="shared" si="8"/>
        <v>26.25</v>
      </c>
      <c r="Z16">
        <f t="shared" si="13"/>
        <v>89.92</v>
      </c>
      <c r="AA16">
        <f t="shared" si="14"/>
        <v>91</v>
      </c>
      <c r="AB16" t="str">
        <f t="shared" si="9"/>
        <v>Advancing</v>
      </c>
      <c r="AV16">
        <f t="shared" si="10"/>
        <v>90</v>
      </c>
      <c r="AW16">
        <f t="shared" si="11"/>
        <v>85</v>
      </c>
      <c r="AX16">
        <f t="shared" si="12"/>
        <v>87.5</v>
      </c>
    </row>
    <row r="17" spans="1:50" ht="15.6" x14ac:dyDescent="0.3">
      <c r="A17">
        <v>6</v>
      </c>
      <c r="B17" t="str">
        <f>INPUT!B17</f>
        <v>Castillo, Carlo</v>
      </c>
      <c r="F17">
        <v>16</v>
      </c>
      <c r="G17">
        <v>16</v>
      </c>
      <c r="H17">
        <v>18</v>
      </c>
      <c r="I17">
        <v>18</v>
      </c>
      <c r="J17">
        <v>16</v>
      </c>
      <c r="K17">
        <f t="shared" si="0"/>
        <v>84</v>
      </c>
      <c r="L17">
        <f t="shared" si="1"/>
        <v>84</v>
      </c>
      <c r="M17">
        <f t="shared" si="2"/>
        <v>16.8</v>
      </c>
      <c r="N17">
        <v>45</v>
      </c>
      <c r="O17">
        <v>46</v>
      </c>
      <c r="P17">
        <v>43</v>
      </c>
      <c r="Q17">
        <f t="shared" si="3"/>
        <v>134</v>
      </c>
      <c r="R17">
        <f t="shared" si="4"/>
        <v>89.33</v>
      </c>
      <c r="S17">
        <f t="shared" si="5"/>
        <v>44.67</v>
      </c>
      <c r="T17">
        <v>30</v>
      </c>
      <c r="U17">
        <v>35</v>
      </c>
      <c r="V17">
        <v>32</v>
      </c>
      <c r="W17">
        <f t="shared" si="6"/>
        <v>97</v>
      </c>
      <c r="X17">
        <f t="shared" si="7"/>
        <v>80.83</v>
      </c>
      <c r="Y17">
        <f t="shared" si="8"/>
        <v>24.25</v>
      </c>
      <c r="Z17">
        <f t="shared" si="13"/>
        <v>85.72</v>
      </c>
      <c r="AA17">
        <f t="shared" si="14"/>
        <v>87</v>
      </c>
      <c r="AB17" t="str">
        <f t="shared" si="9"/>
        <v>Benchmarking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75</v>
      </c>
      <c r="AW17">
        <f t="shared" si="11"/>
        <v>87.5</v>
      </c>
      <c r="AX17">
        <f t="shared" si="12"/>
        <v>80</v>
      </c>
    </row>
    <row r="18" spans="1:50" ht="15.6" x14ac:dyDescent="0.3">
      <c r="A18">
        <v>7</v>
      </c>
      <c r="B18" t="str">
        <f>INPUT!B18</f>
        <v>Cruz, Christian</v>
      </c>
      <c r="F18">
        <v>17</v>
      </c>
      <c r="G18">
        <v>18</v>
      </c>
      <c r="H18">
        <v>17</v>
      </c>
      <c r="I18">
        <v>16</v>
      </c>
      <c r="J18">
        <v>16</v>
      </c>
      <c r="K18">
        <f t="shared" si="0"/>
        <v>84</v>
      </c>
      <c r="L18">
        <f t="shared" si="1"/>
        <v>84</v>
      </c>
      <c r="M18">
        <f t="shared" si="2"/>
        <v>16.8</v>
      </c>
      <c r="N18">
        <v>45</v>
      </c>
      <c r="O18">
        <v>45</v>
      </c>
      <c r="P18">
        <v>42</v>
      </c>
      <c r="Q18">
        <f t="shared" si="3"/>
        <v>132</v>
      </c>
      <c r="R18">
        <f t="shared" si="4"/>
        <v>88</v>
      </c>
      <c r="S18">
        <f t="shared" si="5"/>
        <v>44</v>
      </c>
      <c r="T18">
        <v>34</v>
      </c>
      <c r="U18">
        <v>34</v>
      </c>
      <c r="V18">
        <v>33</v>
      </c>
      <c r="W18">
        <f t="shared" si="6"/>
        <v>101</v>
      </c>
      <c r="X18">
        <f t="shared" si="7"/>
        <v>84.17</v>
      </c>
      <c r="Y18">
        <f t="shared" si="8"/>
        <v>25.25</v>
      </c>
      <c r="Z18">
        <f t="shared" si="13"/>
        <v>86.05</v>
      </c>
      <c r="AA18">
        <f t="shared" si="14"/>
        <v>88</v>
      </c>
      <c r="AB18" t="str">
        <f t="shared" si="9"/>
        <v>Benchmarking</v>
      </c>
      <c r="AD18" t="s">
        <v>139</v>
      </c>
      <c r="AE18">
        <f>COUNTIF(AV12:AV112,"&gt;=75")</f>
        <v>68</v>
      </c>
      <c r="AF18">
        <f>COUNTIF(AW12:AW112,"&gt;=75")</f>
        <v>67</v>
      </c>
      <c r="AG18">
        <f>COUNTIF(AX12:AX112,"&gt;=75")</f>
        <v>67</v>
      </c>
      <c r="AV18">
        <f t="shared" si="10"/>
        <v>85</v>
      </c>
      <c r="AW18">
        <f t="shared" si="11"/>
        <v>85</v>
      </c>
      <c r="AX18">
        <f t="shared" si="12"/>
        <v>82.5</v>
      </c>
    </row>
    <row r="19" spans="1:50" ht="15.6" x14ac:dyDescent="0.3">
      <c r="A19">
        <v>8</v>
      </c>
      <c r="B19" t="str">
        <f>INPUT!B19</f>
        <v>Dela Cruz, Daniel</v>
      </c>
      <c r="F19">
        <v>18</v>
      </c>
      <c r="G19">
        <v>18</v>
      </c>
      <c r="H19">
        <v>19</v>
      </c>
      <c r="I19">
        <v>18</v>
      </c>
      <c r="J19">
        <v>20</v>
      </c>
      <c r="K19">
        <f t="shared" si="0"/>
        <v>93</v>
      </c>
      <c r="L19">
        <f t="shared" si="1"/>
        <v>93</v>
      </c>
      <c r="M19">
        <f t="shared" si="2"/>
        <v>18.600000000000001</v>
      </c>
      <c r="N19">
        <v>47</v>
      </c>
      <c r="O19">
        <v>50</v>
      </c>
      <c r="P19">
        <v>48</v>
      </c>
      <c r="Q19">
        <f t="shared" si="3"/>
        <v>145</v>
      </c>
      <c r="R19">
        <f t="shared" si="4"/>
        <v>96.67</v>
      </c>
      <c r="S19">
        <f t="shared" si="5"/>
        <v>48.34</v>
      </c>
      <c r="T19">
        <v>37</v>
      </c>
      <c r="U19">
        <v>35</v>
      </c>
      <c r="V19">
        <v>34</v>
      </c>
      <c r="W19">
        <f t="shared" si="6"/>
        <v>106</v>
      </c>
      <c r="X19">
        <f t="shared" si="7"/>
        <v>88.33</v>
      </c>
      <c r="Y19">
        <f t="shared" si="8"/>
        <v>26.5</v>
      </c>
      <c r="Z19">
        <f t="shared" si="13"/>
        <v>93.44</v>
      </c>
      <c r="AA19">
        <f t="shared" si="14"/>
        <v>95</v>
      </c>
      <c r="AB19" t="str">
        <f t="shared" si="9"/>
        <v>Advancing</v>
      </c>
      <c r="AD19" t="s">
        <v>140</v>
      </c>
      <c r="AE19">
        <f>IFERROR(AE18/AE14,"")</f>
        <v>0.68</v>
      </c>
      <c r="AF19">
        <f>IFERROR(AF18/AF14,"")</f>
        <v>0.67</v>
      </c>
      <c r="AG19">
        <f>IFERROR(AG18/AG14,"")</f>
        <v>0.67</v>
      </c>
      <c r="AV19">
        <f t="shared" si="10"/>
        <v>92.5</v>
      </c>
      <c r="AW19">
        <f t="shared" si="11"/>
        <v>87.5</v>
      </c>
      <c r="AX19">
        <f t="shared" si="12"/>
        <v>85</v>
      </c>
    </row>
    <row r="20" spans="1:50" ht="15.6" x14ac:dyDescent="0.3">
      <c r="A20">
        <v>9</v>
      </c>
      <c r="B20" t="str">
        <f>INPUT!B20</f>
        <v>Diaz, Darren</v>
      </c>
      <c r="F20">
        <v>16</v>
      </c>
      <c r="G20">
        <v>17</v>
      </c>
      <c r="H20">
        <v>15</v>
      </c>
      <c r="I20">
        <v>15</v>
      </c>
      <c r="J20">
        <v>16</v>
      </c>
      <c r="K20">
        <f t="shared" si="0"/>
        <v>79</v>
      </c>
      <c r="L20">
        <f t="shared" si="1"/>
        <v>79</v>
      </c>
      <c r="M20">
        <f t="shared" si="2"/>
        <v>15.8</v>
      </c>
      <c r="N20">
        <v>42</v>
      </c>
      <c r="O20">
        <v>43</v>
      </c>
      <c r="P20">
        <v>45</v>
      </c>
      <c r="Q20">
        <f t="shared" si="3"/>
        <v>130</v>
      </c>
      <c r="R20">
        <f t="shared" si="4"/>
        <v>86.67</v>
      </c>
      <c r="S20">
        <f t="shared" si="5"/>
        <v>43.34</v>
      </c>
      <c r="T20">
        <v>29</v>
      </c>
      <c r="U20">
        <v>29</v>
      </c>
      <c r="V20">
        <v>30</v>
      </c>
      <c r="W20">
        <f t="shared" si="6"/>
        <v>88</v>
      </c>
      <c r="X20">
        <f t="shared" si="7"/>
        <v>73.33</v>
      </c>
      <c r="Y20">
        <f t="shared" si="8"/>
        <v>22</v>
      </c>
      <c r="Z20">
        <f t="shared" si="13"/>
        <v>81.14</v>
      </c>
      <c r="AA20">
        <f t="shared" si="14"/>
        <v>83</v>
      </c>
      <c r="AB20" t="str">
        <f t="shared" si="9"/>
        <v>Benchmarking</v>
      </c>
      <c r="AD20" t="s">
        <v>141</v>
      </c>
      <c r="AE20">
        <f>AE14-AE18</f>
        <v>32</v>
      </c>
      <c r="AF20">
        <f>AF14-AF18</f>
        <v>33</v>
      </c>
      <c r="AG20">
        <f>AG14-AG18</f>
        <v>33</v>
      </c>
      <c r="AV20">
        <f t="shared" si="10"/>
        <v>72.5</v>
      </c>
      <c r="AW20">
        <f t="shared" si="11"/>
        <v>72.5</v>
      </c>
      <c r="AX20">
        <f t="shared" si="12"/>
        <v>75</v>
      </c>
    </row>
    <row r="21" spans="1:50" ht="15.6" x14ac:dyDescent="0.3">
      <c r="A21">
        <v>10</v>
      </c>
      <c r="B21" t="str">
        <f>INPUT!B21</f>
        <v>Evangelista, Diego</v>
      </c>
      <c r="F21">
        <v>16</v>
      </c>
      <c r="G21">
        <v>17</v>
      </c>
      <c r="H21">
        <v>17</v>
      </c>
      <c r="I21">
        <v>16</v>
      </c>
      <c r="J21">
        <v>17</v>
      </c>
      <c r="K21">
        <f t="shared" si="0"/>
        <v>83</v>
      </c>
      <c r="L21">
        <f t="shared" si="1"/>
        <v>83</v>
      </c>
      <c r="M21">
        <f t="shared" si="2"/>
        <v>16.600000000000001</v>
      </c>
      <c r="N21">
        <v>38</v>
      </c>
      <c r="O21">
        <v>39</v>
      </c>
      <c r="P21">
        <v>43</v>
      </c>
      <c r="Q21">
        <f t="shared" si="3"/>
        <v>120</v>
      </c>
      <c r="R21">
        <f t="shared" si="4"/>
        <v>80</v>
      </c>
      <c r="S21">
        <f t="shared" si="5"/>
        <v>40</v>
      </c>
      <c r="T21">
        <v>32</v>
      </c>
      <c r="U21">
        <v>29</v>
      </c>
      <c r="V21">
        <v>29</v>
      </c>
      <c r="W21">
        <f t="shared" si="6"/>
        <v>90</v>
      </c>
      <c r="X21">
        <f t="shared" si="7"/>
        <v>75</v>
      </c>
      <c r="Y21">
        <f t="shared" si="8"/>
        <v>22.5</v>
      </c>
      <c r="Z21">
        <f t="shared" si="13"/>
        <v>79.099999999999994</v>
      </c>
      <c r="AA21">
        <f t="shared" si="14"/>
        <v>81</v>
      </c>
      <c r="AB21" t="str">
        <f t="shared" si="9"/>
        <v>Benchmarking</v>
      </c>
      <c r="AD21" t="s">
        <v>140</v>
      </c>
      <c r="AE21">
        <f>IFERROR(1-AE19,"")</f>
        <v>0.31999999999999995</v>
      </c>
      <c r="AF21">
        <f>IFERROR(1-AF19,"")</f>
        <v>0.32999999999999996</v>
      </c>
      <c r="AG21">
        <f>IFERROR(1-AG19,"")</f>
        <v>0.32999999999999996</v>
      </c>
      <c r="AV21">
        <f t="shared" si="10"/>
        <v>80</v>
      </c>
      <c r="AW21">
        <f t="shared" si="11"/>
        <v>72.5</v>
      </c>
      <c r="AX21">
        <f t="shared" si="12"/>
        <v>72.5</v>
      </c>
    </row>
    <row r="22" spans="1:50" ht="15.6" x14ac:dyDescent="0.3">
      <c r="A22">
        <v>11</v>
      </c>
      <c r="B22" t="str">
        <f>INPUT!B22</f>
        <v>Fernandez, Ethan</v>
      </c>
      <c r="F22">
        <v>14</v>
      </c>
      <c r="G22">
        <v>13</v>
      </c>
      <c r="H22">
        <v>14</v>
      </c>
      <c r="I22">
        <v>13</v>
      </c>
      <c r="J22">
        <v>15</v>
      </c>
      <c r="K22">
        <f t="shared" si="0"/>
        <v>69</v>
      </c>
      <c r="L22">
        <f t="shared" si="1"/>
        <v>69</v>
      </c>
      <c r="M22">
        <f t="shared" si="2"/>
        <v>13.8</v>
      </c>
      <c r="N22">
        <v>35</v>
      </c>
      <c r="O22">
        <v>34</v>
      </c>
      <c r="P22">
        <v>35</v>
      </c>
      <c r="Q22">
        <f t="shared" si="3"/>
        <v>104</v>
      </c>
      <c r="R22">
        <f t="shared" si="4"/>
        <v>69.33</v>
      </c>
      <c r="S22">
        <f t="shared" si="5"/>
        <v>34.67</v>
      </c>
      <c r="T22">
        <v>27</v>
      </c>
      <c r="U22">
        <v>25</v>
      </c>
      <c r="V22">
        <v>26</v>
      </c>
      <c r="W22">
        <f t="shared" si="6"/>
        <v>78</v>
      </c>
      <c r="X22">
        <f t="shared" si="7"/>
        <v>65</v>
      </c>
      <c r="Y22">
        <f t="shared" si="8"/>
        <v>19.5</v>
      </c>
      <c r="Z22">
        <f t="shared" si="13"/>
        <v>67.97</v>
      </c>
      <c r="AA22">
        <f t="shared" si="14"/>
        <v>73</v>
      </c>
      <c r="AB22" t="str">
        <f t="shared" si="9"/>
        <v xml:space="preserve">Developing </v>
      </c>
      <c r="AV22">
        <f t="shared" si="10"/>
        <v>67.5</v>
      </c>
      <c r="AW22">
        <f t="shared" si="11"/>
        <v>62.5</v>
      </c>
      <c r="AX22">
        <f t="shared" si="12"/>
        <v>65</v>
      </c>
    </row>
    <row r="23" spans="1:50" ht="15.6" x14ac:dyDescent="0.3">
      <c r="A23">
        <v>12</v>
      </c>
      <c r="B23" t="str">
        <f>INPUT!B23</f>
        <v>Garcia, Gabriel</v>
      </c>
      <c r="F23">
        <v>14</v>
      </c>
      <c r="G23">
        <v>15</v>
      </c>
      <c r="H23">
        <v>14</v>
      </c>
      <c r="I23">
        <v>14</v>
      </c>
      <c r="J23">
        <v>13</v>
      </c>
      <c r="K23">
        <f t="shared" si="0"/>
        <v>70</v>
      </c>
      <c r="L23">
        <f t="shared" si="1"/>
        <v>70</v>
      </c>
      <c r="M23">
        <f t="shared" si="2"/>
        <v>14</v>
      </c>
      <c r="N23">
        <v>36</v>
      </c>
      <c r="O23">
        <v>33</v>
      </c>
      <c r="P23">
        <v>36</v>
      </c>
      <c r="Q23">
        <f t="shared" si="3"/>
        <v>105</v>
      </c>
      <c r="R23">
        <f t="shared" si="4"/>
        <v>70</v>
      </c>
      <c r="S23">
        <f t="shared" si="5"/>
        <v>35</v>
      </c>
      <c r="T23">
        <v>25</v>
      </c>
      <c r="U23">
        <v>27</v>
      </c>
      <c r="V23">
        <v>27</v>
      </c>
      <c r="W23">
        <f t="shared" si="6"/>
        <v>79</v>
      </c>
      <c r="X23">
        <f t="shared" si="7"/>
        <v>65.83</v>
      </c>
      <c r="Y23">
        <f t="shared" si="8"/>
        <v>19.75</v>
      </c>
      <c r="Z23">
        <f t="shared" si="13"/>
        <v>68.75</v>
      </c>
      <c r="AA23">
        <f t="shared" si="14"/>
        <v>74</v>
      </c>
      <c r="AB23" t="str">
        <f t="shared" si="9"/>
        <v xml:space="preserve">Developing 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62.5</v>
      </c>
      <c r="AW23">
        <f t="shared" si="11"/>
        <v>67.5</v>
      </c>
      <c r="AX23">
        <f t="shared" si="12"/>
        <v>67.5</v>
      </c>
    </row>
    <row r="24" spans="1:50" ht="15.6" x14ac:dyDescent="0.3">
      <c r="A24">
        <v>13</v>
      </c>
      <c r="B24" t="str">
        <f>INPUT!B24</f>
        <v>Gonzales, Harold</v>
      </c>
      <c r="F24">
        <v>18</v>
      </c>
      <c r="G24">
        <v>19</v>
      </c>
      <c r="H24">
        <v>19</v>
      </c>
      <c r="I24">
        <v>18</v>
      </c>
      <c r="J24">
        <v>18</v>
      </c>
      <c r="K24">
        <f t="shared" si="0"/>
        <v>92</v>
      </c>
      <c r="L24">
        <f t="shared" si="1"/>
        <v>92</v>
      </c>
      <c r="M24">
        <f t="shared" si="2"/>
        <v>18.399999999999999</v>
      </c>
      <c r="N24">
        <v>44</v>
      </c>
      <c r="O24">
        <v>48</v>
      </c>
      <c r="P24">
        <v>47</v>
      </c>
      <c r="Q24">
        <f t="shared" si="3"/>
        <v>139</v>
      </c>
      <c r="R24">
        <f t="shared" si="4"/>
        <v>92.67</v>
      </c>
      <c r="S24">
        <f t="shared" si="5"/>
        <v>46.34</v>
      </c>
      <c r="T24">
        <v>34</v>
      </c>
      <c r="U24">
        <v>37</v>
      </c>
      <c r="V24">
        <v>32</v>
      </c>
      <c r="W24">
        <f t="shared" si="6"/>
        <v>103</v>
      </c>
      <c r="X24">
        <f t="shared" si="7"/>
        <v>85.83</v>
      </c>
      <c r="Y24">
        <f t="shared" si="8"/>
        <v>25.75</v>
      </c>
      <c r="Z24">
        <f t="shared" si="13"/>
        <v>90.49</v>
      </c>
      <c r="AA24">
        <f t="shared" si="14"/>
        <v>92</v>
      </c>
      <c r="AB24" t="str">
        <f t="shared" si="9"/>
        <v>Advancing</v>
      </c>
      <c r="AD24" t="s">
        <v>143</v>
      </c>
      <c r="AE24">
        <f>IFERROR(AVERAGE(T12:T112),"")</f>
        <v>30.44</v>
      </c>
      <c r="AF24">
        <f>IFERROR(AVERAGE(U12:U112),"")</f>
        <v>30.37</v>
      </c>
      <c r="AG24">
        <f>IFERROR(AVERAGE(V12:V112),"")</f>
        <v>30.44</v>
      </c>
      <c r="AV24">
        <f t="shared" si="10"/>
        <v>85</v>
      </c>
      <c r="AW24">
        <f t="shared" si="11"/>
        <v>92.5</v>
      </c>
      <c r="AX24">
        <f t="shared" si="12"/>
        <v>80</v>
      </c>
    </row>
    <row r="25" spans="1:50" ht="15.6" x14ac:dyDescent="0.3">
      <c r="A25">
        <v>14</v>
      </c>
      <c r="B25" t="str">
        <f>INPUT!B25</f>
        <v>Hernandez, Ivan</v>
      </c>
      <c r="F25">
        <v>18</v>
      </c>
      <c r="G25">
        <v>16</v>
      </c>
      <c r="H25">
        <v>17</v>
      </c>
      <c r="I25">
        <v>17</v>
      </c>
      <c r="J25">
        <v>17</v>
      </c>
      <c r="K25">
        <f t="shared" si="0"/>
        <v>85</v>
      </c>
      <c r="L25">
        <f t="shared" si="1"/>
        <v>85</v>
      </c>
      <c r="M25">
        <f t="shared" si="2"/>
        <v>17</v>
      </c>
      <c r="N25">
        <v>44</v>
      </c>
      <c r="O25">
        <v>45</v>
      </c>
      <c r="P25">
        <v>41</v>
      </c>
      <c r="Q25">
        <f t="shared" si="3"/>
        <v>130</v>
      </c>
      <c r="R25">
        <f t="shared" si="4"/>
        <v>86.67</v>
      </c>
      <c r="S25">
        <f t="shared" si="5"/>
        <v>43.34</v>
      </c>
      <c r="T25">
        <v>29</v>
      </c>
      <c r="U25">
        <v>33</v>
      </c>
      <c r="V25">
        <v>30</v>
      </c>
      <c r="W25">
        <f t="shared" si="6"/>
        <v>92</v>
      </c>
      <c r="X25">
        <f t="shared" si="7"/>
        <v>76.67</v>
      </c>
      <c r="Y25">
        <f t="shared" si="8"/>
        <v>23</v>
      </c>
      <c r="Z25">
        <f t="shared" si="13"/>
        <v>83.34</v>
      </c>
      <c r="AA25">
        <f t="shared" si="14"/>
        <v>85</v>
      </c>
      <c r="AB25" t="str">
        <f t="shared" si="9"/>
        <v>Benchmarking</v>
      </c>
      <c r="AD25" t="s">
        <v>144</v>
      </c>
      <c r="AE25">
        <f>IFERROR(MEDIAN(T12:T112),"")</f>
        <v>31</v>
      </c>
      <c r="AF25">
        <f>IFERROR(MEDIAN(U12:U112),"")</f>
        <v>31</v>
      </c>
      <c r="AG25">
        <f>IFERROR(MEDIAN(V12:V112),"")</f>
        <v>32</v>
      </c>
      <c r="AV25">
        <f t="shared" si="10"/>
        <v>72.5</v>
      </c>
      <c r="AW25">
        <f t="shared" si="11"/>
        <v>82.5</v>
      </c>
      <c r="AX25">
        <f t="shared" si="12"/>
        <v>75</v>
      </c>
    </row>
    <row r="26" spans="1:50" ht="15.6" x14ac:dyDescent="0.3">
      <c r="A26">
        <v>15</v>
      </c>
      <c r="B26" t="str">
        <f>INPUT!B26</f>
        <v>Ilagan, Jacob</v>
      </c>
      <c r="F26">
        <v>9</v>
      </c>
      <c r="G26">
        <v>9</v>
      </c>
      <c r="H26">
        <v>10</v>
      </c>
      <c r="I26">
        <v>10</v>
      </c>
      <c r="J26">
        <v>8</v>
      </c>
      <c r="K26">
        <f t="shared" si="0"/>
        <v>46</v>
      </c>
      <c r="L26">
        <f t="shared" si="1"/>
        <v>46</v>
      </c>
      <c r="M26">
        <f t="shared" si="2"/>
        <v>9.1999999999999993</v>
      </c>
      <c r="N26">
        <v>23</v>
      </c>
      <c r="O26">
        <v>24</v>
      </c>
      <c r="P26">
        <v>21</v>
      </c>
      <c r="Q26">
        <f t="shared" si="3"/>
        <v>68</v>
      </c>
      <c r="R26">
        <f t="shared" si="4"/>
        <v>45.33</v>
      </c>
      <c r="S26">
        <f t="shared" si="5"/>
        <v>22.67</v>
      </c>
      <c r="T26">
        <v>18</v>
      </c>
      <c r="U26">
        <v>17</v>
      </c>
      <c r="V26">
        <v>17</v>
      </c>
      <c r="W26">
        <f t="shared" si="6"/>
        <v>52</v>
      </c>
      <c r="X26">
        <f t="shared" si="7"/>
        <v>43.33</v>
      </c>
      <c r="Y26">
        <f t="shared" si="8"/>
        <v>13</v>
      </c>
      <c r="Z26">
        <f t="shared" si="13"/>
        <v>44.87</v>
      </c>
      <c r="AA26">
        <f t="shared" si="14"/>
        <v>62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45</v>
      </c>
      <c r="AW26">
        <f t="shared" si="11"/>
        <v>42.5</v>
      </c>
      <c r="AX26">
        <f t="shared" si="12"/>
        <v>42.5</v>
      </c>
    </row>
    <row r="27" spans="1:50" ht="15.6" x14ac:dyDescent="0.3">
      <c r="A27">
        <v>16</v>
      </c>
      <c r="B27" t="str">
        <f>INPUT!B27</f>
        <v>Jimenez, James</v>
      </c>
      <c r="F27">
        <v>16</v>
      </c>
      <c r="G27">
        <v>17</v>
      </c>
      <c r="H27">
        <v>16</v>
      </c>
      <c r="I27">
        <v>16</v>
      </c>
      <c r="J27">
        <v>18</v>
      </c>
      <c r="K27">
        <f t="shared" si="0"/>
        <v>83</v>
      </c>
      <c r="L27">
        <f t="shared" si="1"/>
        <v>83</v>
      </c>
      <c r="M27">
        <f t="shared" si="2"/>
        <v>16.600000000000001</v>
      </c>
      <c r="N27">
        <v>42</v>
      </c>
      <c r="O27">
        <v>43</v>
      </c>
      <c r="P27">
        <v>47</v>
      </c>
      <c r="Q27">
        <f t="shared" si="3"/>
        <v>132</v>
      </c>
      <c r="R27">
        <f t="shared" si="4"/>
        <v>88</v>
      </c>
      <c r="S27">
        <f t="shared" si="5"/>
        <v>44</v>
      </c>
      <c r="T27">
        <v>34</v>
      </c>
      <c r="U27">
        <v>31</v>
      </c>
      <c r="V27">
        <v>35</v>
      </c>
      <c r="W27">
        <f t="shared" si="6"/>
        <v>100</v>
      </c>
      <c r="X27">
        <f t="shared" si="7"/>
        <v>83.33</v>
      </c>
      <c r="Y27">
        <f t="shared" si="8"/>
        <v>25</v>
      </c>
      <c r="Z27">
        <f t="shared" si="13"/>
        <v>85.6</v>
      </c>
      <c r="AA27">
        <f t="shared" si="14"/>
        <v>87</v>
      </c>
      <c r="AB27" t="str">
        <f t="shared" si="9"/>
        <v>Benchmarking</v>
      </c>
      <c r="AD27" t="s">
        <v>146</v>
      </c>
      <c r="AE27">
        <f>IFERROR(AE24/AE15,"")</f>
        <v>0.76100000000000001</v>
      </c>
      <c r="AF27">
        <f>IFERROR(AF24/AF15,"")</f>
        <v>0.75924999999999998</v>
      </c>
      <c r="AG27">
        <f>IFERROR(AG24/AG15,"")</f>
        <v>0.76100000000000001</v>
      </c>
      <c r="AV27">
        <f t="shared" si="10"/>
        <v>85</v>
      </c>
      <c r="AW27">
        <f t="shared" si="11"/>
        <v>77.5</v>
      </c>
      <c r="AX27">
        <f t="shared" si="12"/>
        <v>87.5</v>
      </c>
    </row>
    <row r="28" spans="1:50" ht="15.6" x14ac:dyDescent="0.3">
      <c r="A28">
        <v>17</v>
      </c>
      <c r="B28" t="str">
        <f>INPUT!B28</f>
        <v>Lacson, Jared</v>
      </c>
      <c r="F28">
        <v>18</v>
      </c>
      <c r="G28">
        <v>17</v>
      </c>
      <c r="H28">
        <v>18</v>
      </c>
      <c r="I28">
        <v>16</v>
      </c>
      <c r="J28">
        <v>18</v>
      </c>
      <c r="K28">
        <f t="shared" si="0"/>
        <v>87</v>
      </c>
      <c r="L28">
        <f t="shared" si="1"/>
        <v>87</v>
      </c>
      <c r="M28">
        <f t="shared" si="2"/>
        <v>17.399999999999999</v>
      </c>
      <c r="N28">
        <v>44</v>
      </c>
      <c r="O28">
        <v>46</v>
      </c>
      <c r="P28">
        <v>46</v>
      </c>
      <c r="Q28">
        <f t="shared" si="3"/>
        <v>136</v>
      </c>
      <c r="R28">
        <f t="shared" si="4"/>
        <v>90.67</v>
      </c>
      <c r="S28">
        <f t="shared" si="5"/>
        <v>45.34</v>
      </c>
      <c r="T28">
        <v>32</v>
      </c>
      <c r="U28">
        <v>36</v>
      </c>
      <c r="V28">
        <v>32</v>
      </c>
      <c r="W28">
        <f t="shared" si="6"/>
        <v>100</v>
      </c>
      <c r="X28">
        <f t="shared" si="7"/>
        <v>83.33</v>
      </c>
      <c r="Y28">
        <f t="shared" si="8"/>
        <v>25</v>
      </c>
      <c r="Z28">
        <f t="shared" si="13"/>
        <v>87.74</v>
      </c>
      <c r="AA28">
        <f t="shared" si="14"/>
        <v>89</v>
      </c>
      <c r="AB28" t="str">
        <f t="shared" si="9"/>
        <v>Benchmarking</v>
      </c>
      <c r="AV28">
        <f t="shared" si="10"/>
        <v>80</v>
      </c>
      <c r="AW28">
        <f t="shared" si="11"/>
        <v>90</v>
      </c>
      <c r="AX28">
        <f t="shared" si="12"/>
        <v>80</v>
      </c>
    </row>
    <row r="29" spans="1:50" ht="15.6" x14ac:dyDescent="0.3">
      <c r="A29">
        <v>18</v>
      </c>
      <c r="B29" t="str">
        <f>INPUT!B29</f>
        <v>Lim, Jericho</v>
      </c>
      <c r="F29">
        <v>18</v>
      </c>
      <c r="G29">
        <v>19</v>
      </c>
      <c r="H29">
        <v>18</v>
      </c>
      <c r="I29">
        <v>18</v>
      </c>
      <c r="J29">
        <v>18</v>
      </c>
      <c r="K29">
        <f t="shared" si="0"/>
        <v>91</v>
      </c>
      <c r="L29">
        <f t="shared" si="1"/>
        <v>91</v>
      </c>
      <c r="M29">
        <f t="shared" si="2"/>
        <v>18.2</v>
      </c>
      <c r="N29">
        <v>44</v>
      </c>
      <c r="O29">
        <v>47</v>
      </c>
      <c r="P29">
        <v>45</v>
      </c>
      <c r="Q29">
        <f t="shared" si="3"/>
        <v>136</v>
      </c>
      <c r="R29">
        <f t="shared" si="4"/>
        <v>90.67</v>
      </c>
      <c r="S29">
        <f t="shared" si="5"/>
        <v>45.34</v>
      </c>
      <c r="T29">
        <v>34</v>
      </c>
      <c r="U29">
        <v>33</v>
      </c>
      <c r="V29">
        <v>34</v>
      </c>
      <c r="W29">
        <f t="shared" si="6"/>
        <v>101</v>
      </c>
      <c r="X29">
        <f t="shared" si="7"/>
        <v>84.17</v>
      </c>
      <c r="Y29">
        <f t="shared" si="8"/>
        <v>25.25</v>
      </c>
      <c r="Z29">
        <f t="shared" si="13"/>
        <v>88.79</v>
      </c>
      <c r="AA29">
        <f t="shared" si="14"/>
        <v>90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85</v>
      </c>
      <c r="AW29">
        <f t="shared" si="11"/>
        <v>82.5</v>
      </c>
      <c r="AX29">
        <f t="shared" si="12"/>
        <v>85</v>
      </c>
    </row>
    <row r="30" spans="1:50" ht="15.6" x14ac:dyDescent="0.3">
      <c r="A30">
        <v>19</v>
      </c>
      <c r="B30" t="str">
        <f>INPUT!B30</f>
        <v>Manalo, Joaquin</v>
      </c>
      <c r="F30">
        <v>16</v>
      </c>
      <c r="G30">
        <v>16</v>
      </c>
      <c r="H30">
        <v>17</v>
      </c>
      <c r="I30">
        <v>17</v>
      </c>
      <c r="J30">
        <v>15</v>
      </c>
      <c r="K30">
        <f t="shared" si="0"/>
        <v>81</v>
      </c>
      <c r="L30">
        <f t="shared" si="1"/>
        <v>81</v>
      </c>
      <c r="M30">
        <f t="shared" si="2"/>
        <v>16.2</v>
      </c>
      <c r="N30">
        <v>40</v>
      </c>
      <c r="O30">
        <v>42</v>
      </c>
      <c r="P30">
        <v>45</v>
      </c>
      <c r="Q30">
        <f t="shared" si="3"/>
        <v>127</v>
      </c>
      <c r="R30">
        <f t="shared" si="4"/>
        <v>84.67</v>
      </c>
      <c r="S30">
        <f t="shared" si="5"/>
        <v>42.34</v>
      </c>
      <c r="T30">
        <v>29</v>
      </c>
      <c r="U30">
        <v>31</v>
      </c>
      <c r="V30">
        <v>30</v>
      </c>
      <c r="W30">
        <f t="shared" si="6"/>
        <v>90</v>
      </c>
      <c r="X30">
        <f t="shared" si="7"/>
        <v>75</v>
      </c>
      <c r="Y30">
        <f t="shared" si="8"/>
        <v>22.5</v>
      </c>
      <c r="Z30">
        <f t="shared" si="13"/>
        <v>81.040000000000006</v>
      </c>
      <c r="AA30">
        <f t="shared" si="14"/>
        <v>83</v>
      </c>
      <c r="AB30" t="str">
        <f t="shared" si="9"/>
        <v>Benchmarking</v>
      </c>
      <c r="AD30" t="s">
        <v>148</v>
      </c>
      <c r="AE30">
        <f>IF(COUNTA(T12:T112)=0,"",MAX(T12:T112))</f>
        <v>39</v>
      </c>
      <c r="AF30">
        <f>IF(COUNTA(U12:U112)=0,"",MAX(U12:U112))</f>
        <v>39</v>
      </c>
      <c r="AG30">
        <f>IF(COUNTA(V12:V112)=0,"",MAX(V12:V112))</f>
        <v>39</v>
      </c>
      <c r="AV30">
        <f t="shared" si="10"/>
        <v>72.5</v>
      </c>
      <c r="AW30">
        <f t="shared" si="11"/>
        <v>77.5</v>
      </c>
      <c r="AX30">
        <f t="shared" si="12"/>
        <v>75</v>
      </c>
    </row>
    <row r="31" spans="1:50" ht="15.6" x14ac:dyDescent="0.3">
      <c r="A31">
        <v>20</v>
      </c>
      <c r="B31" t="str">
        <f>INPUT!B31</f>
        <v>Mendoza, Joshua</v>
      </c>
      <c r="F31">
        <v>15</v>
      </c>
      <c r="G31">
        <v>15</v>
      </c>
      <c r="H31">
        <v>15</v>
      </c>
      <c r="I31">
        <v>16</v>
      </c>
      <c r="J31">
        <v>17</v>
      </c>
      <c r="K31">
        <f t="shared" si="0"/>
        <v>78</v>
      </c>
      <c r="L31">
        <f t="shared" si="1"/>
        <v>78</v>
      </c>
      <c r="M31">
        <f t="shared" si="2"/>
        <v>15.6</v>
      </c>
      <c r="N31">
        <v>40</v>
      </c>
      <c r="O31">
        <v>41</v>
      </c>
      <c r="P31">
        <v>43</v>
      </c>
      <c r="Q31">
        <f t="shared" si="3"/>
        <v>124</v>
      </c>
      <c r="R31">
        <f t="shared" si="4"/>
        <v>82.67</v>
      </c>
      <c r="S31">
        <f t="shared" si="5"/>
        <v>41.34</v>
      </c>
      <c r="T31">
        <v>31</v>
      </c>
      <c r="U31">
        <v>33</v>
      </c>
      <c r="V31">
        <v>33</v>
      </c>
      <c r="W31">
        <f t="shared" si="6"/>
        <v>97</v>
      </c>
      <c r="X31">
        <f t="shared" si="7"/>
        <v>80.83</v>
      </c>
      <c r="Y31">
        <f t="shared" si="8"/>
        <v>24.25</v>
      </c>
      <c r="Z31">
        <f t="shared" si="13"/>
        <v>81.19</v>
      </c>
      <c r="AA31">
        <f t="shared" si="14"/>
        <v>83</v>
      </c>
      <c r="AB31" t="str">
        <f t="shared" si="9"/>
        <v>Benchmarking</v>
      </c>
      <c r="AD31" t="s">
        <v>149</v>
      </c>
      <c r="AE31">
        <f>IF(COUNTA(T12:T112)=0,"",MIN(T12:T112))</f>
        <v>14</v>
      </c>
      <c r="AF31">
        <f>IF(COUNTA(U12:U112)=0,"",MIN(U12:U112))</f>
        <v>15</v>
      </c>
      <c r="AG31">
        <f>IF(COUNTA(V12:V112)=0,"",MIN(V12:V112))</f>
        <v>15</v>
      </c>
      <c r="AV31">
        <f t="shared" si="10"/>
        <v>77.5</v>
      </c>
      <c r="AW31">
        <f t="shared" si="11"/>
        <v>82.5</v>
      </c>
      <c r="AX31">
        <f t="shared" si="12"/>
        <v>82.5</v>
      </c>
    </row>
    <row r="32" spans="1:50" ht="15.6" x14ac:dyDescent="0.3">
      <c r="A32">
        <v>21</v>
      </c>
      <c r="B32" t="str">
        <f>INPUT!B32</f>
        <v>Navarro, Lance</v>
      </c>
      <c r="F32">
        <v>19</v>
      </c>
      <c r="G32">
        <v>18</v>
      </c>
      <c r="H32">
        <v>18</v>
      </c>
      <c r="I32">
        <v>19</v>
      </c>
      <c r="J32">
        <v>17</v>
      </c>
      <c r="K32">
        <f t="shared" si="0"/>
        <v>91</v>
      </c>
      <c r="L32">
        <f t="shared" si="1"/>
        <v>91</v>
      </c>
      <c r="M32">
        <f t="shared" si="2"/>
        <v>18.2</v>
      </c>
      <c r="N32">
        <v>49</v>
      </c>
      <c r="O32">
        <v>46</v>
      </c>
      <c r="P32">
        <v>48</v>
      </c>
      <c r="Q32">
        <f t="shared" si="3"/>
        <v>143</v>
      </c>
      <c r="R32">
        <f t="shared" si="4"/>
        <v>95.33</v>
      </c>
      <c r="S32">
        <f t="shared" si="5"/>
        <v>47.67</v>
      </c>
      <c r="T32">
        <v>34</v>
      </c>
      <c r="U32">
        <v>38</v>
      </c>
      <c r="V32">
        <v>34</v>
      </c>
      <c r="W32">
        <f t="shared" si="6"/>
        <v>106</v>
      </c>
      <c r="X32">
        <f t="shared" si="7"/>
        <v>88.33</v>
      </c>
      <c r="Y32">
        <f t="shared" si="8"/>
        <v>26.5</v>
      </c>
      <c r="Z32">
        <f t="shared" si="13"/>
        <v>92.37</v>
      </c>
      <c r="AA32">
        <f t="shared" si="14"/>
        <v>94</v>
      </c>
      <c r="AB32" t="str">
        <f t="shared" si="9"/>
        <v>Advancing</v>
      </c>
      <c r="AD32" t="s">
        <v>150</v>
      </c>
      <c r="AE32">
        <f>IF(COUNTA(T12:T112)=0,"",SUM(T12:T112))</f>
        <v>3044</v>
      </c>
      <c r="AF32">
        <f>IF(COUNTA(U12:U112)=0,"",SUM(U12:U112))</f>
        <v>3037</v>
      </c>
      <c r="AG32">
        <f>IF(COUNTA(V12:V112)=0,"",SUM(V12:V112))</f>
        <v>3044</v>
      </c>
      <c r="AV32">
        <f t="shared" si="10"/>
        <v>85</v>
      </c>
      <c r="AW32">
        <f t="shared" si="11"/>
        <v>95</v>
      </c>
      <c r="AX32">
        <f t="shared" si="12"/>
        <v>85</v>
      </c>
    </row>
    <row r="33" spans="1:50" ht="15.6" x14ac:dyDescent="0.3">
      <c r="A33">
        <v>22</v>
      </c>
      <c r="B33" t="str">
        <f>INPUT!B33</f>
        <v>Ocampo, Luis</v>
      </c>
      <c r="F33">
        <v>15</v>
      </c>
      <c r="G33">
        <v>15</v>
      </c>
      <c r="H33">
        <v>14</v>
      </c>
      <c r="I33">
        <v>14</v>
      </c>
      <c r="J33">
        <v>14</v>
      </c>
      <c r="K33">
        <f t="shared" si="0"/>
        <v>72</v>
      </c>
      <c r="L33">
        <f t="shared" si="1"/>
        <v>72</v>
      </c>
      <c r="M33">
        <f t="shared" si="2"/>
        <v>14.4</v>
      </c>
      <c r="N33">
        <v>40</v>
      </c>
      <c r="O33">
        <v>39</v>
      </c>
      <c r="P33">
        <v>36</v>
      </c>
      <c r="Q33">
        <f t="shared" si="3"/>
        <v>115</v>
      </c>
      <c r="R33">
        <f t="shared" si="4"/>
        <v>76.67</v>
      </c>
      <c r="S33">
        <f t="shared" si="5"/>
        <v>38.340000000000003</v>
      </c>
      <c r="T33">
        <v>27</v>
      </c>
      <c r="U33">
        <v>31</v>
      </c>
      <c r="V33">
        <v>26</v>
      </c>
      <c r="W33">
        <f t="shared" si="6"/>
        <v>84</v>
      </c>
      <c r="X33">
        <f t="shared" si="7"/>
        <v>70</v>
      </c>
      <c r="Y33">
        <f t="shared" si="8"/>
        <v>21</v>
      </c>
      <c r="Z33">
        <f t="shared" si="13"/>
        <v>73.739999999999995</v>
      </c>
      <c r="AA33">
        <f t="shared" si="14"/>
        <v>76</v>
      </c>
      <c r="AB33" t="str">
        <f t="shared" si="9"/>
        <v>Connecting</v>
      </c>
      <c r="AV33">
        <f t="shared" si="10"/>
        <v>67.5</v>
      </c>
      <c r="AW33">
        <f t="shared" si="11"/>
        <v>77.5</v>
      </c>
      <c r="AX33">
        <f t="shared" si="12"/>
        <v>65</v>
      </c>
    </row>
    <row r="34" spans="1:50" ht="15.6" x14ac:dyDescent="0.3">
      <c r="A34">
        <v>23</v>
      </c>
      <c r="B34" t="str">
        <f>INPUT!B34</f>
        <v>Ortega, Marco</v>
      </c>
      <c r="F34">
        <v>17</v>
      </c>
      <c r="G34">
        <v>16</v>
      </c>
      <c r="H34">
        <v>18</v>
      </c>
      <c r="I34">
        <v>17</v>
      </c>
      <c r="J34">
        <v>17</v>
      </c>
      <c r="K34">
        <f t="shared" si="0"/>
        <v>85</v>
      </c>
      <c r="L34">
        <f t="shared" si="1"/>
        <v>85</v>
      </c>
      <c r="M34">
        <f t="shared" si="2"/>
        <v>17</v>
      </c>
      <c r="N34">
        <v>44</v>
      </c>
      <c r="O34">
        <v>43</v>
      </c>
      <c r="P34">
        <v>42</v>
      </c>
      <c r="Q34">
        <f t="shared" si="3"/>
        <v>129</v>
      </c>
      <c r="R34">
        <f t="shared" si="4"/>
        <v>86</v>
      </c>
      <c r="S34">
        <f t="shared" si="5"/>
        <v>43</v>
      </c>
      <c r="T34">
        <v>31</v>
      </c>
      <c r="U34">
        <v>36</v>
      </c>
      <c r="V34">
        <v>32</v>
      </c>
      <c r="W34">
        <f t="shared" si="6"/>
        <v>99</v>
      </c>
      <c r="X34">
        <f t="shared" si="7"/>
        <v>82.5</v>
      </c>
      <c r="Y34">
        <f t="shared" si="8"/>
        <v>24.75</v>
      </c>
      <c r="Z34">
        <f t="shared" si="13"/>
        <v>84.75</v>
      </c>
      <c r="AA34">
        <f t="shared" si="14"/>
        <v>86</v>
      </c>
      <c r="AB34" t="str">
        <f t="shared" si="9"/>
        <v>Benchmarking</v>
      </c>
      <c r="AV34">
        <f t="shared" si="10"/>
        <v>77.5</v>
      </c>
      <c r="AW34">
        <f t="shared" si="11"/>
        <v>90</v>
      </c>
      <c r="AX34">
        <f t="shared" si="12"/>
        <v>80</v>
      </c>
    </row>
    <row r="35" spans="1:50" ht="15.6" x14ac:dyDescent="0.3">
      <c r="A35">
        <v>24</v>
      </c>
      <c r="B35" t="str">
        <f>INPUT!B35</f>
        <v>Pascual, Martin</v>
      </c>
      <c r="F35">
        <v>18</v>
      </c>
      <c r="G35">
        <v>16</v>
      </c>
      <c r="H35">
        <v>15</v>
      </c>
      <c r="I35">
        <v>16</v>
      </c>
      <c r="J35">
        <v>15</v>
      </c>
      <c r="K35">
        <f t="shared" si="0"/>
        <v>80</v>
      </c>
      <c r="L35">
        <f t="shared" si="1"/>
        <v>80</v>
      </c>
      <c r="M35">
        <f t="shared" si="2"/>
        <v>16</v>
      </c>
      <c r="N35">
        <v>41</v>
      </c>
      <c r="O35">
        <v>46</v>
      </c>
      <c r="P35">
        <v>42</v>
      </c>
      <c r="Q35">
        <f t="shared" si="3"/>
        <v>129</v>
      </c>
      <c r="R35">
        <f t="shared" si="4"/>
        <v>86</v>
      </c>
      <c r="S35">
        <f t="shared" si="5"/>
        <v>43</v>
      </c>
      <c r="T35">
        <v>34</v>
      </c>
      <c r="U35">
        <v>31</v>
      </c>
      <c r="V35">
        <v>31</v>
      </c>
      <c r="W35">
        <f t="shared" si="6"/>
        <v>96</v>
      </c>
      <c r="X35">
        <f t="shared" si="7"/>
        <v>80</v>
      </c>
      <c r="Y35">
        <f t="shared" si="8"/>
        <v>24</v>
      </c>
      <c r="Z35">
        <f t="shared" si="13"/>
        <v>83</v>
      </c>
      <c r="AA35">
        <f t="shared" si="14"/>
        <v>85</v>
      </c>
      <c r="AB35" t="str">
        <f t="shared" si="9"/>
        <v>Benchmarking</v>
      </c>
      <c r="AV35">
        <f t="shared" si="10"/>
        <v>85</v>
      </c>
      <c r="AW35">
        <f t="shared" si="11"/>
        <v>77.5</v>
      </c>
      <c r="AX35">
        <f t="shared" si="12"/>
        <v>77.5</v>
      </c>
    </row>
    <row r="36" spans="1:50" ht="15.6" x14ac:dyDescent="0.3">
      <c r="A36">
        <v>25</v>
      </c>
      <c r="B36" t="str">
        <f>INPUT!B36</f>
        <v>Quizon, Matthew</v>
      </c>
      <c r="F36">
        <v>14</v>
      </c>
      <c r="G36">
        <v>13</v>
      </c>
      <c r="H36">
        <v>13</v>
      </c>
      <c r="I36">
        <v>15</v>
      </c>
      <c r="J36">
        <v>15</v>
      </c>
      <c r="K36">
        <f t="shared" si="0"/>
        <v>70</v>
      </c>
      <c r="L36">
        <f t="shared" si="1"/>
        <v>70</v>
      </c>
      <c r="M36">
        <f t="shared" si="2"/>
        <v>14</v>
      </c>
      <c r="N36">
        <v>33</v>
      </c>
      <c r="O36">
        <v>38</v>
      </c>
      <c r="P36">
        <v>36</v>
      </c>
      <c r="Q36">
        <f t="shared" si="3"/>
        <v>107</v>
      </c>
      <c r="R36">
        <f t="shared" si="4"/>
        <v>71.33</v>
      </c>
      <c r="S36">
        <f t="shared" si="5"/>
        <v>35.67</v>
      </c>
      <c r="T36">
        <v>28</v>
      </c>
      <c r="U36">
        <v>27</v>
      </c>
      <c r="V36">
        <v>27</v>
      </c>
      <c r="W36">
        <f t="shared" si="6"/>
        <v>82</v>
      </c>
      <c r="X36">
        <f t="shared" si="7"/>
        <v>68.33</v>
      </c>
      <c r="Y36">
        <f t="shared" si="8"/>
        <v>20.5</v>
      </c>
      <c r="Z36">
        <f t="shared" si="13"/>
        <v>70.17</v>
      </c>
      <c r="AA36">
        <f t="shared" si="14"/>
        <v>75</v>
      </c>
      <c r="AB36" t="str">
        <f t="shared" si="9"/>
        <v>Connecting</v>
      </c>
      <c r="AV36">
        <f t="shared" si="10"/>
        <v>70</v>
      </c>
      <c r="AW36">
        <f t="shared" si="11"/>
        <v>67.5</v>
      </c>
      <c r="AX36">
        <f t="shared" si="12"/>
        <v>67.5</v>
      </c>
    </row>
    <row r="37" spans="1:50" ht="15.6" x14ac:dyDescent="0.3">
      <c r="A37">
        <v>26</v>
      </c>
      <c r="B37" t="str">
        <f>INPUT!B37</f>
        <v>Ramos, Miguel</v>
      </c>
      <c r="F37">
        <v>16</v>
      </c>
      <c r="G37">
        <v>15</v>
      </c>
      <c r="H37">
        <v>16</v>
      </c>
      <c r="I37">
        <v>16</v>
      </c>
      <c r="J37">
        <v>15</v>
      </c>
      <c r="K37">
        <f t="shared" si="0"/>
        <v>78</v>
      </c>
      <c r="L37">
        <f t="shared" si="1"/>
        <v>78</v>
      </c>
      <c r="M37">
        <f t="shared" si="2"/>
        <v>15.6</v>
      </c>
      <c r="N37">
        <v>40</v>
      </c>
      <c r="O37">
        <v>38</v>
      </c>
      <c r="P37">
        <v>38</v>
      </c>
      <c r="Q37">
        <f t="shared" si="3"/>
        <v>116</v>
      </c>
      <c r="R37">
        <f t="shared" si="4"/>
        <v>77.33</v>
      </c>
      <c r="S37">
        <f t="shared" si="5"/>
        <v>38.67</v>
      </c>
      <c r="T37">
        <v>31</v>
      </c>
      <c r="U37">
        <v>31</v>
      </c>
      <c r="V37">
        <v>31</v>
      </c>
      <c r="W37">
        <f t="shared" si="6"/>
        <v>93</v>
      </c>
      <c r="X37">
        <f t="shared" si="7"/>
        <v>77.5</v>
      </c>
      <c r="Y37">
        <f t="shared" si="8"/>
        <v>23.25</v>
      </c>
      <c r="Z37">
        <f t="shared" si="13"/>
        <v>77.52</v>
      </c>
      <c r="AA37">
        <f t="shared" si="14"/>
        <v>79</v>
      </c>
      <c r="AB37" t="str">
        <f t="shared" si="9"/>
        <v>Connecting</v>
      </c>
      <c r="AV37">
        <f t="shared" si="10"/>
        <v>77.5</v>
      </c>
      <c r="AW37">
        <f t="shared" si="11"/>
        <v>77.5</v>
      </c>
      <c r="AX37">
        <f t="shared" si="12"/>
        <v>77.5</v>
      </c>
    </row>
    <row r="38" spans="1:50" ht="15.6" x14ac:dyDescent="0.3">
      <c r="A38">
        <v>27</v>
      </c>
      <c r="B38" t="str">
        <f>INPUT!B38</f>
        <v>Reyes, Nathan</v>
      </c>
      <c r="F38">
        <v>17</v>
      </c>
      <c r="G38">
        <v>18</v>
      </c>
      <c r="H38">
        <v>17</v>
      </c>
      <c r="I38">
        <v>16</v>
      </c>
      <c r="J38">
        <v>18</v>
      </c>
      <c r="K38">
        <f t="shared" si="0"/>
        <v>86</v>
      </c>
      <c r="L38">
        <f t="shared" si="1"/>
        <v>86</v>
      </c>
      <c r="M38">
        <f t="shared" si="2"/>
        <v>17.2</v>
      </c>
      <c r="N38">
        <v>44</v>
      </c>
      <c r="O38">
        <v>47</v>
      </c>
      <c r="P38">
        <v>46</v>
      </c>
      <c r="Q38">
        <f t="shared" si="3"/>
        <v>137</v>
      </c>
      <c r="R38">
        <f t="shared" si="4"/>
        <v>91.33</v>
      </c>
      <c r="S38">
        <f t="shared" si="5"/>
        <v>45.67</v>
      </c>
      <c r="T38">
        <v>35</v>
      </c>
      <c r="U38">
        <v>36</v>
      </c>
      <c r="V38">
        <v>32</v>
      </c>
      <c r="W38">
        <f t="shared" si="6"/>
        <v>103</v>
      </c>
      <c r="X38">
        <f t="shared" si="7"/>
        <v>85.83</v>
      </c>
      <c r="Y38">
        <f t="shared" si="8"/>
        <v>25.75</v>
      </c>
      <c r="Z38">
        <f t="shared" si="13"/>
        <v>88.62</v>
      </c>
      <c r="AA38">
        <f t="shared" si="14"/>
        <v>90</v>
      </c>
      <c r="AB38" t="str">
        <f t="shared" si="9"/>
        <v>Advancing</v>
      </c>
      <c r="AV38">
        <f t="shared" si="10"/>
        <v>87.5</v>
      </c>
      <c r="AW38">
        <f t="shared" si="11"/>
        <v>90</v>
      </c>
      <c r="AX38">
        <f t="shared" si="12"/>
        <v>80</v>
      </c>
    </row>
    <row r="39" spans="1:50" ht="15.6" x14ac:dyDescent="0.3">
      <c r="A39">
        <v>28</v>
      </c>
      <c r="B39" t="str">
        <f>INPUT!B39</f>
        <v>Rivera, Noah</v>
      </c>
      <c r="F39">
        <v>8</v>
      </c>
      <c r="G39">
        <v>8</v>
      </c>
      <c r="H39">
        <v>10</v>
      </c>
      <c r="I39">
        <v>10</v>
      </c>
      <c r="J39">
        <v>8</v>
      </c>
      <c r="K39">
        <f t="shared" si="0"/>
        <v>44</v>
      </c>
      <c r="L39">
        <f t="shared" si="1"/>
        <v>44</v>
      </c>
      <c r="M39">
        <f t="shared" si="2"/>
        <v>8.8000000000000007</v>
      </c>
      <c r="N39">
        <v>21</v>
      </c>
      <c r="O39">
        <v>24</v>
      </c>
      <c r="P39">
        <v>24</v>
      </c>
      <c r="Q39">
        <f t="shared" si="3"/>
        <v>69</v>
      </c>
      <c r="R39">
        <f t="shared" si="4"/>
        <v>46</v>
      </c>
      <c r="S39">
        <f t="shared" si="5"/>
        <v>23</v>
      </c>
      <c r="T39">
        <v>18</v>
      </c>
      <c r="U39">
        <v>16</v>
      </c>
      <c r="V39">
        <v>15</v>
      </c>
      <c r="W39">
        <f t="shared" si="6"/>
        <v>49</v>
      </c>
      <c r="X39">
        <f t="shared" si="7"/>
        <v>40.83</v>
      </c>
      <c r="Y39">
        <f t="shared" si="8"/>
        <v>12.25</v>
      </c>
      <c r="Z39">
        <f t="shared" si="13"/>
        <v>44.05</v>
      </c>
      <c r="AA39">
        <f t="shared" si="14"/>
        <v>62</v>
      </c>
      <c r="AB39" t="str">
        <f t="shared" si="9"/>
        <v>Emerging</v>
      </c>
      <c r="AV39">
        <f t="shared" si="10"/>
        <v>45</v>
      </c>
      <c r="AW39">
        <f t="shared" si="11"/>
        <v>40</v>
      </c>
      <c r="AX39">
        <f t="shared" si="12"/>
        <v>37.5</v>
      </c>
    </row>
    <row r="40" spans="1:50" ht="15.6" x14ac:dyDescent="0.3">
      <c r="A40">
        <v>29</v>
      </c>
      <c r="B40" t="str">
        <f>INPUT!B40</f>
        <v>Rosales, Oliver</v>
      </c>
      <c r="F40">
        <v>16</v>
      </c>
      <c r="G40">
        <v>16</v>
      </c>
      <c r="H40">
        <v>15</v>
      </c>
      <c r="I40">
        <v>17</v>
      </c>
      <c r="J40">
        <v>15</v>
      </c>
      <c r="K40">
        <f t="shared" si="0"/>
        <v>79</v>
      </c>
      <c r="L40">
        <f t="shared" si="1"/>
        <v>79</v>
      </c>
      <c r="M40">
        <f t="shared" si="2"/>
        <v>15.8</v>
      </c>
      <c r="N40">
        <v>44</v>
      </c>
      <c r="O40">
        <v>39</v>
      </c>
      <c r="P40">
        <v>40</v>
      </c>
      <c r="Q40">
        <f t="shared" si="3"/>
        <v>123</v>
      </c>
      <c r="R40">
        <f t="shared" si="4"/>
        <v>82</v>
      </c>
      <c r="S40">
        <f t="shared" si="5"/>
        <v>41</v>
      </c>
      <c r="T40">
        <v>31</v>
      </c>
      <c r="U40">
        <v>30</v>
      </c>
      <c r="V40">
        <v>32</v>
      </c>
      <c r="W40">
        <f t="shared" si="6"/>
        <v>93</v>
      </c>
      <c r="X40">
        <f t="shared" si="7"/>
        <v>77.5</v>
      </c>
      <c r="Y40">
        <f t="shared" si="8"/>
        <v>23.25</v>
      </c>
      <c r="Z40">
        <f t="shared" si="13"/>
        <v>80.05</v>
      </c>
      <c r="AA40">
        <f t="shared" si="14"/>
        <v>82</v>
      </c>
      <c r="AB40" t="str">
        <f t="shared" si="9"/>
        <v>Benchmarking</v>
      </c>
      <c r="AV40">
        <f t="shared" si="10"/>
        <v>77.5</v>
      </c>
      <c r="AW40">
        <f t="shared" si="11"/>
        <v>75</v>
      </c>
      <c r="AX40">
        <f t="shared" si="12"/>
        <v>80</v>
      </c>
    </row>
    <row r="41" spans="1:50" ht="15.6" x14ac:dyDescent="0.3">
      <c r="A41">
        <v>30</v>
      </c>
      <c r="B41" t="str">
        <f>INPUT!B41</f>
        <v>Salazar, Paolo</v>
      </c>
      <c r="F41">
        <v>16</v>
      </c>
      <c r="G41">
        <v>16</v>
      </c>
      <c r="H41">
        <v>15</v>
      </c>
      <c r="I41">
        <v>16</v>
      </c>
      <c r="J41">
        <v>16</v>
      </c>
      <c r="K41">
        <f t="shared" si="0"/>
        <v>79</v>
      </c>
      <c r="L41">
        <f t="shared" si="1"/>
        <v>79</v>
      </c>
      <c r="M41">
        <f t="shared" si="2"/>
        <v>15.8</v>
      </c>
      <c r="N41">
        <v>45</v>
      </c>
      <c r="O41">
        <v>45</v>
      </c>
      <c r="P41">
        <v>45</v>
      </c>
      <c r="Q41">
        <f t="shared" si="3"/>
        <v>135</v>
      </c>
      <c r="R41">
        <f t="shared" si="4"/>
        <v>90</v>
      </c>
      <c r="S41">
        <f t="shared" si="5"/>
        <v>45</v>
      </c>
      <c r="T41">
        <v>32</v>
      </c>
      <c r="U41">
        <v>29</v>
      </c>
      <c r="V41">
        <v>31</v>
      </c>
      <c r="W41">
        <f t="shared" si="6"/>
        <v>92</v>
      </c>
      <c r="X41">
        <f t="shared" si="7"/>
        <v>76.67</v>
      </c>
      <c r="Y41">
        <f t="shared" si="8"/>
        <v>23</v>
      </c>
      <c r="Z41">
        <f t="shared" si="13"/>
        <v>83.8</v>
      </c>
      <c r="AA41">
        <f t="shared" si="14"/>
        <v>85</v>
      </c>
      <c r="AB41" t="str">
        <f t="shared" si="9"/>
        <v>Benchmarking</v>
      </c>
      <c r="AV41">
        <f t="shared" si="10"/>
        <v>80</v>
      </c>
      <c r="AW41">
        <f t="shared" si="11"/>
        <v>72.5</v>
      </c>
      <c r="AX41">
        <f t="shared" si="12"/>
        <v>77.5</v>
      </c>
    </row>
    <row r="42" spans="1:50" ht="15.6" x14ac:dyDescent="0.3">
      <c r="A42">
        <v>31</v>
      </c>
      <c r="B42" t="str">
        <f>INPUT!B42</f>
        <v>Santiago, Patrick</v>
      </c>
      <c r="F42">
        <v>19</v>
      </c>
      <c r="G42">
        <v>18</v>
      </c>
      <c r="H42">
        <v>17</v>
      </c>
      <c r="I42">
        <v>19</v>
      </c>
      <c r="J42">
        <v>18</v>
      </c>
      <c r="K42">
        <f t="shared" si="0"/>
        <v>91</v>
      </c>
      <c r="L42">
        <f t="shared" si="1"/>
        <v>91</v>
      </c>
      <c r="M42">
        <f t="shared" si="2"/>
        <v>18.2</v>
      </c>
      <c r="N42">
        <v>50</v>
      </c>
      <c r="O42">
        <v>46</v>
      </c>
      <c r="P42">
        <v>45</v>
      </c>
      <c r="Q42">
        <f t="shared" si="3"/>
        <v>141</v>
      </c>
      <c r="R42">
        <f t="shared" si="4"/>
        <v>94</v>
      </c>
      <c r="S42">
        <f t="shared" si="5"/>
        <v>47</v>
      </c>
      <c r="T42">
        <v>34</v>
      </c>
      <c r="U42">
        <v>33</v>
      </c>
      <c r="V42">
        <v>33</v>
      </c>
      <c r="W42">
        <f t="shared" si="6"/>
        <v>100</v>
      </c>
      <c r="X42">
        <f t="shared" si="7"/>
        <v>83.33</v>
      </c>
      <c r="Y42">
        <f t="shared" si="8"/>
        <v>25</v>
      </c>
      <c r="Z42">
        <f t="shared" si="13"/>
        <v>90.2</v>
      </c>
      <c r="AA42">
        <f t="shared" si="14"/>
        <v>92</v>
      </c>
      <c r="AB42" t="str">
        <f t="shared" si="9"/>
        <v>Advancing</v>
      </c>
      <c r="AV42">
        <f t="shared" si="10"/>
        <v>85</v>
      </c>
      <c r="AW42">
        <f t="shared" si="11"/>
        <v>82.5</v>
      </c>
      <c r="AX42">
        <f t="shared" si="12"/>
        <v>82.5</v>
      </c>
    </row>
    <row r="43" spans="1:50" ht="15.6" x14ac:dyDescent="0.3">
      <c r="A43">
        <v>32</v>
      </c>
      <c r="B43" t="str">
        <f>INPUT!B43</f>
        <v>Santos, Rafael</v>
      </c>
      <c r="F43">
        <v>19</v>
      </c>
      <c r="G43">
        <v>17</v>
      </c>
      <c r="H43">
        <v>18</v>
      </c>
      <c r="I43">
        <v>18</v>
      </c>
      <c r="J43">
        <v>19</v>
      </c>
      <c r="K43">
        <f t="shared" si="0"/>
        <v>91</v>
      </c>
      <c r="L43">
        <f t="shared" si="1"/>
        <v>91</v>
      </c>
      <c r="M43">
        <f t="shared" si="2"/>
        <v>18.2</v>
      </c>
      <c r="N43">
        <v>45</v>
      </c>
      <c r="O43">
        <v>47</v>
      </c>
      <c r="P43">
        <v>48</v>
      </c>
      <c r="Q43">
        <f t="shared" si="3"/>
        <v>140</v>
      </c>
      <c r="R43">
        <f t="shared" si="4"/>
        <v>93.33</v>
      </c>
      <c r="S43">
        <f t="shared" si="5"/>
        <v>46.67</v>
      </c>
      <c r="T43">
        <v>31</v>
      </c>
      <c r="U43">
        <v>36</v>
      </c>
      <c r="V43">
        <v>32</v>
      </c>
      <c r="W43">
        <f t="shared" si="6"/>
        <v>99</v>
      </c>
      <c r="X43">
        <f t="shared" si="7"/>
        <v>82.5</v>
      </c>
      <c r="Y43">
        <f t="shared" si="8"/>
        <v>24.75</v>
      </c>
      <c r="Z43">
        <f t="shared" si="13"/>
        <v>89.62</v>
      </c>
      <c r="AA43">
        <f t="shared" si="14"/>
        <v>91</v>
      </c>
      <c r="AB43" t="str">
        <f t="shared" si="9"/>
        <v>Advancing</v>
      </c>
      <c r="AV43">
        <f t="shared" si="10"/>
        <v>77.5</v>
      </c>
      <c r="AW43">
        <f t="shared" si="11"/>
        <v>90</v>
      </c>
      <c r="AX43">
        <f t="shared" si="12"/>
        <v>80</v>
      </c>
    </row>
    <row r="44" spans="1:50" ht="15.6" x14ac:dyDescent="0.3">
      <c r="A44">
        <v>33</v>
      </c>
      <c r="B44" t="str">
        <f>INPUT!B44</f>
        <v>Soriano, Raymond</v>
      </c>
      <c r="F44">
        <v>18</v>
      </c>
      <c r="G44">
        <v>17</v>
      </c>
      <c r="H44">
        <v>18</v>
      </c>
      <c r="I44">
        <v>17</v>
      </c>
      <c r="J44">
        <v>18</v>
      </c>
      <c r="K44">
        <f t="shared" ref="K44:K61" si="15">IF(COUNT($F44:$J44)=0,"",SUM($F44:$J44))</f>
        <v>88</v>
      </c>
      <c r="L44">
        <f t="shared" ref="L44:L61" si="16">IF(ISERROR(IF($K44="","",ROUND(($K44/$K$10)*$L$10,2))),"",IF($K44="","",ROUND(($K44/$K$10)*$L$10,2)))</f>
        <v>88</v>
      </c>
      <c r="M44">
        <f t="shared" ref="M44:M61" si="17">IF($L44="","",ROUND($L44*$M$10,2))</f>
        <v>17.600000000000001</v>
      </c>
      <c r="N44">
        <v>48</v>
      </c>
      <c r="O44">
        <v>49</v>
      </c>
      <c r="P44">
        <v>49</v>
      </c>
      <c r="Q44">
        <f t="shared" ref="Q44:Q61" si="18">IF(COUNT($N44:$P44)=0,"",SUM($N44:$P44))</f>
        <v>146</v>
      </c>
      <c r="R44">
        <f t="shared" ref="R44:R61" si="19">IF(ISERROR(IF($Q44="","",ROUND(($Q44/$Q$10)*$R$10,2))),"",IF($Q44="","",ROUND(($Q44/$Q$10)*$R$10,2)))</f>
        <v>97.33</v>
      </c>
      <c r="S44">
        <f t="shared" ref="S44:S61" si="20">IF($R44="","",ROUND($R44*$S$10,2))</f>
        <v>48.67</v>
      </c>
      <c r="T44">
        <v>36</v>
      </c>
      <c r="U44">
        <v>33</v>
      </c>
      <c r="V44">
        <v>35</v>
      </c>
      <c r="W44">
        <f t="shared" ref="W44:W61" si="21">IF(COUNT($T44:$V44)=0,"",SUM($T44:$V44))</f>
        <v>104</v>
      </c>
      <c r="X44">
        <f t="shared" ref="X44:X61" si="22">IF(ISERROR(IF($W44="","",ROUND(($W44/$W$10)*$X$10,2))),"",IF($W44="","",ROUND(($W44/$W$10)*$X$10,2)))</f>
        <v>86.67</v>
      </c>
      <c r="Y44">
        <f t="shared" ref="Y44:Y61" si="23">IF($X44="","",ROUND($X44*$Y$10,2))</f>
        <v>26</v>
      </c>
      <c r="Z44">
        <f t="shared" si="13"/>
        <v>92.27</v>
      </c>
      <c r="AA44">
        <f t="shared" si="14"/>
        <v>94</v>
      </c>
      <c r="AB44" t="str">
        <f t="shared" ref="AB44:AB75" si="24">IF(ISERROR(IF(AA44="","",VLOOKUP(AA44,DESCRIPTORS,4,TRUE))),"",IF(AA44="","",VLOOKUP(AA44,DESCRIPTORS,4,TRUE)))</f>
        <v>Advancing</v>
      </c>
      <c r="AV44">
        <f t="shared" ref="AV44:AV75" si="25">(T44/$T$10)*100</f>
        <v>90</v>
      </c>
      <c r="AW44">
        <f t="shared" ref="AW44:AW75" si="26">(U44/$U$10)*100</f>
        <v>82.5</v>
      </c>
      <c r="AX44">
        <f t="shared" ref="AX44:AX75" si="27">(V44/$V$10)*100</f>
        <v>87.5</v>
      </c>
    </row>
    <row r="45" spans="1:50" ht="15.6" x14ac:dyDescent="0.3">
      <c r="A45">
        <v>34</v>
      </c>
      <c r="B45" t="str">
        <f>INPUT!B45</f>
        <v>Torres, Rico</v>
      </c>
      <c r="F45">
        <v>15</v>
      </c>
      <c r="G45">
        <v>16</v>
      </c>
      <c r="H45">
        <v>16</v>
      </c>
      <c r="I45">
        <v>17</v>
      </c>
      <c r="J45">
        <v>17</v>
      </c>
      <c r="K45">
        <f t="shared" si="15"/>
        <v>81</v>
      </c>
      <c r="L45">
        <f t="shared" si="16"/>
        <v>81</v>
      </c>
      <c r="M45">
        <f t="shared" si="17"/>
        <v>16.2</v>
      </c>
      <c r="N45">
        <v>42</v>
      </c>
      <c r="O45">
        <v>41</v>
      </c>
      <c r="P45">
        <v>40</v>
      </c>
      <c r="Q45">
        <f t="shared" si="18"/>
        <v>123</v>
      </c>
      <c r="R45">
        <f t="shared" si="19"/>
        <v>82</v>
      </c>
      <c r="S45">
        <f t="shared" si="20"/>
        <v>41</v>
      </c>
      <c r="T45">
        <v>32</v>
      </c>
      <c r="U45">
        <v>27</v>
      </c>
      <c r="V45">
        <v>28</v>
      </c>
      <c r="W45">
        <f t="shared" si="21"/>
        <v>87</v>
      </c>
      <c r="X45">
        <f t="shared" si="22"/>
        <v>72.5</v>
      </c>
      <c r="Y45">
        <f t="shared" si="23"/>
        <v>21.75</v>
      </c>
      <c r="Z45">
        <f t="shared" ref="Z45:Z61" si="28">IF(ISERROR(IF($V45="","",ROUND(SUM($M45,$S45,$Y45),2))),"",IF($V45="","",ROUND(SUM($M45,$S45,$Y45),2)))</f>
        <v>78.95</v>
      </c>
      <c r="AA45">
        <f t="shared" ref="AA45:AA76" si="29">IF(ISERROR(IF($V45="","",VLOOKUP(Z45,NewTransmu,4,TRUE))),"",IF($V45="","",VLOOKUP(Z45,NewTransmu,4,TRUE)))</f>
        <v>80</v>
      </c>
      <c r="AB45" t="str">
        <f t="shared" si="24"/>
        <v>Benchmarking</v>
      </c>
      <c r="AV45">
        <f t="shared" si="25"/>
        <v>80</v>
      </c>
      <c r="AW45">
        <f t="shared" si="26"/>
        <v>67.5</v>
      </c>
      <c r="AX45">
        <f t="shared" si="27"/>
        <v>70</v>
      </c>
    </row>
    <row r="46" spans="1:50" ht="15.6" x14ac:dyDescent="0.3">
      <c r="A46">
        <v>35</v>
      </c>
      <c r="B46" t="str">
        <f>INPUT!B46</f>
        <v>Valdez, Samuel</v>
      </c>
      <c r="F46">
        <v>20</v>
      </c>
      <c r="G46">
        <v>19</v>
      </c>
      <c r="H46">
        <v>20</v>
      </c>
      <c r="I46">
        <v>18</v>
      </c>
      <c r="J46">
        <v>19</v>
      </c>
      <c r="K46">
        <f t="shared" si="15"/>
        <v>96</v>
      </c>
      <c r="L46">
        <f t="shared" si="16"/>
        <v>96</v>
      </c>
      <c r="M46">
        <f t="shared" si="17"/>
        <v>19.2</v>
      </c>
      <c r="N46">
        <v>50</v>
      </c>
      <c r="O46">
        <v>49</v>
      </c>
      <c r="P46">
        <v>48</v>
      </c>
      <c r="Q46">
        <f t="shared" si="18"/>
        <v>147</v>
      </c>
      <c r="R46">
        <f t="shared" si="19"/>
        <v>98</v>
      </c>
      <c r="S46">
        <f t="shared" si="20"/>
        <v>49</v>
      </c>
      <c r="T46">
        <v>37</v>
      </c>
      <c r="U46">
        <v>35</v>
      </c>
      <c r="V46">
        <v>36</v>
      </c>
      <c r="W46">
        <f t="shared" si="21"/>
        <v>108</v>
      </c>
      <c r="X46">
        <f t="shared" si="22"/>
        <v>90</v>
      </c>
      <c r="Y46">
        <f t="shared" si="23"/>
        <v>27</v>
      </c>
      <c r="Z46">
        <f t="shared" si="28"/>
        <v>95.2</v>
      </c>
      <c r="AA46">
        <f t="shared" si="29"/>
        <v>97</v>
      </c>
      <c r="AB46" t="str">
        <f t="shared" si="24"/>
        <v>Advancing</v>
      </c>
      <c r="AV46">
        <f t="shared" si="25"/>
        <v>92.5</v>
      </c>
      <c r="AW46">
        <f t="shared" si="26"/>
        <v>87.5</v>
      </c>
      <c r="AX46">
        <f t="shared" si="27"/>
        <v>90</v>
      </c>
    </row>
    <row r="47" spans="1:50" ht="15.6" x14ac:dyDescent="0.3">
      <c r="A47">
        <v>36</v>
      </c>
      <c r="B47" t="str">
        <f>INPUT!B47</f>
        <v>Velasco, Sebastian</v>
      </c>
      <c r="F47">
        <v>10</v>
      </c>
      <c r="G47">
        <v>8</v>
      </c>
      <c r="H47">
        <v>10</v>
      </c>
      <c r="I47">
        <v>9</v>
      </c>
      <c r="J47">
        <v>9</v>
      </c>
      <c r="K47">
        <f t="shared" si="15"/>
        <v>46</v>
      </c>
      <c r="L47">
        <f t="shared" si="16"/>
        <v>46</v>
      </c>
      <c r="M47">
        <f t="shared" si="17"/>
        <v>9.1999999999999993</v>
      </c>
      <c r="N47">
        <v>24</v>
      </c>
      <c r="O47">
        <v>22</v>
      </c>
      <c r="P47">
        <v>24</v>
      </c>
      <c r="Q47">
        <f t="shared" si="18"/>
        <v>70</v>
      </c>
      <c r="R47">
        <f t="shared" si="19"/>
        <v>46.67</v>
      </c>
      <c r="S47">
        <f t="shared" si="20"/>
        <v>23.34</v>
      </c>
      <c r="T47">
        <v>15</v>
      </c>
      <c r="U47">
        <v>15</v>
      </c>
      <c r="V47">
        <v>16</v>
      </c>
      <c r="W47">
        <f t="shared" si="21"/>
        <v>46</v>
      </c>
      <c r="X47">
        <f t="shared" si="22"/>
        <v>38.33</v>
      </c>
      <c r="Y47">
        <f t="shared" si="23"/>
        <v>11.5</v>
      </c>
      <c r="Z47">
        <f t="shared" si="28"/>
        <v>44.04</v>
      </c>
      <c r="AA47">
        <f t="shared" si="29"/>
        <v>62</v>
      </c>
      <c r="AB47" t="str">
        <f t="shared" si="24"/>
        <v>Emerging</v>
      </c>
      <c r="AV47">
        <f t="shared" si="25"/>
        <v>37.5</v>
      </c>
      <c r="AW47">
        <f t="shared" si="26"/>
        <v>37.5</v>
      </c>
      <c r="AX47">
        <f t="shared" si="27"/>
        <v>40</v>
      </c>
    </row>
    <row r="48" spans="1:50" ht="15.6" x14ac:dyDescent="0.3">
      <c r="A48">
        <v>37</v>
      </c>
      <c r="B48" t="str">
        <f>INPUT!B48</f>
        <v>Villanueva, Simon</v>
      </c>
      <c r="F48">
        <v>17</v>
      </c>
      <c r="G48">
        <v>16</v>
      </c>
      <c r="H48">
        <v>17</v>
      </c>
      <c r="I48">
        <v>17</v>
      </c>
      <c r="J48">
        <v>17</v>
      </c>
      <c r="K48">
        <f t="shared" si="15"/>
        <v>84</v>
      </c>
      <c r="L48">
        <f t="shared" si="16"/>
        <v>84</v>
      </c>
      <c r="M48">
        <f t="shared" si="17"/>
        <v>16.8</v>
      </c>
      <c r="N48">
        <v>43</v>
      </c>
      <c r="O48">
        <v>40</v>
      </c>
      <c r="P48">
        <v>41</v>
      </c>
      <c r="Q48">
        <f t="shared" si="18"/>
        <v>124</v>
      </c>
      <c r="R48">
        <f t="shared" si="19"/>
        <v>82.67</v>
      </c>
      <c r="S48">
        <f t="shared" si="20"/>
        <v>41.34</v>
      </c>
      <c r="T48">
        <v>31</v>
      </c>
      <c r="U48">
        <v>32</v>
      </c>
      <c r="V48">
        <v>31</v>
      </c>
      <c r="W48">
        <f t="shared" si="21"/>
        <v>94</v>
      </c>
      <c r="X48">
        <f t="shared" si="22"/>
        <v>78.33</v>
      </c>
      <c r="Y48">
        <f t="shared" si="23"/>
        <v>23.5</v>
      </c>
      <c r="Z48">
        <f t="shared" si="28"/>
        <v>81.64</v>
      </c>
      <c r="AA48">
        <f t="shared" si="29"/>
        <v>83</v>
      </c>
      <c r="AB48" t="str">
        <f t="shared" si="24"/>
        <v>Benchmarking</v>
      </c>
      <c r="AV48">
        <f t="shared" si="25"/>
        <v>77.5</v>
      </c>
      <c r="AW48">
        <f t="shared" si="26"/>
        <v>80</v>
      </c>
      <c r="AX48">
        <f t="shared" si="27"/>
        <v>77.5</v>
      </c>
    </row>
    <row r="49" spans="1:50" ht="15.6" x14ac:dyDescent="0.3">
      <c r="A49">
        <v>38</v>
      </c>
      <c r="B49" t="str">
        <f>INPUT!B49</f>
        <v>Yap, Stephen</v>
      </c>
      <c r="F49">
        <v>14</v>
      </c>
      <c r="G49">
        <v>16</v>
      </c>
      <c r="H49">
        <v>13</v>
      </c>
      <c r="I49">
        <v>15</v>
      </c>
      <c r="J49">
        <v>16</v>
      </c>
      <c r="K49">
        <f t="shared" si="15"/>
        <v>74</v>
      </c>
      <c r="L49">
        <f t="shared" si="16"/>
        <v>74</v>
      </c>
      <c r="M49">
        <f t="shared" si="17"/>
        <v>14.8</v>
      </c>
      <c r="N49">
        <v>41</v>
      </c>
      <c r="O49">
        <v>34</v>
      </c>
      <c r="P49">
        <v>36</v>
      </c>
      <c r="Q49">
        <f t="shared" si="18"/>
        <v>111</v>
      </c>
      <c r="R49">
        <f t="shared" si="19"/>
        <v>74</v>
      </c>
      <c r="S49">
        <f t="shared" si="20"/>
        <v>37</v>
      </c>
      <c r="T49">
        <v>26</v>
      </c>
      <c r="U49">
        <v>25</v>
      </c>
      <c r="V49">
        <v>26</v>
      </c>
      <c r="W49">
        <f t="shared" si="21"/>
        <v>77</v>
      </c>
      <c r="X49">
        <f t="shared" si="22"/>
        <v>64.17</v>
      </c>
      <c r="Y49">
        <f t="shared" si="23"/>
        <v>19.25</v>
      </c>
      <c r="Z49">
        <f t="shared" si="28"/>
        <v>71.05</v>
      </c>
      <c r="AA49">
        <f t="shared" si="29"/>
        <v>75</v>
      </c>
      <c r="AB49" t="str">
        <f t="shared" si="24"/>
        <v>Connecting</v>
      </c>
      <c r="AV49">
        <f t="shared" si="25"/>
        <v>65</v>
      </c>
      <c r="AW49">
        <f t="shared" si="26"/>
        <v>62.5</v>
      </c>
      <c r="AX49">
        <f t="shared" si="27"/>
        <v>65</v>
      </c>
    </row>
    <row r="50" spans="1:50" ht="15.6" x14ac:dyDescent="0.3">
      <c r="A50">
        <v>39</v>
      </c>
      <c r="B50" t="str">
        <f>INPUT!B50</f>
        <v>Zamora, Thomas</v>
      </c>
      <c r="F50">
        <v>19</v>
      </c>
      <c r="G50">
        <v>17</v>
      </c>
      <c r="H50">
        <v>18</v>
      </c>
      <c r="I50">
        <v>17</v>
      </c>
      <c r="J50">
        <v>17</v>
      </c>
      <c r="K50">
        <f t="shared" si="15"/>
        <v>88</v>
      </c>
      <c r="L50">
        <f t="shared" si="16"/>
        <v>88</v>
      </c>
      <c r="M50">
        <f t="shared" si="17"/>
        <v>17.600000000000001</v>
      </c>
      <c r="N50">
        <v>49</v>
      </c>
      <c r="O50">
        <v>48</v>
      </c>
      <c r="P50">
        <v>44</v>
      </c>
      <c r="Q50">
        <f t="shared" si="18"/>
        <v>141</v>
      </c>
      <c r="R50">
        <f t="shared" si="19"/>
        <v>94</v>
      </c>
      <c r="S50">
        <f t="shared" si="20"/>
        <v>47</v>
      </c>
      <c r="T50">
        <v>36</v>
      </c>
      <c r="U50">
        <v>35</v>
      </c>
      <c r="V50">
        <v>33</v>
      </c>
      <c r="W50">
        <f t="shared" si="21"/>
        <v>104</v>
      </c>
      <c r="X50">
        <f t="shared" si="22"/>
        <v>86.67</v>
      </c>
      <c r="Y50">
        <f t="shared" si="23"/>
        <v>26</v>
      </c>
      <c r="Z50">
        <f t="shared" si="28"/>
        <v>90.6</v>
      </c>
      <c r="AA50">
        <f t="shared" si="29"/>
        <v>92</v>
      </c>
      <c r="AB50" t="str">
        <f t="shared" si="24"/>
        <v>Advancing</v>
      </c>
      <c r="AV50">
        <f t="shared" si="25"/>
        <v>90</v>
      </c>
      <c r="AW50">
        <f t="shared" si="26"/>
        <v>87.5</v>
      </c>
      <c r="AX50">
        <f t="shared" si="27"/>
        <v>82.5</v>
      </c>
    </row>
    <row r="51" spans="1:50" ht="15.6" x14ac:dyDescent="0.3">
      <c r="A51">
        <v>40</v>
      </c>
      <c r="B51" t="str">
        <f>INPUT!B51</f>
        <v>Zuniga, Vincent</v>
      </c>
      <c r="F51">
        <v>13</v>
      </c>
      <c r="G51">
        <v>15</v>
      </c>
      <c r="H51">
        <v>14</v>
      </c>
      <c r="I51">
        <v>13</v>
      </c>
      <c r="J51">
        <v>13</v>
      </c>
      <c r="K51">
        <f t="shared" si="15"/>
        <v>68</v>
      </c>
      <c r="L51">
        <f t="shared" si="16"/>
        <v>68</v>
      </c>
      <c r="M51">
        <f t="shared" si="17"/>
        <v>13.6</v>
      </c>
      <c r="N51">
        <v>32</v>
      </c>
      <c r="O51">
        <v>35</v>
      </c>
      <c r="P51">
        <v>36</v>
      </c>
      <c r="Q51">
        <f t="shared" si="18"/>
        <v>103</v>
      </c>
      <c r="R51">
        <f t="shared" si="19"/>
        <v>68.67</v>
      </c>
      <c r="S51">
        <f t="shared" si="20"/>
        <v>34.340000000000003</v>
      </c>
      <c r="T51">
        <v>23</v>
      </c>
      <c r="U51">
        <v>27</v>
      </c>
      <c r="V51">
        <v>26</v>
      </c>
      <c r="W51">
        <f t="shared" si="21"/>
        <v>76</v>
      </c>
      <c r="X51">
        <f t="shared" si="22"/>
        <v>63.33</v>
      </c>
      <c r="Y51">
        <f t="shared" si="23"/>
        <v>19</v>
      </c>
      <c r="Z51">
        <f t="shared" si="28"/>
        <v>66.94</v>
      </c>
      <c r="AA51">
        <f t="shared" si="29"/>
        <v>73</v>
      </c>
      <c r="AB51" t="str">
        <f t="shared" si="24"/>
        <v xml:space="preserve">Developing </v>
      </c>
      <c r="AV51">
        <f t="shared" si="25"/>
        <v>57.499999999999993</v>
      </c>
      <c r="AW51">
        <f t="shared" si="26"/>
        <v>67.5</v>
      </c>
      <c r="AX51">
        <f t="shared" si="27"/>
        <v>65</v>
      </c>
    </row>
    <row r="52" spans="1:50" ht="15.6" x14ac:dyDescent="0.3">
      <c r="A52">
        <v>41</v>
      </c>
      <c r="B52" t="str">
        <f>INPUT!B52</f>
        <v>Abad, Xavier</v>
      </c>
      <c r="F52">
        <v>16</v>
      </c>
      <c r="G52">
        <v>17</v>
      </c>
      <c r="H52">
        <v>15</v>
      </c>
      <c r="I52">
        <v>16</v>
      </c>
      <c r="J52">
        <v>17</v>
      </c>
      <c r="K52">
        <f t="shared" si="15"/>
        <v>81</v>
      </c>
      <c r="L52">
        <f t="shared" si="16"/>
        <v>81</v>
      </c>
      <c r="M52">
        <f t="shared" si="17"/>
        <v>16.2</v>
      </c>
      <c r="N52">
        <v>46</v>
      </c>
      <c r="O52">
        <v>45</v>
      </c>
      <c r="P52">
        <v>40</v>
      </c>
      <c r="Q52">
        <f t="shared" si="18"/>
        <v>131</v>
      </c>
      <c r="R52">
        <f t="shared" si="19"/>
        <v>87.33</v>
      </c>
      <c r="S52">
        <f t="shared" si="20"/>
        <v>43.67</v>
      </c>
      <c r="T52">
        <v>31</v>
      </c>
      <c r="U52">
        <v>33</v>
      </c>
      <c r="V52">
        <v>30</v>
      </c>
      <c r="W52">
        <f t="shared" si="21"/>
        <v>94</v>
      </c>
      <c r="X52">
        <f t="shared" si="22"/>
        <v>78.33</v>
      </c>
      <c r="Y52">
        <f t="shared" si="23"/>
        <v>23.5</v>
      </c>
      <c r="Z52">
        <f t="shared" si="28"/>
        <v>83.37</v>
      </c>
      <c r="AA52">
        <f t="shared" si="29"/>
        <v>85</v>
      </c>
      <c r="AB52" t="str">
        <f t="shared" si="24"/>
        <v>Benchmarking</v>
      </c>
      <c r="AV52">
        <f t="shared" si="25"/>
        <v>77.5</v>
      </c>
      <c r="AW52">
        <f t="shared" si="26"/>
        <v>82.5</v>
      </c>
      <c r="AX52">
        <f t="shared" si="27"/>
        <v>75</v>
      </c>
    </row>
    <row r="53" spans="1:50" ht="15.6" x14ac:dyDescent="0.3">
      <c r="A53">
        <v>42</v>
      </c>
      <c r="B53" t="str">
        <f>INPUT!B53</f>
        <v>Agustin, Zachary</v>
      </c>
      <c r="F53">
        <v>15</v>
      </c>
      <c r="G53">
        <v>14</v>
      </c>
      <c r="H53">
        <v>15</v>
      </c>
      <c r="I53">
        <v>14</v>
      </c>
      <c r="J53">
        <v>13</v>
      </c>
      <c r="K53">
        <f t="shared" si="15"/>
        <v>71</v>
      </c>
      <c r="L53">
        <f t="shared" si="16"/>
        <v>71</v>
      </c>
      <c r="M53">
        <f t="shared" si="17"/>
        <v>14.2</v>
      </c>
      <c r="N53">
        <v>36</v>
      </c>
      <c r="O53">
        <v>39</v>
      </c>
      <c r="P53">
        <v>38</v>
      </c>
      <c r="Q53">
        <f t="shared" si="18"/>
        <v>113</v>
      </c>
      <c r="R53">
        <f t="shared" si="19"/>
        <v>75.33</v>
      </c>
      <c r="S53">
        <f t="shared" si="20"/>
        <v>37.67</v>
      </c>
      <c r="T53">
        <v>24</v>
      </c>
      <c r="U53">
        <v>24</v>
      </c>
      <c r="V53">
        <v>29</v>
      </c>
      <c r="W53">
        <f t="shared" si="21"/>
        <v>77</v>
      </c>
      <c r="X53">
        <f t="shared" si="22"/>
        <v>64.17</v>
      </c>
      <c r="Y53">
        <f t="shared" si="23"/>
        <v>19.25</v>
      </c>
      <c r="Z53">
        <f t="shared" si="28"/>
        <v>71.12</v>
      </c>
      <c r="AA53">
        <f t="shared" si="29"/>
        <v>75</v>
      </c>
      <c r="AB53" t="str">
        <f t="shared" si="24"/>
        <v>Connecting</v>
      </c>
      <c r="AV53">
        <f t="shared" si="25"/>
        <v>60</v>
      </c>
      <c r="AW53">
        <f t="shared" si="26"/>
        <v>60</v>
      </c>
      <c r="AX53">
        <f t="shared" si="27"/>
        <v>72.5</v>
      </c>
    </row>
    <row r="54" spans="1:50" ht="15.6" x14ac:dyDescent="0.3">
      <c r="A54">
        <v>43</v>
      </c>
      <c r="B54" t="str">
        <f>INPUT!B54</f>
        <v>Alvarez, Alvin</v>
      </c>
      <c r="F54">
        <v>16</v>
      </c>
      <c r="G54">
        <v>16</v>
      </c>
      <c r="H54">
        <v>15</v>
      </c>
      <c r="I54">
        <v>16</v>
      </c>
      <c r="J54">
        <v>16</v>
      </c>
      <c r="K54">
        <f t="shared" si="15"/>
        <v>79</v>
      </c>
      <c r="L54">
        <f t="shared" si="16"/>
        <v>79</v>
      </c>
      <c r="M54">
        <f t="shared" si="17"/>
        <v>15.8</v>
      </c>
      <c r="N54">
        <v>42</v>
      </c>
      <c r="O54">
        <v>46</v>
      </c>
      <c r="P54">
        <v>40</v>
      </c>
      <c r="Q54">
        <f t="shared" si="18"/>
        <v>128</v>
      </c>
      <c r="R54">
        <f t="shared" si="19"/>
        <v>85.33</v>
      </c>
      <c r="S54">
        <f t="shared" si="20"/>
        <v>42.67</v>
      </c>
      <c r="T54">
        <v>34</v>
      </c>
      <c r="U54">
        <v>30</v>
      </c>
      <c r="V54">
        <v>32</v>
      </c>
      <c r="W54">
        <f t="shared" si="21"/>
        <v>96</v>
      </c>
      <c r="X54">
        <f t="shared" si="22"/>
        <v>80</v>
      </c>
      <c r="Y54">
        <f t="shared" si="23"/>
        <v>24</v>
      </c>
      <c r="Z54">
        <f t="shared" si="28"/>
        <v>82.47</v>
      </c>
      <c r="AA54">
        <f t="shared" si="29"/>
        <v>84</v>
      </c>
      <c r="AB54" t="str">
        <f t="shared" si="24"/>
        <v>Benchmarking</v>
      </c>
      <c r="AV54">
        <f t="shared" si="25"/>
        <v>85</v>
      </c>
      <c r="AW54">
        <f t="shared" si="26"/>
        <v>75</v>
      </c>
      <c r="AX54">
        <f t="shared" si="27"/>
        <v>80</v>
      </c>
    </row>
    <row r="55" spans="1:50" ht="15.6" x14ac:dyDescent="0.3">
      <c r="A55">
        <v>44</v>
      </c>
      <c r="B55" t="str">
        <f>INPUT!B55</f>
        <v>Aquino, Andre</v>
      </c>
      <c r="F55">
        <v>10</v>
      </c>
      <c r="G55">
        <v>9</v>
      </c>
      <c r="H55">
        <v>8</v>
      </c>
      <c r="I55">
        <v>11</v>
      </c>
      <c r="J55">
        <v>9</v>
      </c>
      <c r="K55">
        <f t="shared" si="15"/>
        <v>47</v>
      </c>
      <c r="L55">
        <f t="shared" si="16"/>
        <v>47</v>
      </c>
      <c r="M55">
        <f t="shared" si="17"/>
        <v>9.4</v>
      </c>
      <c r="N55">
        <v>26</v>
      </c>
      <c r="O55">
        <v>23</v>
      </c>
      <c r="P55">
        <v>27</v>
      </c>
      <c r="Q55">
        <f t="shared" si="18"/>
        <v>76</v>
      </c>
      <c r="R55">
        <f t="shared" si="19"/>
        <v>50.67</v>
      </c>
      <c r="S55">
        <f t="shared" si="20"/>
        <v>25.34</v>
      </c>
      <c r="T55">
        <v>17</v>
      </c>
      <c r="U55">
        <v>18</v>
      </c>
      <c r="V55">
        <v>15</v>
      </c>
      <c r="W55">
        <f t="shared" si="21"/>
        <v>50</v>
      </c>
      <c r="X55">
        <f t="shared" si="22"/>
        <v>41.67</v>
      </c>
      <c r="Y55">
        <f t="shared" si="23"/>
        <v>12.5</v>
      </c>
      <c r="Z55">
        <f t="shared" si="28"/>
        <v>47.24</v>
      </c>
      <c r="AA55">
        <f t="shared" si="29"/>
        <v>63</v>
      </c>
      <c r="AB55" t="str">
        <f t="shared" si="24"/>
        <v>Emerging</v>
      </c>
      <c r="AV55">
        <f t="shared" si="25"/>
        <v>42.5</v>
      </c>
      <c r="AW55">
        <f t="shared" si="26"/>
        <v>45</v>
      </c>
      <c r="AX55">
        <f t="shared" si="27"/>
        <v>37.5</v>
      </c>
    </row>
    <row r="56" spans="1:50" ht="15.6" x14ac:dyDescent="0.3">
      <c r="A56">
        <v>45</v>
      </c>
      <c r="B56" t="str">
        <f>INPUT!B56</f>
        <v>Arceo, Benedict</v>
      </c>
      <c r="F56">
        <v>17</v>
      </c>
      <c r="G56">
        <v>15</v>
      </c>
      <c r="H56">
        <v>17</v>
      </c>
      <c r="I56">
        <v>17</v>
      </c>
      <c r="J56">
        <v>14</v>
      </c>
      <c r="K56">
        <f t="shared" si="15"/>
        <v>80</v>
      </c>
      <c r="L56">
        <f t="shared" si="16"/>
        <v>80</v>
      </c>
      <c r="M56">
        <f t="shared" si="17"/>
        <v>16</v>
      </c>
      <c r="N56">
        <v>42</v>
      </c>
      <c r="O56">
        <v>43</v>
      </c>
      <c r="P56">
        <v>41</v>
      </c>
      <c r="Q56">
        <f t="shared" si="18"/>
        <v>126</v>
      </c>
      <c r="R56">
        <f t="shared" si="19"/>
        <v>84</v>
      </c>
      <c r="S56">
        <f t="shared" si="20"/>
        <v>42</v>
      </c>
      <c r="T56">
        <v>32</v>
      </c>
      <c r="U56">
        <v>31</v>
      </c>
      <c r="V56">
        <v>28</v>
      </c>
      <c r="W56">
        <f t="shared" si="21"/>
        <v>91</v>
      </c>
      <c r="X56">
        <f t="shared" si="22"/>
        <v>75.83</v>
      </c>
      <c r="Y56">
        <f t="shared" si="23"/>
        <v>22.75</v>
      </c>
      <c r="Z56">
        <f t="shared" si="28"/>
        <v>80.75</v>
      </c>
      <c r="AA56">
        <f t="shared" si="29"/>
        <v>82</v>
      </c>
      <c r="AB56" t="str">
        <f t="shared" si="24"/>
        <v>Benchmarking</v>
      </c>
      <c r="AV56">
        <f t="shared" si="25"/>
        <v>80</v>
      </c>
      <c r="AW56">
        <f t="shared" si="26"/>
        <v>77.5</v>
      </c>
      <c r="AX56">
        <f t="shared" si="27"/>
        <v>70</v>
      </c>
    </row>
    <row r="57" spans="1:50" ht="15.6" x14ac:dyDescent="0.3">
      <c r="A57">
        <v>46</v>
      </c>
      <c r="B57" t="str">
        <f>INPUT!B57</f>
        <v>Arellano, Cyrus</v>
      </c>
      <c r="F57">
        <v>18</v>
      </c>
      <c r="G57">
        <v>18</v>
      </c>
      <c r="H57">
        <v>18</v>
      </c>
      <c r="I57">
        <v>17</v>
      </c>
      <c r="J57">
        <v>17</v>
      </c>
      <c r="K57">
        <f t="shared" si="15"/>
        <v>88</v>
      </c>
      <c r="L57">
        <f t="shared" si="16"/>
        <v>88</v>
      </c>
      <c r="M57">
        <f t="shared" si="17"/>
        <v>17.600000000000001</v>
      </c>
      <c r="N57">
        <v>48</v>
      </c>
      <c r="O57">
        <v>48</v>
      </c>
      <c r="P57">
        <v>49</v>
      </c>
      <c r="Q57">
        <f t="shared" si="18"/>
        <v>145</v>
      </c>
      <c r="R57">
        <f t="shared" si="19"/>
        <v>96.67</v>
      </c>
      <c r="S57">
        <f t="shared" si="20"/>
        <v>48.34</v>
      </c>
      <c r="T57">
        <v>32</v>
      </c>
      <c r="U57">
        <v>36</v>
      </c>
      <c r="V57">
        <v>32</v>
      </c>
      <c r="W57">
        <f t="shared" si="21"/>
        <v>100</v>
      </c>
      <c r="X57">
        <f t="shared" si="22"/>
        <v>83.33</v>
      </c>
      <c r="Y57">
        <f t="shared" si="23"/>
        <v>25</v>
      </c>
      <c r="Z57">
        <f t="shared" si="28"/>
        <v>90.94</v>
      </c>
      <c r="AA57">
        <f t="shared" si="29"/>
        <v>92</v>
      </c>
      <c r="AB57" t="str">
        <f t="shared" si="24"/>
        <v>Advancing</v>
      </c>
      <c r="AV57">
        <f t="shared" si="25"/>
        <v>80</v>
      </c>
      <c r="AW57">
        <f t="shared" si="26"/>
        <v>90</v>
      </c>
      <c r="AX57">
        <f t="shared" si="27"/>
        <v>80</v>
      </c>
    </row>
    <row r="58" spans="1:50" ht="15.6" x14ac:dyDescent="0.3">
      <c r="A58">
        <v>47</v>
      </c>
      <c r="B58" t="str">
        <f>INPUT!B58</f>
        <v>Barrera, Dominic</v>
      </c>
      <c r="F58">
        <v>18</v>
      </c>
      <c r="G58">
        <v>17</v>
      </c>
      <c r="H58">
        <v>17</v>
      </c>
      <c r="I58">
        <v>17</v>
      </c>
      <c r="J58">
        <v>15</v>
      </c>
      <c r="K58">
        <f t="shared" si="15"/>
        <v>84</v>
      </c>
      <c r="L58">
        <f t="shared" si="16"/>
        <v>84</v>
      </c>
      <c r="M58">
        <f t="shared" si="17"/>
        <v>16.8</v>
      </c>
      <c r="N58">
        <v>40</v>
      </c>
      <c r="O58">
        <v>45</v>
      </c>
      <c r="P58">
        <v>45</v>
      </c>
      <c r="Q58">
        <f t="shared" si="18"/>
        <v>130</v>
      </c>
      <c r="R58">
        <f t="shared" si="19"/>
        <v>86.67</v>
      </c>
      <c r="S58">
        <f t="shared" si="20"/>
        <v>43.34</v>
      </c>
      <c r="T58">
        <v>29</v>
      </c>
      <c r="U58">
        <v>31</v>
      </c>
      <c r="V58">
        <v>31</v>
      </c>
      <c r="W58">
        <f t="shared" si="21"/>
        <v>91</v>
      </c>
      <c r="X58">
        <f t="shared" si="22"/>
        <v>75.83</v>
      </c>
      <c r="Y58">
        <f t="shared" si="23"/>
        <v>22.75</v>
      </c>
      <c r="Z58">
        <f t="shared" si="28"/>
        <v>82.89</v>
      </c>
      <c r="AA58">
        <f t="shared" si="29"/>
        <v>84</v>
      </c>
      <c r="AB58" t="str">
        <f t="shared" si="24"/>
        <v>Benchmarking</v>
      </c>
      <c r="AV58">
        <f t="shared" si="25"/>
        <v>72.5</v>
      </c>
      <c r="AW58">
        <f t="shared" si="26"/>
        <v>77.5</v>
      </c>
      <c r="AX58">
        <f t="shared" si="27"/>
        <v>77.5</v>
      </c>
    </row>
    <row r="59" spans="1:50" ht="15.6" x14ac:dyDescent="0.3">
      <c r="A59">
        <v>48</v>
      </c>
      <c r="B59" t="str">
        <f>INPUT!B59</f>
        <v>Cabral, Emmanuel</v>
      </c>
      <c r="F59">
        <v>16</v>
      </c>
      <c r="G59">
        <v>16</v>
      </c>
      <c r="H59">
        <v>15</v>
      </c>
      <c r="I59">
        <v>14</v>
      </c>
      <c r="J59">
        <v>15</v>
      </c>
      <c r="K59">
        <f t="shared" si="15"/>
        <v>76</v>
      </c>
      <c r="L59">
        <f t="shared" si="16"/>
        <v>76</v>
      </c>
      <c r="M59">
        <f t="shared" si="17"/>
        <v>15.2</v>
      </c>
      <c r="N59">
        <v>42</v>
      </c>
      <c r="O59">
        <v>37</v>
      </c>
      <c r="P59">
        <v>40</v>
      </c>
      <c r="Q59">
        <f t="shared" si="18"/>
        <v>119</v>
      </c>
      <c r="R59">
        <f t="shared" si="19"/>
        <v>79.33</v>
      </c>
      <c r="S59">
        <f t="shared" si="20"/>
        <v>39.67</v>
      </c>
      <c r="T59">
        <v>31</v>
      </c>
      <c r="U59">
        <v>28</v>
      </c>
      <c r="V59">
        <v>26</v>
      </c>
      <c r="W59">
        <f t="shared" si="21"/>
        <v>85</v>
      </c>
      <c r="X59">
        <f t="shared" si="22"/>
        <v>70.83</v>
      </c>
      <c r="Y59">
        <f t="shared" si="23"/>
        <v>21.25</v>
      </c>
      <c r="Z59">
        <f t="shared" si="28"/>
        <v>76.12</v>
      </c>
      <c r="AA59">
        <f t="shared" si="29"/>
        <v>78</v>
      </c>
      <c r="AB59" t="str">
        <f t="shared" si="24"/>
        <v>Connecting</v>
      </c>
      <c r="AV59">
        <f t="shared" si="25"/>
        <v>77.5</v>
      </c>
      <c r="AW59">
        <f t="shared" si="26"/>
        <v>70</v>
      </c>
      <c r="AX59">
        <f t="shared" si="27"/>
        <v>65</v>
      </c>
    </row>
    <row r="60" spans="1:50" ht="15.6" x14ac:dyDescent="0.3">
      <c r="A60">
        <v>49</v>
      </c>
      <c r="B60" t="str">
        <f>INPUT!B60</f>
        <v>David, Francis</v>
      </c>
      <c r="F60">
        <v>16</v>
      </c>
      <c r="G60">
        <v>17</v>
      </c>
      <c r="H60">
        <v>16</v>
      </c>
      <c r="I60">
        <v>18</v>
      </c>
      <c r="J60">
        <v>16</v>
      </c>
      <c r="K60">
        <f t="shared" si="15"/>
        <v>83</v>
      </c>
      <c r="L60">
        <f t="shared" si="16"/>
        <v>83</v>
      </c>
      <c r="M60">
        <f t="shared" si="17"/>
        <v>16.600000000000001</v>
      </c>
      <c r="N60">
        <v>44</v>
      </c>
      <c r="O60">
        <v>41</v>
      </c>
      <c r="P60">
        <v>42</v>
      </c>
      <c r="Q60">
        <f t="shared" si="18"/>
        <v>127</v>
      </c>
      <c r="R60">
        <f t="shared" si="19"/>
        <v>84.67</v>
      </c>
      <c r="S60">
        <f t="shared" si="20"/>
        <v>42.34</v>
      </c>
      <c r="T60">
        <v>31</v>
      </c>
      <c r="U60">
        <v>29</v>
      </c>
      <c r="V60">
        <v>32</v>
      </c>
      <c r="W60">
        <f t="shared" si="21"/>
        <v>92</v>
      </c>
      <c r="X60">
        <f t="shared" si="22"/>
        <v>76.67</v>
      </c>
      <c r="Y60">
        <f t="shared" si="23"/>
        <v>23</v>
      </c>
      <c r="Z60">
        <f t="shared" si="28"/>
        <v>81.94</v>
      </c>
      <c r="AA60">
        <f t="shared" si="29"/>
        <v>83</v>
      </c>
      <c r="AB60" t="str">
        <f t="shared" si="24"/>
        <v>Benchmarking</v>
      </c>
      <c r="AV60">
        <f t="shared" si="25"/>
        <v>77.5</v>
      </c>
      <c r="AW60">
        <f t="shared" si="26"/>
        <v>72.5</v>
      </c>
      <c r="AX60">
        <f t="shared" si="27"/>
        <v>80</v>
      </c>
    </row>
    <row r="61" spans="1:50" ht="15.6" x14ac:dyDescent="0.3">
      <c r="A61">
        <v>50</v>
      </c>
      <c r="B61" t="str">
        <f>INPUT!B61</f>
        <v>Escobar, Gian</v>
      </c>
      <c r="F61">
        <v>16</v>
      </c>
      <c r="G61">
        <v>19</v>
      </c>
      <c r="H61">
        <v>17</v>
      </c>
      <c r="I61">
        <v>17</v>
      </c>
      <c r="J61">
        <v>17</v>
      </c>
      <c r="K61">
        <f t="shared" si="15"/>
        <v>86</v>
      </c>
      <c r="L61">
        <f t="shared" si="16"/>
        <v>86</v>
      </c>
      <c r="M61">
        <f t="shared" si="17"/>
        <v>17.2</v>
      </c>
      <c r="N61">
        <v>44</v>
      </c>
      <c r="O61">
        <v>44</v>
      </c>
      <c r="P61">
        <v>45</v>
      </c>
      <c r="Q61">
        <f t="shared" si="18"/>
        <v>133</v>
      </c>
      <c r="R61">
        <f t="shared" si="19"/>
        <v>88.67</v>
      </c>
      <c r="S61">
        <f t="shared" si="20"/>
        <v>44.34</v>
      </c>
      <c r="T61">
        <v>35</v>
      </c>
      <c r="U61">
        <v>32</v>
      </c>
      <c r="V61">
        <v>35</v>
      </c>
      <c r="W61">
        <f t="shared" si="21"/>
        <v>102</v>
      </c>
      <c r="X61">
        <f t="shared" si="22"/>
        <v>85</v>
      </c>
      <c r="Y61">
        <f t="shared" si="23"/>
        <v>25.5</v>
      </c>
      <c r="Z61">
        <f t="shared" si="28"/>
        <v>87.04</v>
      </c>
      <c r="AA61">
        <f t="shared" si="29"/>
        <v>89</v>
      </c>
      <c r="AB61" t="str">
        <f t="shared" si="24"/>
        <v>Benchmarking</v>
      </c>
      <c r="AV61">
        <f t="shared" si="25"/>
        <v>87.5</v>
      </c>
      <c r="AW61">
        <f t="shared" si="26"/>
        <v>80</v>
      </c>
      <c r="AX61">
        <f t="shared" si="27"/>
        <v>87.5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20</v>
      </c>
      <c r="G63">
        <v>20</v>
      </c>
      <c r="H63">
        <v>19</v>
      </c>
      <c r="I63">
        <v>19</v>
      </c>
      <c r="J63">
        <v>20</v>
      </c>
      <c r="K63">
        <f t="shared" ref="K63:K94" si="30">IF(COUNT($F63:$J63)=0,"",SUM($F63:$J63))</f>
        <v>98</v>
      </c>
      <c r="L63">
        <f t="shared" ref="L63:L94" si="31">IF(ISERROR(IF($K63="","",ROUND(($K63/$K$10)*$L$10,2))),"",IF($K63="","",ROUND(($K63/$K$10)*$L$10,2)))</f>
        <v>98</v>
      </c>
      <c r="M63">
        <f t="shared" ref="M63:M94" si="32">IF($L63="","",ROUND($L63*$M$10,2))</f>
        <v>19.600000000000001</v>
      </c>
      <c r="N63">
        <v>50</v>
      </c>
      <c r="O63">
        <v>48</v>
      </c>
      <c r="P63">
        <v>49</v>
      </c>
      <c r="Q63">
        <f t="shared" ref="Q63:Q94" si="33">IF(COUNT($N63:$P63)=0,"",SUM($N63:$P63))</f>
        <v>147</v>
      </c>
      <c r="R63">
        <f t="shared" ref="R63:R94" si="34">IF(ISERROR(IF($Q63="","",ROUND(($Q63/$Q$10)*$R$10,2))),"",IF($Q63="","",ROUND(($Q63/$Q$10)*$R$10,2)))</f>
        <v>98</v>
      </c>
      <c r="S63">
        <f t="shared" ref="S63:S94" si="35">IF($R63="","",ROUND($R63*$S$10,2))</f>
        <v>49</v>
      </c>
      <c r="T63">
        <v>36</v>
      </c>
      <c r="U63">
        <v>35</v>
      </c>
      <c r="V63">
        <v>39</v>
      </c>
      <c r="W63">
        <f t="shared" ref="W63:W94" si="36">IF(COUNT($T63:$V63)=0,"",SUM($T63:$V63))</f>
        <v>110</v>
      </c>
      <c r="X63">
        <f t="shared" ref="X63:X94" si="37">IF(ISERROR(IF($W63="","",ROUND(($W63/$W$10)*$X$10,2))),"",IF($W63="","",ROUND(($W63/$W$10)*$X$10,2)))</f>
        <v>91.67</v>
      </c>
      <c r="Y63">
        <f t="shared" ref="Y63:Y94" si="38">IF($X63="","",ROUND($X63*$Y$10,2))</f>
        <v>27.5</v>
      </c>
      <c r="Z63">
        <f t="shared" ref="Z63:Z94" si="39">IF(ISERROR(IF($V63="","",ROUND(SUM($M63,$S63,$Y63),2))),"",IF($V63="","",ROUND(SUM($M63,$S63,$Y63),2)))</f>
        <v>96.1</v>
      </c>
      <c r="AA63">
        <f t="shared" ref="AA63:AA94" si="40">IF(ISERROR(IF($V63="","",VLOOKUP(Z63,NewTransmu,4,TRUE))),"",IF($V63="","",VLOOKUP(Z63,NewTransmu,4,TRUE)))</f>
        <v>98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90</v>
      </c>
      <c r="AW63">
        <f t="shared" si="26"/>
        <v>87.5</v>
      </c>
      <c r="AX63">
        <f t="shared" si="27"/>
        <v>97.5</v>
      </c>
    </row>
    <row r="64" spans="1:50" ht="15.6" x14ac:dyDescent="0.3">
      <c r="A64">
        <v>2</v>
      </c>
      <c r="B64" t="str">
        <f>INPUT!B64</f>
        <v>Garcia, Angela</v>
      </c>
      <c r="F64">
        <v>16</v>
      </c>
      <c r="G64">
        <v>16</v>
      </c>
      <c r="H64">
        <v>16</v>
      </c>
      <c r="I64">
        <v>16</v>
      </c>
      <c r="J64">
        <v>15</v>
      </c>
      <c r="K64">
        <f t="shared" si="30"/>
        <v>79</v>
      </c>
      <c r="L64">
        <f t="shared" si="31"/>
        <v>79</v>
      </c>
      <c r="M64">
        <f t="shared" si="32"/>
        <v>15.8</v>
      </c>
      <c r="N64">
        <v>40</v>
      </c>
      <c r="O64">
        <v>39</v>
      </c>
      <c r="P64">
        <v>38</v>
      </c>
      <c r="Q64">
        <f t="shared" si="33"/>
        <v>117</v>
      </c>
      <c r="R64">
        <f t="shared" si="34"/>
        <v>78</v>
      </c>
      <c r="S64">
        <f t="shared" si="35"/>
        <v>39</v>
      </c>
      <c r="T64">
        <v>31</v>
      </c>
      <c r="U64">
        <v>28</v>
      </c>
      <c r="V64">
        <v>30</v>
      </c>
      <c r="W64">
        <f t="shared" si="36"/>
        <v>89</v>
      </c>
      <c r="X64">
        <f t="shared" si="37"/>
        <v>74.17</v>
      </c>
      <c r="Y64">
        <f t="shared" si="38"/>
        <v>22.25</v>
      </c>
      <c r="Z64">
        <f t="shared" si="39"/>
        <v>77.05</v>
      </c>
      <c r="AA64">
        <f t="shared" si="40"/>
        <v>79</v>
      </c>
      <c r="AB64" t="str">
        <f t="shared" si="41"/>
        <v>Connecting</v>
      </c>
      <c r="AV64">
        <f t="shared" si="25"/>
        <v>77.5</v>
      </c>
      <c r="AW64">
        <f t="shared" si="26"/>
        <v>70</v>
      </c>
      <c r="AX64">
        <f t="shared" si="27"/>
        <v>75</v>
      </c>
    </row>
    <row r="65" spans="1:50" ht="15.6" x14ac:dyDescent="0.3">
      <c r="A65">
        <v>3</v>
      </c>
      <c r="B65" t="str">
        <f>INPUT!B65</f>
        <v>Gonzales, Bea</v>
      </c>
      <c r="F65">
        <v>16</v>
      </c>
      <c r="G65">
        <v>17</v>
      </c>
      <c r="H65">
        <v>17</v>
      </c>
      <c r="I65">
        <v>16</v>
      </c>
      <c r="J65">
        <v>14</v>
      </c>
      <c r="K65">
        <f t="shared" si="30"/>
        <v>80</v>
      </c>
      <c r="L65">
        <f t="shared" si="31"/>
        <v>80</v>
      </c>
      <c r="M65">
        <f t="shared" si="32"/>
        <v>16</v>
      </c>
      <c r="N65">
        <v>37</v>
      </c>
      <c r="O65">
        <v>42</v>
      </c>
      <c r="P65">
        <v>37</v>
      </c>
      <c r="Q65">
        <f t="shared" si="33"/>
        <v>116</v>
      </c>
      <c r="R65">
        <f t="shared" si="34"/>
        <v>77.33</v>
      </c>
      <c r="S65">
        <f t="shared" si="35"/>
        <v>38.67</v>
      </c>
      <c r="T65">
        <v>28</v>
      </c>
      <c r="U65">
        <v>28</v>
      </c>
      <c r="V65">
        <v>28</v>
      </c>
      <c r="W65">
        <f t="shared" si="36"/>
        <v>84</v>
      </c>
      <c r="X65">
        <f t="shared" si="37"/>
        <v>70</v>
      </c>
      <c r="Y65">
        <f t="shared" si="38"/>
        <v>21</v>
      </c>
      <c r="Z65">
        <f t="shared" si="39"/>
        <v>75.67</v>
      </c>
      <c r="AA65">
        <f t="shared" si="40"/>
        <v>77</v>
      </c>
      <c r="AB65" t="str">
        <f t="shared" si="41"/>
        <v>Connecting</v>
      </c>
      <c r="AV65">
        <f t="shared" si="25"/>
        <v>70</v>
      </c>
      <c r="AW65">
        <f t="shared" si="26"/>
        <v>70</v>
      </c>
      <c r="AX65">
        <f t="shared" si="27"/>
        <v>70</v>
      </c>
    </row>
    <row r="66" spans="1:50" ht="15.6" x14ac:dyDescent="0.3">
      <c r="A66">
        <v>4</v>
      </c>
      <c r="B66" t="str">
        <f>INPUT!B66</f>
        <v>Hernandez, Bianca</v>
      </c>
      <c r="F66">
        <v>17</v>
      </c>
      <c r="G66">
        <v>17</v>
      </c>
      <c r="H66">
        <v>17</v>
      </c>
      <c r="I66">
        <v>15</v>
      </c>
      <c r="J66">
        <v>16</v>
      </c>
      <c r="K66">
        <f t="shared" si="30"/>
        <v>82</v>
      </c>
      <c r="L66">
        <f t="shared" si="31"/>
        <v>82</v>
      </c>
      <c r="M66">
        <f t="shared" si="32"/>
        <v>16.399999999999999</v>
      </c>
      <c r="N66">
        <v>42</v>
      </c>
      <c r="O66">
        <v>43</v>
      </c>
      <c r="P66">
        <v>44</v>
      </c>
      <c r="Q66">
        <f t="shared" si="33"/>
        <v>129</v>
      </c>
      <c r="R66">
        <f t="shared" si="34"/>
        <v>86</v>
      </c>
      <c r="S66">
        <f t="shared" si="35"/>
        <v>43</v>
      </c>
      <c r="T66">
        <v>29</v>
      </c>
      <c r="U66">
        <v>31</v>
      </c>
      <c r="V66">
        <v>32</v>
      </c>
      <c r="W66">
        <f t="shared" si="36"/>
        <v>92</v>
      </c>
      <c r="X66">
        <f t="shared" si="37"/>
        <v>76.67</v>
      </c>
      <c r="Y66">
        <f t="shared" si="38"/>
        <v>23</v>
      </c>
      <c r="Z66">
        <f t="shared" si="39"/>
        <v>82.4</v>
      </c>
      <c r="AA66">
        <f t="shared" si="40"/>
        <v>84</v>
      </c>
      <c r="AB66" t="str">
        <f t="shared" si="41"/>
        <v>Benchmarking</v>
      </c>
      <c r="AV66">
        <f t="shared" si="25"/>
        <v>72.5</v>
      </c>
      <c r="AW66">
        <f t="shared" si="26"/>
        <v>77.5</v>
      </c>
      <c r="AX66">
        <f t="shared" si="27"/>
        <v>80</v>
      </c>
    </row>
    <row r="67" spans="1:50" ht="15.6" x14ac:dyDescent="0.3">
      <c r="A67">
        <v>5</v>
      </c>
      <c r="B67" t="str">
        <f>INPUT!B67</f>
        <v>Ilagan, Camille</v>
      </c>
      <c r="F67">
        <v>20</v>
      </c>
      <c r="G67">
        <v>19</v>
      </c>
      <c r="H67">
        <v>20</v>
      </c>
      <c r="I67">
        <v>20</v>
      </c>
      <c r="J67">
        <v>20</v>
      </c>
      <c r="K67">
        <f t="shared" si="30"/>
        <v>99</v>
      </c>
      <c r="L67">
        <f t="shared" si="31"/>
        <v>99</v>
      </c>
      <c r="M67">
        <f t="shared" si="32"/>
        <v>19.8</v>
      </c>
      <c r="N67">
        <v>48</v>
      </c>
      <c r="O67">
        <v>50</v>
      </c>
      <c r="P67">
        <v>50</v>
      </c>
      <c r="Q67">
        <f t="shared" si="33"/>
        <v>148</v>
      </c>
      <c r="R67">
        <f t="shared" si="34"/>
        <v>98.67</v>
      </c>
      <c r="S67">
        <f t="shared" si="35"/>
        <v>49.34</v>
      </c>
      <c r="T67">
        <v>35</v>
      </c>
      <c r="U67">
        <v>35</v>
      </c>
      <c r="V67">
        <v>39</v>
      </c>
      <c r="W67">
        <f t="shared" si="36"/>
        <v>109</v>
      </c>
      <c r="X67">
        <f t="shared" si="37"/>
        <v>90.83</v>
      </c>
      <c r="Y67">
        <f t="shared" si="38"/>
        <v>27.25</v>
      </c>
      <c r="Z67">
        <f t="shared" si="39"/>
        <v>96.39</v>
      </c>
      <c r="AA67">
        <f t="shared" si="40"/>
        <v>98</v>
      </c>
      <c r="AB67" t="str">
        <f t="shared" si="41"/>
        <v>Advancing</v>
      </c>
      <c r="AV67">
        <f t="shared" si="25"/>
        <v>87.5</v>
      </c>
      <c r="AW67">
        <f t="shared" si="26"/>
        <v>87.5</v>
      </c>
      <c r="AX67">
        <f t="shared" si="27"/>
        <v>97.5</v>
      </c>
    </row>
    <row r="68" spans="1:50" ht="15.6" x14ac:dyDescent="0.3">
      <c r="A68">
        <v>6</v>
      </c>
      <c r="B68" t="str">
        <f>INPUT!B68</f>
        <v>Jimenez, Carla</v>
      </c>
      <c r="F68">
        <v>17</v>
      </c>
      <c r="G68">
        <v>17</v>
      </c>
      <c r="H68">
        <v>18</v>
      </c>
      <c r="I68">
        <v>19</v>
      </c>
      <c r="J68">
        <v>18</v>
      </c>
      <c r="K68">
        <f t="shared" si="30"/>
        <v>89</v>
      </c>
      <c r="L68">
        <f t="shared" si="31"/>
        <v>89</v>
      </c>
      <c r="M68">
        <f t="shared" si="32"/>
        <v>17.8</v>
      </c>
      <c r="N68">
        <v>45</v>
      </c>
      <c r="O68">
        <v>44</v>
      </c>
      <c r="P68">
        <v>50</v>
      </c>
      <c r="Q68">
        <f t="shared" si="33"/>
        <v>139</v>
      </c>
      <c r="R68">
        <f t="shared" si="34"/>
        <v>92.67</v>
      </c>
      <c r="S68">
        <f t="shared" si="35"/>
        <v>46.34</v>
      </c>
      <c r="T68">
        <v>35</v>
      </c>
      <c r="U68">
        <v>35</v>
      </c>
      <c r="V68">
        <v>37</v>
      </c>
      <c r="W68">
        <f t="shared" si="36"/>
        <v>107</v>
      </c>
      <c r="X68">
        <f t="shared" si="37"/>
        <v>89.17</v>
      </c>
      <c r="Y68">
        <f t="shared" si="38"/>
        <v>26.75</v>
      </c>
      <c r="Z68">
        <f t="shared" si="39"/>
        <v>90.89</v>
      </c>
      <c r="AA68">
        <f t="shared" si="40"/>
        <v>92</v>
      </c>
      <c r="AB68" t="str">
        <f t="shared" si="41"/>
        <v>Advancing</v>
      </c>
      <c r="AV68">
        <f t="shared" si="25"/>
        <v>87.5</v>
      </c>
      <c r="AW68">
        <f t="shared" si="26"/>
        <v>87.5</v>
      </c>
      <c r="AX68">
        <f t="shared" si="27"/>
        <v>92.5</v>
      </c>
    </row>
    <row r="69" spans="1:50" ht="15.6" x14ac:dyDescent="0.3">
      <c r="A69">
        <v>7</v>
      </c>
      <c r="B69" t="str">
        <f>INPUT!B69</f>
        <v>Lacson, Chloe</v>
      </c>
      <c r="F69">
        <v>15</v>
      </c>
      <c r="G69">
        <v>15</v>
      </c>
      <c r="H69">
        <v>15</v>
      </c>
      <c r="I69">
        <v>13</v>
      </c>
      <c r="J69">
        <v>15</v>
      </c>
      <c r="K69">
        <f t="shared" si="30"/>
        <v>73</v>
      </c>
      <c r="L69">
        <f t="shared" si="31"/>
        <v>73</v>
      </c>
      <c r="M69">
        <f t="shared" si="32"/>
        <v>14.6</v>
      </c>
      <c r="N69">
        <v>34</v>
      </c>
      <c r="O69">
        <v>37</v>
      </c>
      <c r="P69">
        <v>36</v>
      </c>
      <c r="Q69">
        <f t="shared" si="33"/>
        <v>107</v>
      </c>
      <c r="R69">
        <f t="shared" si="34"/>
        <v>71.33</v>
      </c>
      <c r="S69">
        <f t="shared" si="35"/>
        <v>35.67</v>
      </c>
      <c r="T69">
        <v>26</v>
      </c>
      <c r="U69">
        <v>26</v>
      </c>
      <c r="V69">
        <v>24</v>
      </c>
      <c r="W69">
        <f t="shared" si="36"/>
        <v>76</v>
      </c>
      <c r="X69">
        <f t="shared" si="37"/>
        <v>63.33</v>
      </c>
      <c r="Y69">
        <f t="shared" si="38"/>
        <v>19</v>
      </c>
      <c r="Z69">
        <f t="shared" si="39"/>
        <v>69.27</v>
      </c>
      <c r="AA69">
        <f t="shared" si="40"/>
        <v>74</v>
      </c>
      <c r="AB69" t="str">
        <f t="shared" si="41"/>
        <v xml:space="preserve">Developing </v>
      </c>
      <c r="AV69">
        <f t="shared" si="25"/>
        <v>65</v>
      </c>
      <c r="AW69">
        <f t="shared" si="26"/>
        <v>65</v>
      </c>
      <c r="AX69">
        <f t="shared" si="27"/>
        <v>60</v>
      </c>
    </row>
    <row r="70" spans="1:50" ht="15.6" x14ac:dyDescent="0.3">
      <c r="A70">
        <v>8</v>
      </c>
      <c r="B70" t="str">
        <f>INPUT!B70</f>
        <v>Lim, Clarisse</v>
      </c>
      <c r="F70">
        <v>17</v>
      </c>
      <c r="G70">
        <v>18</v>
      </c>
      <c r="H70">
        <v>16</v>
      </c>
      <c r="I70">
        <v>17</v>
      </c>
      <c r="J70">
        <v>16</v>
      </c>
      <c r="K70">
        <f t="shared" si="30"/>
        <v>84</v>
      </c>
      <c r="L70">
        <f t="shared" si="31"/>
        <v>84</v>
      </c>
      <c r="M70">
        <f t="shared" si="32"/>
        <v>16.8</v>
      </c>
      <c r="N70">
        <v>42</v>
      </c>
      <c r="O70">
        <v>46</v>
      </c>
      <c r="P70">
        <v>44</v>
      </c>
      <c r="Q70">
        <f t="shared" si="33"/>
        <v>132</v>
      </c>
      <c r="R70">
        <f t="shared" si="34"/>
        <v>88</v>
      </c>
      <c r="S70">
        <f t="shared" si="35"/>
        <v>44</v>
      </c>
      <c r="T70">
        <v>34</v>
      </c>
      <c r="U70">
        <v>31</v>
      </c>
      <c r="V70">
        <v>31</v>
      </c>
      <c r="W70">
        <f t="shared" si="36"/>
        <v>96</v>
      </c>
      <c r="X70">
        <f t="shared" si="37"/>
        <v>80</v>
      </c>
      <c r="Y70">
        <f t="shared" si="38"/>
        <v>24</v>
      </c>
      <c r="Z70">
        <f t="shared" si="39"/>
        <v>84.8</v>
      </c>
      <c r="AA70">
        <f t="shared" si="40"/>
        <v>86</v>
      </c>
      <c r="AB70" t="str">
        <f t="shared" si="41"/>
        <v>Benchmarking</v>
      </c>
      <c r="AV70">
        <f t="shared" si="25"/>
        <v>85</v>
      </c>
      <c r="AW70">
        <f t="shared" si="26"/>
        <v>77.5</v>
      </c>
      <c r="AX70">
        <f t="shared" si="27"/>
        <v>77.5</v>
      </c>
    </row>
    <row r="71" spans="1:50" ht="15.6" x14ac:dyDescent="0.3">
      <c r="A71">
        <v>9</v>
      </c>
      <c r="B71" t="str">
        <f>INPUT!B71</f>
        <v>Manalo, Danica</v>
      </c>
      <c r="F71">
        <v>14</v>
      </c>
      <c r="G71">
        <v>12</v>
      </c>
      <c r="H71">
        <v>14</v>
      </c>
      <c r="I71">
        <v>14</v>
      </c>
      <c r="J71">
        <v>13</v>
      </c>
      <c r="K71">
        <f t="shared" si="30"/>
        <v>67</v>
      </c>
      <c r="L71">
        <f t="shared" si="31"/>
        <v>67</v>
      </c>
      <c r="M71">
        <f t="shared" si="32"/>
        <v>13.4</v>
      </c>
      <c r="N71">
        <v>37</v>
      </c>
      <c r="O71">
        <v>36</v>
      </c>
      <c r="P71">
        <v>38</v>
      </c>
      <c r="Q71">
        <f t="shared" si="33"/>
        <v>111</v>
      </c>
      <c r="R71">
        <f t="shared" si="34"/>
        <v>74</v>
      </c>
      <c r="S71">
        <f t="shared" si="35"/>
        <v>37</v>
      </c>
      <c r="T71">
        <v>24</v>
      </c>
      <c r="U71">
        <v>24</v>
      </c>
      <c r="V71">
        <v>27</v>
      </c>
      <c r="W71">
        <f t="shared" si="36"/>
        <v>75</v>
      </c>
      <c r="X71">
        <f t="shared" si="37"/>
        <v>62.5</v>
      </c>
      <c r="Y71">
        <f t="shared" si="38"/>
        <v>18.75</v>
      </c>
      <c r="Z71">
        <f t="shared" si="39"/>
        <v>69.150000000000006</v>
      </c>
      <c r="AA71">
        <f t="shared" si="40"/>
        <v>74</v>
      </c>
      <c r="AB71" t="str">
        <f t="shared" si="41"/>
        <v xml:space="preserve">Developing </v>
      </c>
      <c r="AV71">
        <f t="shared" si="25"/>
        <v>60</v>
      </c>
      <c r="AW71">
        <f t="shared" si="26"/>
        <v>60</v>
      </c>
      <c r="AX71">
        <f t="shared" si="27"/>
        <v>67.5</v>
      </c>
    </row>
    <row r="72" spans="1:50" ht="15.6" x14ac:dyDescent="0.3">
      <c r="A72">
        <v>10</v>
      </c>
      <c r="B72" t="str">
        <f>INPUT!B72</f>
        <v>Mendoza, Diana</v>
      </c>
      <c r="F72">
        <v>17</v>
      </c>
      <c r="G72">
        <v>17</v>
      </c>
      <c r="H72">
        <v>17</v>
      </c>
      <c r="I72">
        <v>18</v>
      </c>
      <c r="J72">
        <v>16</v>
      </c>
      <c r="K72">
        <f t="shared" si="30"/>
        <v>85</v>
      </c>
      <c r="L72">
        <f t="shared" si="31"/>
        <v>85</v>
      </c>
      <c r="M72">
        <f t="shared" si="32"/>
        <v>17</v>
      </c>
      <c r="N72">
        <v>43</v>
      </c>
      <c r="O72">
        <v>45</v>
      </c>
      <c r="P72">
        <v>41</v>
      </c>
      <c r="Q72">
        <f t="shared" si="33"/>
        <v>129</v>
      </c>
      <c r="R72">
        <f t="shared" si="34"/>
        <v>86</v>
      </c>
      <c r="S72">
        <f t="shared" si="35"/>
        <v>43</v>
      </c>
      <c r="T72">
        <v>33</v>
      </c>
      <c r="U72">
        <v>32</v>
      </c>
      <c r="V72">
        <v>34</v>
      </c>
      <c r="W72">
        <f t="shared" si="36"/>
        <v>99</v>
      </c>
      <c r="X72">
        <f t="shared" si="37"/>
        <v>82.5</v>
      </c>
      <c r="Y72">
        <f t="shared" si="38"/>
        <v>24.75</v>
      </c>
      <c r="Z72">
        <f t="shared" si="39"/>
        <v>84.75</v>
      </c>
      <c r="AA72">
        <f t="shared" si="40"/>
        <v>86</v>
      </c>
      <c r="AB72" t="str">
        <f t="shared" si="41"/>
        <v>Benchmarking</v>
      </c>
      <c r="AV72">
        <f t="shared" si="25"/>
        <v>82.5</v>
      </c>
      <c r="AW72">
        <f t="shared" si="26"/>
        <v>80</v>
      </c>
      <c r="AX72">
        <f t="shared" si="27"/>
        <v>85</v>
      </c>
    </row>
    <row r="73" spans="1:50" ht="15.6" x14ac:dyDescent="0.3">
      <c r="A73">
        <v>11</v>
      </c>
      <c r="B73" t="str">
        <f>INPUT!B73</f>
        <v>Navarro, Elena</v>
      </c>
      <c r="F73">
        <v>16</v>
      </c>
      <c r="G73">
        <v>17</v>
      </c>
      <c r="H73">
        <v>16</v>
      </c>
      <c r="I73">
        <v>16</v>
      </c>
      <c r="J73">
        <v>17</v>
      </c>
      <c r="K73">
        <f t="shared" si="30"/>
        <v>82</v>
      </c>
      <c r="L73">
        <f t="shared" si="31"/>
        <v>82</v>
      </c>
      <c r="M73">
        <f t="shared" si="32"/>
        <v>16.399999999999999</v>
      </c>
      <c r="N73">
        <v>46</v>
      </c>
      <c r="O73">
        <v>44</v>
      </c>
      <c r="P73">
        <v>40</v>
      </c>
      <c r="Q73">
        <f t="shared" si="33"/>
        <v>130</v>
      </c>
      <c r="R73">
        <f t="shared" si="34"/>
        <v>86.67</v>
      </c>
      <c r="S73">
        <f t="shared" si="35"/>
        <v>43.34</v>
      </c>
      <c r="T73">
        <v>31</v>
      </c>
      <c r="U73">
        <v>32</v>
      </c>
      <c r="V73">
        <v>29</v>
      </c>
      <c r="W73">
        <f t="shared" si="36"/>
        <v>92</v>
      </c>
      <c r="X73">
        <f t="shared" si="37"/>
        <v>76.67</v>
      </c>
      <c r="Y73">
        <f t="shared" si="38"/>
        <v>23</v>
      </c>
      <c r="Z73">
        <f t="shared" si="39"/>
        <v>82.74</v>
      </c>
      <c r="AA73">
        <f t="shared" si="40"/>
        <v>84</v>
      </c>
      <c r="AB73" t="str">
        <f t="shared" si="41"/>
        <v>Benchmarking</v>
      </c>
      <c r="AV73">
        <f t="shared" si="25"/>
        <v>77.5</v>
      </c>
      <c r="AW73">
        <f t="shared" si="26"/>
        <v>80</v>
      </c>
      <c r="AX73">
        <f t="shared" si="27"/>
        <v>72.5</v>
      </c>
    </row>
    <row r="74" spans="1:50" ht="15.6" x14ac:dyDescent="0.3">
      <c r="A74">
        <v>12</v>
      </c>
      <c r="B74" t="str">
        <f>INPUT!B74</f>
        <v>Ocampo, Ella</v>
      </c>
      <c r="F74">
        <v>16</v>
      </c>
      <c r="G74">
        <v>14</v>
      </c>
      <c r="H74">
        <v>17</v>
      </c>
      <c r="I74">
        <v>16</v>
      </c>
      <c r="J74">
        <v>16</v>
      </c>
      <c r="K74">
        <f t="shared" si="30"/>
        <v>79</v>
      </c>
      <c r="L74">
        <f t="shared" si="31"/>
        <v>79</v>
      </c>
      <c r="M74">
        <f t="shared" si="32"/>
        <v>15.8</v>
      </c>
      <c r="N74">
        <v>41</v>
      </c>
      <c r="O74">
        <v>38</v>
      </c>
      <c r="P74">
        <v>41</v>
      </c>
      <c r="Q74">
        <f t="shared" si="33"/>
        <v>120</v>
      </c>
      <c r="R74">
        <f t="shared" si="34"/>
        <v>80</v>
      </c>
      <c r="S74">
        <f t="shared" si="35"/>
        <v>40</v>
      </c>
      <c r="T74">
        <v>32</v>
      </c>
      <c r="U74">
        <v>32</v>
      </c>
      <c r="V74">
        <v>31</v>
      </c>
      <c r="W74">
        <f t="shared" si="36"/>
        <v>95</v>
      </c>
      <c r="X74">
        <f t="shared" si="37"/>
        <v>79.17</v>
      </c>
      <c r="Y74">
        <f t="shared" si="38"/>
        <v>23.75</v>
      </c>
      <c r="Z74">
        <f t="shared" si="39"/>
        <v>79.55</v>
      </c>
      <c r="AA74">
        <f t="shared" si="40"/>
        <v>81</v>
      </c>
      <c r="AB74" t="str">
        <f t="shared" si="41"/>
        <v>Benchmarking</v>
      </c>
      <c r="AV74">
        <f t="shared" si="25"/>
        <v>80</v>
      </c>
      <c r="AW74">
        <f t="shared" si="26"/>
        <v>80</v>
      </c>
      <c r="AX74">
        <f t="shared" si="27"/>
        <v>77.5</v>
      </c>
    </row>
    <row r="75" spans="1:50" ht="15.6" x14ac:dyDescent="0.3">
      <c r="A75">
        <v>13</v>
      </c>
      <c r="B75" t="str">
        <f>INPUT!B75</f>
        <v>Ortega, Erika</v>
      </c>
      <c r="F75">
        <v>16</v>
      </c>
      <c r="G75">
        <v>15</v>
      </c>
      <c r="H75">
        <v>15</v>
      </c>
      <c r="I75">
        <v>17</v>
      </c>
      <c r="J75">
        <v>17</v>
      </c>
      <c r="K75">
        <f t="shared" si="30"/>
        <v>80</v>
      </c>
      <c r="L75">
        <f t="shared" si="31"/>
        <v>80</v>
      </c>
      <c r="M75">
        <f t="shared" si="32"/>
        <v>16</v>
      </c>
      <c r="N75">
        <v>41</v>
      </c>
      <c r="O75">
        <v>44</v>
      </c>
      <c r="P75">
        <v>40</v>
      </c>
      <c r="Q75">
        <f t="shared" si="33"/>
        <v>125</v>
      </c>
      <c r="R75">
        <f t="shared" si="34"/>
        <v>83.33</v>
      </c>
      <c r="S75">
        <f t="shared" si="35"/>
        <v>41.67</v>
      </c>
      <c r="T75">
        <v>32</v>
      </c>
      <c r="U75">
        <v>32</v>
      </c>
      <c r="V75">
        <v>33</v>
      </c>
      <c r="W75">
        <f t="shared" si="36"/>
        <v>97</v>
      </c>
      <c r="X75">
        <f t="shared" si="37"/>
        <v>80.83</v>
      </c>
      <c r="Y75">
        <f t="shared" si="38"/>
        <v>24.25</v>
      </c>
      <c r="Z75">
        <f t="shared" si="39"/>
        <v>81.92</v>
      </c>
      <c r="AA75">
        <f t="shared" si="40"/>
        <v>83</v>
      </c>
      <c r="AB75" t="str">
        <f t="shared" si="41"/>
        <v>Benchmarking</v>
      </c>
      <c r="AV75">
        <f t="shared" si="25"/>
        <v>80</v>
      </c>
      <c r="AW75">
        <f t="shared" si="26"/>
        <v>80</v>
      </c>
      <c r="AX75">
        <f t="shared" si="27"/>
        <v>82.5</v>
      </c>
    </row>
    <row r="76" spans="1:50" ht="15.6" x14ac:dyDescent="0.3">
      <c r="A76">
        <v>14</v>
      </c>
      <c r="B76" t="str">
        <f>INPUT!B76</f>
        <v>Pascual, Faith</v>
      </c>
      <c r="F76">
        <v>17</v>
      </c>
      <c r="G76">
        <v>18</v>
      </c>
      <c r="H76">
        <v>15</v>
      </c>
      <c r="I76">
        <v>15</v>
      </c>
      <c r="J76">
        <v>17</v>
      </c>
      <c r="K76">
        <f t="shared" si="30"/>
        <v>82</v>
      </c>
      <c r="L76">
        <f t="shared" si="31"/>
        <v>82</v>
      </c>
      <c r="M76">
        <f t="shared" si="32"/>
        <v>16.399999999999999</v>
      </c>
      <c r="N76">
        <v>43</v>
      </c>
      <c r="O76">
        <v>40</v>
      </c>
      <c r="P76">
        <v>44</v>
      </c>
      <c r="Q76">
        <f t="shared" si="33"/>
        <v>127</v>
      </c>
      <c r="R76">
        <f t="shared" si="34"/>
        <v>84.67</v>
      </c>
      <c r="S76">
        <f t="shared" si="35"/>
        <v>42.34</v>
      </c>
      <c r="T76">
        <v>32</v>
      </c>
      <c r="U76">
        <v>29</v>
      </c>
      <c r="V76">
        <v>32</v>
      </c>
      <c r="W76">
        <f t="shared" si="36"/>
        <v>93</v>
      </c>
      <c r="X76">
        <f t="shared" si="37"/>
        <v>77.5</v>
      </c>
      <c r="Y76">
        <f t="shared" si="38"/>
        <v>23.25</v>
      </c>
      <c r="Z76">
        <f t="shared" si="39"/>
        <v>81.99</v>
      </c>
      <c r="AA76">
        <f t="shared" si="40"/>
        <v>83</v>
      </c>
      <c r="AB76" t="str">
        <f t="shared" si="41"/>
        <v>Benchmarking</v>
      </c>
      <c r="AV76">
        <f t="shared" ref="AV76:AV112" si="42">(T76/$T$10)*100</f>
        <v>80</v>
      </c>
      <c r="AW76">
        <f t="shared" ref="AW76:AW112" si="43">(U76/$U$10)*100</f>
        <v>72.5</v>
      </c>
      <c r="AX76">
        <f t="shared" ref="AX76:AX112" si="44">(V76/$V$10)*100</f>
        <v>80</v>
      </c>
    </row>
    <row r="77" spans="1:50" ht="15.6" x14ac:dyDescent="0.3">
      <c r="A77">
        <v>15</v>
      </c>
      <c r="B77" t="str">
        <f>INPUT!B77</f>
        <v>Quizon, Gabrielle</v>
      </c>
      <c r="F77">
        <v>18</v>
      </c>
      <c r="G77">
        <v>16</v>
      </c>
      <c r="H77">
        <v>18</v>
      </c>
      <c r="I77">
        <v>18</v>
      </c>
      <c r="J77">
        <v>18</v>
      </c>
      <c r="K77">
        <f t="shared" si="30"/>
        <v>88</v>
      </c>
      <c r="L77">
        <f t="shared" si="31"/>
        <v>88</v>
      </c>
      <c r="M77">
        <f t="shared" si="32"/>
        <v>17.600000000000001</v>
      </c>
      <c r="N77">
        <v>44</v>
      </c>
      <c r="O77">
        <v>41</v>
      </c>
      <c r="P77">
        <v>42</v>
      </c>
      <c r="Q77">
        <f t="shared" si="33"/>
        <v>127</v>
      </c>
      <c r="R77">
        <f t="shared" si="34"/>
        <v>84.67</v>
      </c>
      <c r="S77">
        <f t="shared" si="35"/>
        <v>42.34</v>
      </c>
      <c r="T77">
        <v>32</v>
      </c>
      <c r="U77">
        <v>33</v>
      </c>
      <c r="V77">
        <v>30</v>
      </c>
      <c r="W77">
        <f t="shared" si="36"/>
        <v>95</v>
      </c>
      <c r="X77">
        <f t="shared" si="37"/>
        <v>79.17</v>
      </c>
      <c r="Y77">
        <f t="shared" si="38"/>
        <v>23.75</v>
      </c>
      <c r="Z77">
        <f t="shared" si="39"/>
        <v>83.69</v>
      </c>
      <c r="AA77">
        <f t="shared" si="40"/>
        <v>85</v>
      </c>
      <c r="AB77" t="str">
        <f t="shared" si="41"/>
        <v>Benchmarking</v>
      </c>
      <c r="AV77">
        <f t="shared" si="42"/>
        <v>80</v>
      </c>
      <c r="AW77">
        <f t="shared" si="43"/>
        <v>82.5</v>
      </c>
      <c r="AX77">
        <f t="shared" si="44"/>
        <v>75</v>
      </c>
    </row>
    <row r="78" spans="1:50" ht="15.6" x14ac:dyDescent="0.3">
      <c r="A78">
        <v>16</v>
      </c>
      <c r="B78" t="str">
        <f>INPUT!B78</f>
        <v>Ramos, Hannah</v>
      </c>
      <c r="F78">
        <v>17</v>
      </c>
      <c r="G78">
        <v>16</v>
      </c>
      <c r="H78">
        <v>15</v>
      </c>
      <c r="I78">
        <v>15</v>
      </c>
      <c r="J78">
        <v>15</v>
      </c>
      <c r="K78">
        <f t="shared" si="30"/>
        <v>78</v>
      </c>
      <c r="L78">
        <f t="shared" si="31"/>
        <v>78</v>
      </c>
      <c r="M78">
        <f t="shared" si="32"/>
        <v>15.6</v>
      </c>
      <c r="N78">
        <v>43</v>
      </c>
      <c r="O78">
        <v>41</v>
      </c>
      <c r="P78">
        <v>39</v>
      </c>
      <c r="Q78">
        <f t="shared" si="33"/>
        <v>123</v>
      </c>
      <c r="R78">
        <f t="shared" si="34"/>
        <v>82</v>
      </c>
      <c r="S78">
        <f t="shared" si="35"/>
        <v>41</v>
      </c>
      <c r="T78">
        <v>33</v>
      </c>
      <c r="U78">
        <v>33</v>
      </c>
      <c r="V78">
        <v>33</v>
      </c>
      <c r="W78">
        <f t="shared" si="36"/>
        <v>99</v>
      </c>
      <c r="X78">
        <f t="shared" si="37"/>
        <v>82.5</v>
      </c>
      <c r="Y78">
        <f t="shared" si="38"/>
        <v>24.75</v>
      </c>
      <c r="Z78">
        <f t="shared" si="39"/>
        <v>81.349999999999994</v>
      </c>
      <c r="AA78">
        <f t="shared" si="40"/>
        <v>83</v>
      </c>
      <c r="AB78" t="str">
        <f t="shared" si="41"/>
        <v>Benchmarking</v>
      </c>
      <c r="AV78">
        <f t="shared" si="42"/>
        <v>82.5</v>
      </c>
      <c r="AW78">
        <f t="shared" si="43"/>
        <v>82.5</v>
      </c>
      <c r="AX78">
        <f t="shared" si="44"/>
        <v>82.5</v>
      </c>
    </row>
    <row r="79" spans="1:50" ht="15.6" x14ac:dyDescent="0.3">
      <c r="A79">
        <v>17</v>
      </c>
      <c r="B79" t="str">
        <f>INPUT!B79</f>
        <v>Reyes, Isabelle</v>
      </c>
      <c r="F79">
        <v>13</v>
      </c>
      <c r="G79">
        <v>14</v>
      </c>
      <c r="H79">
        <v>15</v>
      </c>
      <c r="I79">
        <v>14</v>
      </c>
      <c r="J79">
        <v>14</v>
      </c>
      <c r="K79">
        <f t="shared" si="30"/>
        <v>70</v>
      </c>
      <c r="L79">
        <f t="shared" si="31"/>
        <v>70</v>
      </c>
      <c r="M79">
        <f t="shared" si="32"/>
        <v>14</v>
      </c>
      <c r="N79">
        <v>40</v>
      </c>
      <c r="O79">
        <v>35</v>
      </c>
      <c r="P79">
        <v>38</v>
      </c>
      <c r="Q79">
        <f t="shared" si="33"/>
        <v>113</v>
      </c>
      <c r="R79">
        <f t="shared" si="34"/>
        <v>75.33</v>
      </c>
      <c r="S79">
        <f t="shared" si="35"/>
        <v>37.67</v>
      </c>
      <c r="T79">
        <v>27</v>
      </c>
      <c r="U79">
        <v>29</v>
      </c>
      <c r="V79">
        <v>25</v>
      </c>
      <c r="W79">
        <f t="shared" si="36"/>
        <v>81</v>
      </c>
      <c r="X79">
        <f t="shared" si="37"/>
        <v>67.5</v>
      </c>
      <c r="Y79">
        <f t="shared" si="38"/>
        <v>20.25</v>
      </c>
      <c r="Z79">
        <f t="shared" si="39"/>
        <v>71.92</v>
      </c>
      <c r="AA79">
        <f t="shared" si="40"/>
        <v>75</v>
      </c>
      <c r="AB79" t="str">
        <f t="shared" si="41"/>
        <v>Connecting</v>
      </c>
      <c r="AV79">
        <f t="shared" si="42"/>
        <v>67.5</v>
      </c>
      <c r="AW79">
        <f t="shared" si="43"/>
        <v>72.5</v>
      </c>
      <c r="AX79">
        <f t="shared" si="44"/>
        <v>62.5</v>
      </c>
    </row>
    <row r="80" spans="1:50" ht="15.6" x14ac:dyDescent="0.3">
      <c r="A80">
        <v>18</v>
      </c>
      <c r="B80" t="str">
        <f>INPUT!B80</f>
        <v>Rivera, Jasmine</v>
      </c>
      <c r="F80">
        <v>19</v>
      </c>
      <c r="G80">
        <v>18</v>
      </c>
      <c r="H80">
        <v>18</v>
      </c>
      <c r="I80">
        <v>18</v>
      </c>
      <c r="J80">
        <v>18</v>
      </c>
      <c r="K80">
        <f t="shared" si="30"/>
        <v>91</v>
      </c>
      <c r="L80">
        <f t="shared" si="31"/>
        <v>91</v>
      </c>
      <c r="M80">
        <f t="shared" si="32"/>
        <v>18.2</v>
      </c>
      <c r="N80">
        <v>43</v>
      </c>
      <c r="O80">
        <v>43</v>
      </c>
      <c r="P80">
        <v>43</v>
      </c>
      <c r="Q80">
        <f t="shared" si="33"/>
        <v>129</v>
      </c>
      <c r="R80">
        <f t="shared" si="34"/>
        <v>86</v>
      </c>
      <c r="S80">
        <f t="shared" si="35"/>
        <v>43</v>
      </c>
      <c r="T80">
        <v>35</v>
      </c>
      <c r="U80">
        <v>31</v>
      </c>
      <c r="V80">
        <v>33</v>
      </c>
      <c r="W80">
        <f t="shared" si="36"/>
        <v>99</v>
      </c>
      <c r="X80">
        <f t="shared" si="37"/>
        <v>82.5</v>
      </c>
      <c r="Y80">
        <f t="shared" si="38"/>
        <v>24.75</v>
      </c>
      <c r="Z80">
        <f t="shared" si="39"/>
        <v>85.95</v>
      </c>
      <c r="AA80">
        <f t="shared" si="40"/>
        <v>87</v>
      </c>
      <c r="AB80" t="str">
        <f t="shared" si="41"/>
        <v>Benchmarking</v>
      </c>
      <c r="AV80">
        <f t="shared" si="42"/>
        <v>87.5</v>
      </c>
      <c r="AW80">
        <f t="shared" si="43"/>
        <v>77.5</v>
      </c>
      <c r="AX80">
        <f t="shared" si="44"/>
        <v>82.5</v>
      </c>
    </row>
    <row r="81" spans="1:50" ht="15.6" x14ac:dyDescent="0.3">
      <c r="A81">
        <v>19</v>
      </c>
      <c r="B81" t="str">
        <f>INPUT!B81</f>
        <v>Rosales, Jillian</v>
      </c>
      <c r="F81">
        <v>14</v>
      </c>
      <c r="G81">
        <v>16</v>
      </c>
      <c r="H81">
        <v>14</v>
      </c>
      <c r="I81">
        <v>14</v>
      </c>
      <c r="J81">
        <v>14</v>
      </c>
      <c r="K81">
        <f t="shared" si="30"/>
        <v>72</v>
      </c>
      <c r="L81">
        <f t="shared" si="31"/>
        <v>72</v>
      </c>
      <c r="M81">
        <f t="shared" si="32"/>
        <v>14.4</v>
      </c>
      <c r="N81">
        <v>39</v>
      </c>
      <c r="O81">
        <v>39</v>
      </c>
      <c r="P81">
        <v>37</v>
      </c>
      <c r="Q81">
        <f t="shared" si="33"/>
        <v>115</v>
      </c>
      <c r="R81">
        <f t="shared" si="34"/>
        <v>76.67</v>
      </c>
      <c r="S81">
        <f t="shared" si="35"/>
        <v>38.340000000000003</v>
      </c>
      <c r="T81">
        <v>27</v>
      </c>
      <c r="U81">
        <v>26</v>
      </c>
      <c r="V81">
        <v>27</v>
      </c>
      <c r="W81">
        <f t="shared" si="36"/>
        <v>80</v>
      </c>
      <c r="X81">
        <f t="shared" si="37"/>
        <v>66.67</v>
      </c>
      <c r="Y81">
        <f t="shared" si="38"/>
        <v>20</v>
      </c>
      <c r="Z81">
        <f t="shared" si="39"/>
        <v>72.739999999999995</v>
      </c>
      <c r="AA81">
        <f t="shared" si="40"/>
        <v>75</v>
      </c>
      <c r="AB81" t="str">
        <f t="shared" si="41"/>
        <v>Connecting</v>
      </c>
      <c r="AV81">
        <f t="shared" si="42"/>
        <v>67.5</v>
      </c>
      <c r="AW81">
        <f t="shared" si="43"/>
        <v>65</v>
      </c>
      <c r="AX81">
        <f t="shared" si="44"/>
        <v>67.5</v>
      </c>
    </row>
    <row r="82" spans="1:50" ht="15.6" x14ac:dyDescent="0.3">
      <c r="A82">
        <v>20</v>
      </c>
      <c r="B82" t="str">
        <f>INPUT!B82</f>
        <v>Salazar, Julia</v>
      </c>
      <c r="F82">
        <v>16</v>
      </c>
      <c r="G82">
        <v>15</v>
      </c>
      <c r="H82">
        <v>16</v>
      </c>
      <c r="I82">
        <v>16</v>
      </c>
      <c r="J82">
        <v>14</v>
      </c>
      <c r="K82">
        <f t="shared" si="30"/>
        <v>77</v>
      </c>
      <c r="L82">
        <f t="shared" si="31"/>
        <v>77</v>
      </c>
      <c r="M82">
        <f t="shared" si="32"/>
        <v>15.4</v>
      </c>
      <c r="N82">
        <v>37</v>
      </c>
      <c r="O82">
        <v>37</v>
      </c>
      <c r="P82">
        <v>39</v>
      </c>
      <c r="Q82">
        <f t="shared" si="33"/>
        <v>113</v>
      </c>
      <c r="R82">
        <f t="shared" si="34"/>
        <v>75.33</v>
      </c>
      <c r="S82">
        <f t="shared" si="35"/>
        <v>37.67</v>
      </c>
      <c r="T82">
        <v>26</v>
      </c>
      <c r="U82">
        <v>27</v>
      </c>
      <c r="V82">
        <v>31</v>
      </c>
      <c r="W82">
        <f t="shared" si="36"/>
        <v>84</v>
      </c>
      <c r="X82">
        <f t="shared" si="37"/>
        <v>70</v>
      </c>
      <c r="Y82">
        <f t="shared" si="38"/>
        <v>21</v>
      </c>
      <c r="Z82">
        <f t="shared" si="39"/>
        <v>74.069999999999993</v>
      </c>
      <c r="AA82">
        <f t="shared" si="40"/>
        <v>76</v>
      </c>
      <c r="AB82" t="str">
        <f t="shared" si="41"/>
        <v>Connecting</v>
      </c>
      <c r="AV82">
        <f t="shared" si="42"/>
        <v>65</v>
      </c>
      <c r="AW82">
        <f t="shared" si="43"/>
        <v>67.5</v>
      </c>
      <c r="AX82">
        <f t="shared" si="44"/>
        <v>77.5</v>
      </c>
    </row>
    <row r="83" spans="1:50" ht="15.6" x14ac:dyDescent="0.3">
      <c r="A83">
        <v>21</v>
      </c>
      <c r="B83" t="str">
        <f>INPUT!B83</f>
        <v>Santiago, Katrina</v>
      </c>
      <c r="F83">
        <v>16</v>
      </c>
      <c r="G83">
        <v>16</v>
      </c>
      <c r="H83">
        <v>17</v>
      </c>
      <c r="I83">
        <v>17</v>
      </c>
      <c r="J83">
        <v>16</v>
      </c>
      <c r="K83">
        <f t="shared" si="30"/>
        <v>82</v>
      </c>
      <c r="L83">
        <f t="shared" si="31"/>
        <v>82</v>
      </c>
      <c r="M83">
        <f t="shared" si="32"/>
        <v>16.399999999999999</v>
      </c>
      <c r="N83">
        <v>41</v>
      </c>
      <c r="O83">
        <v>40</v>
      </c>
      <c r="P83">
        <v>43</v>
      </c>
      <c r="Q83">
        <f t="shared" si="33"/>
        <v>124</v>
      </c>
      <c r="R83">
        <f t="shared" si="34"/>
        <v>82.67</v>
      </c>
      <c r="S83">
        <f t="shared" si="35"/>
        <v>41.34</v>
      </c>
      <c r="T83">
        <v>31</v>
      </c>
      <c r="U83">
        <v>29</v>
      </c>
      <c r="V83">
        <v>34</v>
      </c>
      <c r="W83">
        <f t="shared" si="36"/>
        <v>94</v>
      </c>
      <c r="X83">
        <f t="shared" si="37"/>
        <v>78.33</v>
      </c>
      <c r="Y83">
        <f t="shared" si="38"/>
        <v>23.5</v>
      </c>
      <c r="Z83">
        <f t="shared" si="39"/>
        <v>81.239999999999995</v>
      </c>
      <c r="AA83">
        <f t="shared" si="40"/>
        <v>83</v>
      </c>
      <c r="AB83" t="str">
        <f t="shared" si="41"/>
        <v>Benchmarking</v>
      </c>
      <c r="AV83">
        <f t="shared" si="42"/>
        <v>77.5</v>
      </c>
      <c r="AW83">
        <f t="shared" si="43"/>
        <v>72.5</v>
      </c>
      <c r="AX83">
        <f t="shared" si="44"/>
        <v>85</v>
      </c>
    </row>
    <row r="84" spans="1:50" ht="15.6" x14ac:dyDescent="0.3">
      <c r="A84">
        <v>22</v>
      </c>
      <c r="B84" t="str">
        <f>INPUT!B84</f>
        <v>Santos, Kayla</v>
      </c>
      <c r="F84">
        <v>15</v>
      </c>
      <c r="G84">
        <v>15</v>
      </c>
      <c r="H84">
        <v>17</v>
      </c>
      <c r="I84">
        <v>18</v>
      </c>
      <c r="J84">
        <v>17</v>
      </c>
      <c r="K84">
        <f t="shared" si="30"/>
        <v>82</v>
      </c>
      <c r="L84">
        <f t="shared" si="31"/>
        <v>82</v>
      </c>
      <c r="M84">
        <f t="shared" si="32"/>
        <v>16.399999999999999</v>
      </c>
      <c r="N84">
        <v>44</v>
      </c>
      <c r="O84">
        <v>40</v>
      </c>
      <c r="P84">
        <v>44</v>
      </c>
      <c r="Q84">
        <f t="shared" si="33"/>
        <v>128</v>
      </c>
      <c r="R84">
        <f t="shared" si="34"/>
        <v>85.33</v>
      </c>
      <c r="S84">
        <f t="shared" si="35"/>
        <v>42.67</v>
      </c>
      <c r="T84">
        <v>32</v>
      </c>
      <c r="U84">
        <v>32</v>
      </c>
      <c r="V84">
        <v>34</v>
      </c>
      <c r="W84">
        <f t="shared" si="36"/>
        <v>98</v>
      </c>
      <c r="X84">
        <f t="shared" si="37"/>
        <v>81.67</v>
      </c>
      <c r="Y84">
        <f t="shared" si="38"/>
        <v>24.5</v>
      </c>
      <c r="Z84">
        <f t="shared" si="39"/>
        <v>83.57</v>
      </c>
      <c r="AA84">
        <f t="shared" si="40"/>
        <v>85</v>
      </c>
      <c r="AB84" t="str">
        <f t="shared" si="41"/>
        <v>Benchmarking</v>
      </c>
      <c r="AV84">
        <f t="shared" si="42"/>
        <v>80</v>
      </c>
      <c r="AW84">
        <f t="shared" si="43"/>
        <v>80</v>
      </c>
      <c r="AX84">
        <f t="shared" si="44"/>
        <v>85</v>
      </c>
    </row>
    <row r="85" spans="1:50" ht="15.6" x14ac:dyDescent="0.3">
      <c r="A85">
        <v>23</v>
      </c>
      <c r="B85" t="str">
        <f>INPUT!B85</f>
        <v>Soriano, Kiana</v>
      </c>
      <c r="F85">
        <v>16</v>
      </c>
      <c r="G85">
        <v>17</v>
      </c>
      <c r="H85">
        <v>16</v>
      </c>
      <c r="I85">
        <v>16</v>
      </c>
      <c r="J85">
        <v>15</v>
      </c>
      <c r="K85">
        <f t="shared" si="30"/>
        <v>80</v>
      </c>
      <c r="L85">
        <f t="shared" si="31"/>
        <v>80</v>
      </c>
      <c r="M85">
        <f t="shared" si="32"/>
        <v>16</v>
      </c>
      <c r="N85">
        <v>40</v>
      </c>
      <c r="O85">
        <v>41</v>
      </c>
      <c r="P85">
        <v>44</v>
      </c>
      <c r="Q85">
        <f t="shared" si="33"/>
        <v>125</v>
      </c>
      <c r="R85">
        <f t="shared" si="34"/>
        <v>83.33</v>
      </c>
      <c r="S85">
        <f t="shared" si="35"/>
        <v>41.67</v>
      </c>
      <c r="T85">
        <v>30</v>
      </c>
      <c r="U85">
        <v>32</v>
      </c>
      <c r="V85">
        <v>32</v>
      </c>
      <c r="W85">
        <f t="shared" si="36"/>
        <v>94</v>
      </c>
      <c r="X85">
        <f t="shared" si="37"/>
        <v>78.33</v>
      </c>
      <c r="Y85">
        <f t="shared" si="38"/>
        <v>23.5</v>
      </c>
      <c r="Z85">
        <f t="shared" si="39"/>
        <v>81.17</v>
      </c>
      <c r="AA85">
        <f t="shared" si="40"/>
        <v>83</v>
      </c>
      <c r="AB85" t="str">
        <f t="shared" si="41"/>
        <v>Benchmarking</v>
      </c>
      <c r="AV85">
        <f t="shared" si="42"/>
        <v>75</v>
      </c>
      <c r="AW85">
        <f t="shared" si="43"/>
        <v>80</v>
      </c>
      <c r="AX85">
        <f t="shared" si="44"/>
        <v>80</v>
      </c>
    </row>
    <row r="86" spans="1:50" ht="15.6" x14ac:dyDescent="0.3">
      <c r="A86">
        <v>24</v>
      </c>
      <c r="B86" t="str">
        <f>INPUT!B86</f>
        <v>Torres, Leah</v>
      </c>
      <c r="F86">
        <v>18</v>
      </c>
      <c r="G86">
        <v>17</v>
      </c>
      <c r="H86">
        <v>18</v>
      </c>
      <c r="I86">
        <v>19</v>
      </c>
      <c r="J86">
        <v>20</v>
      </c>
      <c r="K86">
        <f t="shared" si="30"/>
        <v>92</v>
      </c>
      <c r="L86">
        <f t="shared" si="31"/>
        <v>92</v>
      </c>
      <c r="M86">
        <f t="shared" si="32"/>
        <v>18.399999999999999</v>
      </c>
      <c r="N86">
        <v>45</v>
      </c>
      <c r="O86">
        <v>48</v>
      </c>
      <c r="P86">
        <v>50</v>
      </c>
      <c r="Q86">
        <f t="shared" si="33"/>
        <v>143</v>
      </c>
      <c r="R86">
        <f t="shared" si="34"/>
        <v>95.33</v>
      </c>
      <c r="S86">
        <f t="shared" si="35"/>
        <v>47.67</v>
      </c>
      <c r="T86">
        <v>36</v>
      </c>
      <c r="U86">
        <v>36</v>
      </c>
      <c r="V86">
        <v>34</v>
      </c>
      <c r="W86">
        <f t="shared" si="36"/>
        <v>106</v>
      </c>
      <c r="X86">
        <f t="shared" si="37"/>
        <v>88.33</v>
      </c>
      <c r="Y86">
        <f t="shared" si="38"/>
        <v>26.5</v>
      </c>
      <c r="Z86">
        <f t="shared" si="39"/>
        <v>92.57</v>
      </c>
      <c r="AA86">
        <f t="shared" si="40"/>
        <v>94</v>
      </c>
      <c r="AB86" t="str">
        <f t="shared" si="41"/>
        <v>Advancing</v>
      </c>
      <c r="AV86">
        <f t="shared" si="42"/>
        <v>90</v>
      </c>
      <c r="AW86">
        <f t="shared" si="43"/>
        <v>90</v>
      </c>
      <c r="AX86">
        <f t="shared" si="44"/>
        <v>85</v>
      </c>
    </row>
    <row r="87" spans="1:50" ht="15.6" x14ac:dyDescent="0.3">
      <c r="A87">
        <v>25</v>
      </c>
      <c r="B87" t="str">
        <f>INPUT!B87</f>
        <v>Valdez, Liana</v>
      </c>
      <c r="F87">
        <v>17</v>
      </c>
      <c r="G87">
        <v>16</v>
      </c>
      <c r="H87">
        <v>16</v>
      </c>
      <c r="I87">
        <v>16</v>
      </c>
      <c r="J87">
        <v>17</v>
      </c>
      <c r="K87">
        <f t="shared" si="30"/>
        <v>82</v>
      </c>
      <c r="L87">
        <f t="shared" si="31"/>
        <v>82</v>
      </c>
      <c r="M87">
        <f t="shared" si="32"/>
        <v>16.399999999999999</v>
      </c>
      <c r="N87">
        <v>45</v>
      </c>
      <c r="O87">
        <v>41</v>
      </c>
      <c r="P87">
        <v>40</v>
      </c>
      <c r="Q87">
        <f t="shared" si="33"/>
        <v>126</v>
      </c>
      <c r="R87">
        <f t="shared" si="34"/>
        <v>84</v>
      </c>
      <c r="S87">
        <f t="shared" si="35"/>
        <v>42</v>
      </c>
      <c r="T87">
        <v>32</v>
      </c>
      <c r="U87">
        <v>31</v>
      </c>
      <c r="V87">
        <v>30</v>
      </c>
      <c r="W87">
        <f t="shared" si="36"/>
        <v>93</v>
      </c>
      <c r="X87">
        <f t="shared" si="37"/>
        <v>77.5</v>
      </c>
      <c r="Y87">
        <f t="shared" si="38"/>
        <v>23.25</v>
      </c>
      <c r="Z87">
        <f t="shared" si="39"/>
        <v>81.650000000000006</v>
      </c>
      <c r="AA87">
        <f t="shared" si="40"/>
        <v>83</v>
      </c>
      <c r="AB87" t="str">
        <f t="shared" si="41"/>
        <v>Benchmarking</v>
      </c>
      <c r="AV87">
        <f t="shared" si="42"/>
        <v>80</v>
      </c>
      <c r="AW87">
        <f t="shared" si="43"/>
        <v>77.5</v>
      </c>
      <c r="AX87">
        <f t="shared" si="44"/>
        <v>75</v>
      </c>
    </row>
    <row r="88" spans="1:50" ht="15.6" x14ac:dyDescent="0.3">
      <c r="A88">
        <v>26</v>
      </c>
      <c r="B88" t="str">
        <f>INPUT!B88</f>
        <v>Velasco, Lia</v>
      </c>
      <c r="F88">
        <v>18</v>
      </c>
      <c r="G88">
        <v>19</v>
      </c>
      <c r="H88">
        <v>19</v>
      </c>
      <c r="I88">
        <v>19</v>
      </c>
      <c r="J88">
        <v>20</v>
      </c>
      <c r="K88">
        <f t="shared" si="30"/>
        <v>95</v>
      </c>
      <c r="L88">
        <f t="shared" si="31"/>
        <v>95</v>
      </c>
      <c r="M88">
        <f t="shared" si="32"/>
        <v>19</v>
      </c>
      <c r="N88">
        <v>45</v>
      </c>
      <c r="O88">
        <v>49</v>
      </c>
      <c r="P88">
        <v>46</v>
      </c>
      <c r="Q88">
        <f t="shared" si="33"/>
        <v>140</v>
      </c>
      <c r="R88">
        <f t="shared" si="34"/>
        <v>93.33</v>
      </c>
      <c r="S88">
        <f t="shared" si="35"/>
        <v>46.67</v>
      </c>
      <c r="T88">
        <v>36</v>
      </c>
      <c r="U88">
        <v>35</v>
      </c>
      <c r="V88">
        <v>36</v>
      </c>
      <c r="W88">
        <f t="shared" si="36"/>
        <v>107</v>
      </c>
      <c r="X88">
        <f t="shared" si="37"/>
        <v>89.17</v>
      </c>
      <c r="Y88">
        <f t="shared" si="38"/>
        <v>26.75</v>
      </c>
      <c r="Z88">
        <f t="shared" si="39"/>
        <v>92.42</v>
      </c>
      <c r="AA88">
        <f t="shared" si="40"/>
        <v>94</v>
      </c>
      <c r="AB88" t="str">
        <f t="shared" si="41"/>
        <v>Advancing</v>
      </c>
      <c r="AV88">
        <f t="shared" si="42"/>
        <v>90</v>
      </c>
      <c r="AW88">
        <f t="shared" si="43"/>
        <v>87.5</v>
      </c>
      <c r="AX88">
        <f t="shared" si="44"/>
        <v>90</v>
      </c>
    </row>
    <row r="89" spans="1:50" ht="15.6" x14ac:dyDescent="0.3">
      <c r="A89">
        <v>27</v>
      </c>
      <c r="B89" t="str">
        <f>INPUT!B89</f>
        <v>Villanueva, Mara</v>
      </c>
      <c r="F89">
        <v>19</v>
      </c>
      <c r="G89">
        <v>19</v>
      </c>
      <c r="H89">
        <v>18</v>
      </c>
      <c r="I89">
        <v>18</v>
      </c>
      <c r="J89">
        <v>20</v>
      </c>
      <c r="K89">
        <f t="shared" si="30"/>
        <v>94</v>
      </c>
      <c r="L89">
        <f t="shared" si="31"/>
        <v>94</v>
      </c>
      <c r="M89">
        <f t="shared" si="32"/>
        <v>18.8</v>
      </c>
      <c r="N89">
        <v>50</v>
      </c>
      <c r="O89">
        <v>47</v>
      </c>
      <c r="P89">
        <v>50</v>
      </c>
      <c r="Q89">
        <f t="shared" si="33"/>
        <v>147</v>
      </c>
      <c r="R89">
        <f t="shared" si="34"/>
        <v>98</v>
      </c>
      <c r="S89">
        <f t="shared" si="35"/>
        <v>49</v>
      </c>
      <c r="T89">
        <v>36</v>
      </c>
      <c r="U89">
        <v>35</v>
      </c>
      <c r="V89">
        <v>38</v>
      </c>
      <c r="W89">
        <f t="shared" si="36"/>
        <v>109</v>
      </c>
      <c r="X89">
        <f t="shared" si="37"/>
        <v>90.83</v>
      </c>
      <c r="Y89">
        <f t="shared" si="38"/>
        <v>27.25</v>
      </c>
      <c r="Z89">
        <f t="shared" si="39"/>
        <v>95.05</v>
      </c>
      <c r="AA89">
        <f t="shared" si="40"/>
        <v>97</v>
      </c>
      <c r="AB89" t="str">
        <f t="shared" si="41"/>
        <v>Advancing</v>
      </c>
      <c r="AV89">
        <f t="shared" si="42"/>
        <v>90</v>
      </c>
      <c r="AW89">
        <f t="shared" si="43"/>
        <v>87.5</v>
      </c>
      <c r="AX89">
        <f t="shared" si="44"/>
        <v>95</v>
      </c>
    </row>
    <row r="90" spans="1:50" ht="15.6" x14ac:dyDescent="0.3">
      <c r="A90">
        <v>28</v>
      </c>
      <c r="B90" t="str">
        <f>INPUT!B90</f>
        <v>Yap, Maria</v>
      </c>
      <c r="F90">
        <v>15</v>
      </c>
      <c r="G90">
        <v>16</v>
      </c>
      <c r="H90">
        <v>16</v>
      </c>
      <c r="I90">
        <v>16</v>
      </c>
      <c r="J90">
        <v>15</v>
      </c>
      <c r="K90">
        <f t="shared" si="30"/>
        <v>78</v>
      </c>
      <c r="L90">
        <f t="shared" si="31"/>
        <v>78</v>
      </c>
      <c r="M90">
        <f t="shared" si="32"/>
        <v>15.6</v>
      </c>
      <c r="N90">
        <v>36</v>
      </c>
      <c r="O90">
        <v>37</v>
      </c>
      <c r="P90">
        <v>42</v>
      </c>
      <c r="Q90">
        <f t="shared" si="33"/>
        <v>115</v>
      </c>
      <c r="R90">
        <f t="shared" si="34"/>
        <v>76.67</v>
      </c>
      <c r="S90">
        <f t="shared" si="35"/>
        <v>38.340000000000003</v>
      </c>
      <c r="T90">
        <v>31</v>
      </c>
      <c r="U90">
        <v>31</v>
      </c>
      <c r="V90">
        <v>29</v>
      </c>
      <c r="W90">
        <f t="shared" si="36"/>
        <v>91</v>
      </c>
      <c r="X90">
        <f t="shared" si="37"/>
        <v>75.83</v>
      </c>
      <c r="Y90">
        <f t="shared" si="38"/>
        <v>22.75</v>
      </c>
      <c r="Z90">
        <f t="shared" si="39"/>
        <v>76.69</v>
      </c>
      <c r="AA90">
        <f t="shared" si="40"/>
        <v>78</v>
      </c>
      <c r="AB90" t="str">
        <f t="shared" si="41"/>
        <v>Connecting</v>
      </c>
      <c r="AV90">
        <f t="shared" si="42"/>
        <v>77.5</v>
      </c>
      <c r="AW90">
        <f t="shared" si="43"/>
        <v>77.5</v>
      </c>
      <c r="AX90">
        <f t="shared" si="44"/>
        <v>72.5</v>
      </c>
    </row>
    <row r="91" spans="1:50" ht="15.6" x14ac:dyDescent="0.3">
      <c r="A91">
        <v>29</v>
      </c>
      <c r="B91" t="str">
        <f>INPUT!B91</f>
        <v>Zamora, Mika</v>
      </c>
      <c r="F91">
        <v>18</v>
      </c>
      <c r="G91">
        <v>16</v>
      </c>
      <c r="H91">
        <v>18</v>
      </c>
      <c r="I91">
        <v>18</v>
      </c>
      <c r="J91">
        <v>17</v>
      </c>
      <c r="K91">
        <f t="shared" si="30"/>
        <v>87</v>
      </c>
      <c r="L91">
        <f t="shared" si="31"/>
        <v>87</v>
      </c>
      <c r="M91">
        <f t="shared" si="32"/>
        <v>17.399999999999999</v>
      </c>
      <c r="N91">
        <v>42</v>
      </c>
      <c r="O91">
        <v>44</v>
      </c>
      <c r="P91">
        <v>48</v>
      </c>
      <c r="Q91">
        <f t="shared" si="33"/>
        <v>134</v>
      </c>
      <c r="R91">
        <f t="shared" si="34"/>
        <v>89.33</v>
      </c>
      <c r="S91">
        <f t="shared" si="35"/>
        <v>44.67</v>
      </c>
      <c r="T91">
        <v>34</v>
      </c>
      <c r="U91">
        <v>34</v>
      </c>
      <c r="V91">
        <v>36</v>
      </c>
      <c r="W91">
        <f t="shared" si="36"/>
        <v>104</v>
      </c>
      <c r="X91">
        <f t="shared" si="37"/>
        <v>86.67</v>
      </c>
      <c r="Y91">
        <f t="shared" si="38"/>
        <v>26</v>
      </c>
      <c r="Z91">
        <f t="shared" si="39"/>
        <v>88.07</v>
      </c>
      <c r="AA91">
        <f t="shared" si="40"/>
        <v>90</v>
      </c>
      <c r="AB91" t="str">
        <f t="shared" si="41"/>
        <v>Advancing</v>
      </c>
      <c r="AV91">
        <f t="shared" si="42"/>
        <v>85</v>
      </c>
      <c r="AW91">
        <f t="shared" si="43"/>
        <v>85</v>
      </c>
      <c r="AX91">
        <f t="shared" si="44"/>
        <v>90</v>
      </c>
    </row>
    <row r="92" spans="1:50" ht="15.6" x14ac:dyDescent="0.3">
      <c r="A92">
        <v>30</v>
      </c>
      <c r="B92" t="str">
        <f>INPUT!B92</f>
        <v>Zuniga, Nicole</v>
      </c>
      <c r="F92">
        <v>18</v>
      </c>
      <c r="G92">
        <v>17</v>
      </c>
      <c r="H92">
        <v>18</v>
      </c>
      <c r="I92">
        <v>17</v>
      </c>
      <c r="J92">
        <v>18</v>
      </c>
      <c r="K92">
        <f t="shared" si="30"/>
        <v>88</v>
      </c>
      <c r="L92">
        <f t="shared" si="31"/>
        <v>88</v>
      </c>
      <c r="M92">
        <f t="shared" si="32"/>
        <v>17.600000000000001</v>
      </c>
      <c r="N92">
        <v>43</v>
      </c>
      <c r="O92">
        <v>46</v>
      </c>
      <c r="P92">
        <v>43</v>
      </c>
      <c r="Q92">
        <f t="shared" si="33"/>
        <v>132</v>
      </c>
      <c r="R92">
        <f t="shared" si="34"/>
        <v>88</v>
      </c>
      <c r="S92">
        <f t="shared" si="35"/>
        <v>44</v>
      </c>
      <c r="T92">
        <v>37</v>
      </c>
      <c r="U92">
        <v>32</v>
      </c>
      <c r="V92">
        <v>34</v>
      </c>
      <c r="W92">
        <f t="shared" si="36"/>
        <v>103</v>
      </c>
      <c r="X92">
        <f t="shared" si="37"/>
        <v>85.83</v>
      </c>
      <c r="Y92">
        <f t="shared" si="38"/>
        <v>25.75</v>
      </c>
      <c r="Z92">
        <f t="shared" si="39"/>
        <v>87.35</v>
      </c>
      <c r="AA92">
        <f t="shared" si="40"/>
        <v>89</v>
      </c>
      <c r="AB92" t="str">
        <f t="shared" si="41"/>
        <v>Benchmarking</v>
      </c>
      <c r="AV92">
        <f t="shared" si="42"/>
        <v>92.5</v>
      </c>
      <c r="AW92">
        <f t="shared" si="43"/>
        <v>80</v>
      </c>
      <c r="AX92">
        <f t="shared" si="44"/>
        <v>85</v>
      </c>
    </row>
    <row r="93" spans="1:50" ht="15.6" x14ac:dyDescent="0.3">
      <c r="A93">
        <v>31</v>
      </c>
      <c r="B93" t="str">
        <f>INPUT!B93</f>
        <v>Abad, Patricia</v>
      </c>
      <c r="F93">
        <v>17</v>
      </c>
      <c r="G93">
        <v>18</v>
      </c>
      <c r="H93">
        <v>18</v>
      </c>
      <c r="I93">
        <v>18</v>
      </c>
      <c r="J93">
        <v>18</v>
      </c>
      <c r="K93">
        <f t="shared" si="30"/>
        <v>89</v>
      </c>
      <c r="L93">
        <f t="shared" si="31"/>
        <v>89</v>
      </c>
      <c r="M93">
        <f t="shared" si="32"/>
        <v>17.8</v>
      </c>
      <c r="N93">
        <v>46</v>
      </c>
      <c r="O93">
        <v>45</v>
      </c>
      <c r="P93">
        <v>47</v>
      </c>
      <c r="Q93">
        <f t="shared" si="33"/>
        <v>138</v>
      </c>
      <c r="R93">
        <f t="shared" si="34"/>
        <v>92</v>
      </c>
      <c r="S93">
        <f t="shared" si="35"/>
        <v>46</v>
      </c>
      <c r="T93">
        <v>31</v>
      </c>
      <c r="U93">
        <v>30</v>
      </c>
      <c r="V93">
        <v>35</v>
      </c>
      <c r="W93">
        <f t="shared" si="36"/>
        <v>96</v>
      </c>
      <c r="X93">
        <f t="shared" si="37"/>
        <v>80</v>
      </c>
      <c r="Y93">
        <f t="shared" si="38"/>
        <v>24</v>
      </c>
      <c r="Z93">
        <f t="shared" si="39"/>
        <v>87.8</v>
      </c>
      <c r="AA93">
        <f t="shared" si="40"/>
        <v>89</v>
      </c>
      <c r="AB93" t="str">
        <f t="shared" si="41"/>
        <v>Benchmarking</v>
      </c>
      <c r="AV93">
        <f t="shared" si="42"/>
        <v>77.5</v>
      </c>
      <c r="AW93">
        <f t="shared" si="43"/>
        <v>75</v>
      </c>
      <c r="AX93">
        <f t="shared" si="44"/>
        <v>87.5</v>
      </c>
    </row>
    <row r="94" spans="1:50" ht="15.6" x14ac:dyDescent="0.3">
      <c r="A94">
        <v>32</v>
      </c>
      <c r="B94" t="str">
        <f>INPUT!B94</f>
        <v>Agustin, Rachel</v>
      </c>
      <c r="F94">
        <v>20</v>
      </c>
      <c r="G94">
        <v>20</v>
      </c>
      <c r="H94">
        <v>19</v>
      </c>
      <c r="I94">
        <v>18</v>
      </c>
      <c r="J94">
        <v>19</v>
      </c>
      <c r="K94">
        <f t="shared" si="30"/>
        <v>96</v>
      </c>
      <c r="L94">
        <f t="shared" si="31"/>
        <v>96</v>
      </c>
      <c r="M94">
        <f t="shared" si="32"/>
        <v>19.2</v>
      </c>
      <c r="N94">
        <v>45</v>
      </c>
      <c r="O94">
        <v>48</v>
      </c>
      <c r="P94">
        <v>47</v>
      </c>
      <c r="Q94">
        <f t="shared" si="33"/>
        <v>140</v>
      </c>
      <c r="R94">
        <f t="shared" si="34"/>
        <v>93.33</v>
      </c>
      <c r="S94">
        <f t="shared" si="35"/>
        <v>46.67</v>
      </c>
      <c r="T94">
        <v>35</v>
      </c>
      <c r="U94">
        <v>33</v>
      </c>
      <c r="V94">
        <v>37</v>
      </c>
      <c r="W94">
        <f t="shared" si="36"/>
        <v>105</v>
      </c>
      <c r="X94">
        <f t="shared" si="37"/>
        <v>87.5</v>
      </c>
      <c r="Y94">
        <f t="shared" si="38"/>
        <v>26.25</v>
      </c>
      <c r="Z94">
        <f t="shared" si="39"/>
        <v>92.12</v>
      </c>
      <c r="AA94">
        <f t="shared" si="40"/>
        <v>94</v>
      </c>
      <c r="AB94" t="str">
        <f t="shared" si="41"/>
        <v>Advancing</v>
      </c>
      <c r="AV94">
        <f t="shared" si="42"/>
        <v>87.5</v>
      </c>
      <c r="AW94">
        <f t="shared" si="43"/>
        <v>82.5</v>
      </c>
      <c r="AX94">
        <f t="shared" si="44"/>
        <v>92.5</v>
      </c>
    </row>
    <row r="95" spans="1:50" ht="15.6" x14ac:dyDescent="0.3">
      <c r="A95">
        <v>33</v>
      </c>
      <c r="B95" t="str">
        <f>INPUT!B95</f>
        <v>Alvarez, Rebecca</v>
      </c>
      <c r="F95">
        <v>15</v>
      </c>
      <c r="G95">
        <v>16</v>
      </c>
      <c r="H95">
        <v>17</v>
      </c>
      <c r="I95">
        <v>15</v>
      </c>
      <c r="J95">
        <v>16</v>
      </c>
      <c r="K95">
        <f t="shared" ref="K95:K112" si="45">IF(COUNT($F95:$J95)=0,"",SUM($F95:$J95))</f>
        <v>79</v>
      </c>
      <c r="L95">
        <f t="shared" ref="L95:L112" si="46">IF(ISERROR(IF($K95="","",ROUND(($K95/$K$10)*$L$10,2))),"",IF($K95="","",ROUND(($K95/$K$10)*$L$10,2)))</f>
        <v>79</v>
      </c>
      <c r="M95">
        <f t="shared" ref="M95:M112" si="47">IF($L95="","",ROUND($L95*$M$10,2))</f>
        <v>15.8</v>
      </c>
      <c r="N95">
        <v>45</v>
      </c>
      <c r="O95">
        <v>43</v>
      </c>
      <c r="P95">
        <v>45</v>
      </c>
      <c r="Q95">
        <f t="shared" ref="Q95:Q112" si="48">IF(COUNT($N95:$P95)=0,"",SUM($N95:$P95))</f>
        <v>133</v>
      </c>
      <c r="R95">
        <f t="shared" ref="R95:R112" si="49">IF(ISERROR(IF($Q95="","",ROUND(($Q95/$Q$10)*$R$10,2))),"",IF($Q95="","",ROUND(($Q95/$Q$10)*$R$10,2)))</f>
        <v>88.67</v>
      </c>
      <c r="S95">
        <f t="shared" ref="S95:S112" si="50">IF($R95="","",ROUND($R95*$S$10,2))</f>
        <v>44.34</v>
      </c>
      <c r="T95">
        <v>30</v>
      </c>
      <c r="U95">
        <v>30</v>
      </c>
      <c r="V95">
        <v>33</v>
      </c>
      <c r="W95">
        <f t="shared" ref="W95:W112" si="51">IF(COUNT($T95:$V95)=0,"",SUM($T95:$V95))</f>
        <v>93</v>
      </c>
      <c r="X95">
        <f t="shared" ref="X95:X112" si="52">IF(ISERROR(IF($W95="","",ROUND(($W95/$W$10)*$X$10,2))),"",IF($W95="","",ROUND(($W95/$W$10)*$X$10,2)))</f>
        <v>77.5</v>
      </c>
      <c r="Y95">
        <f t="shared" ref="Y95:Y112" si="53">IF($X95="","",ROUND($X95*$Y$10,2))</f>
        <v>23.25</v>
      </c>
      <c r="Z95">
        <f t="shared" ref="Z95:Z112" si="54">IF(ISERROR(IF($V95="","",ROUND(SUM($M95,$S95,$Y95),2))),"",IF($V95="","",ROUND(SUM($M95,$S95,$Y95),2)))</f>
        <v>83.39</v>
      </c>
      <c r="AA95">
        <f t="shared" ref="AA95:AA126" si="55">IF(ISERROR(IF($V95="","",VLOOKUP(Z95,NewTransmu,4,TRUE))),"",IF($V95="","",VLOOKUP(Z95,NewTransmu,4,TRUE)))</f>
        <v>85</v>
      </c>
      <c r="AB95" t="str">
        <f t="shared" ref="AB95:AB126" si="56">IF(ISERROR(IF(AA95="","",VLOOKUP(AA95,DESCRIPTORS,4,TRUE))),"",IF(AA95="","",VLOOKUP(AA95,DESCRIPTORS,4,TRUE)))</f>
        <v>Benchmarking</v>
      </c>
      <c r="AV95">
        <f t="shared" si="42"/>
        <v>75</v>
      </c>
      <c r="AW95">
        <f t="shared" si="43"/>
        <v>75</v>
      </c>
      <c r="AX95">
        <f t="shared" si="44"/>
        <v>82.5</v>
      </c>
    </row>
    <row r="96" spans="1:50" ht="15.6" x14ac:dyDescent="0.3">
      <c r="A96">
        <v>34</v>
      </c>
      <c r="B96" t="str">
        <f>INPUT!B96</f>
        <v>Aquino, Rhea</v>
      </c>
      <c r="F96">
        <v>15</v>
      </c>
      <c r="G96">
        <v>16</v>
      </c>
      <c r="H96">
        <v>15</v>
      </c>
      <c r="I96">
        <v>14</v>
      </c>
      <c r="J96">
        <v>16</v>
      </c>
      <c r="K96">
        <f t="shared" si="45"/>
        <v>76</v>
      </c>
      <c r="L96">
        <f t="shared" si="46"/>
        <v>76</v>
      </c>
      <c r="M96">
        <f t="shared" si="47"/>
        <v>15.2</v>
      </c>
      <c r="N96">
        <v>40</v>
      </c>
      <c r="O96">
        <v>38</v>
      </c>
      <c r="P96">
        <v>37</v>
      </c>
      <c r="Q96">
        <f t="shared" si="48"/>
        <v>115</v>
      </c>
      <c r="R96">
        <f t="shared" si="49"/>
        <v>76.67</v>
      </c>
      <c r="S96">
        <f t="shared" si="50"/>
        <v>38.340000000000003</v>
      </c>
      <c r="T96">
        <v>31</v>
      </c>
      <c r="U96">
        <v>30</v>
      </c>
      <c r="V96">
        <v>28</v>
      </c>
      <c r="W96">
        <f t="shared" si="51"/>
        <v>89</v>
      </c>
      <c r="X96">
        <f t="shared" si="52"/>
        <v>74.17</v>
      </c>
      <c r="Y96">
        <f t="shared" si="53"/>
        <v>22.25</v>
      </c>
      <c r="Z96">
        <f t="shared" si="54"/>
        <v>75.790000000000006</v>
      </c>
      <c r="AA96">
        <f t="shared" si="55"/>
        <v>77</v>
      </c>
      <c r="AB96" t="str">
        <f t="shared" si="56"/>
        <v>Connecting</v>
      </c>
      <c r="AV96">
        <f t="shared" si="42"/>
        <v>77.5</v>
      </c>
      <c r="AW96">
        <f t="shared" si="43"/>
        <v>75</v>
      </c>
      <c r="AX96">
        <f t="shared" si="44"/>
        <v>70</v>
      </c>
    </row>
    <row r="97" spans="1:50" ht="15.6" x14ac:dyDescent="0.3">
      <c r="A97">
        <v>35</v>
      </c>
      <c r="B97" t="str">
        <f>INPUT!B97</f>
        <v>Arceo, Samantha</v>
      </c>
      <c r="F97">
        <v>19</v>
      </c>
      <c r="G97">
        <v>20</v>
      </c>
      <c r="H97">
        <v>20</v>
      </c>
      <c r="I97">
        <v>19</v>
      </c>
      <c r="J97">
        <v>19</v>
      </c>
      <c r="K97">
        <f t="shared" si="45"/>
        <v>97</v>
      </c>
      <c r="L97">
        <f t="shared" si="46"/>
        <v>97</v>
      </c>
      <c r="M97">
        <f t="shared" si="47"/>
        <v>19.399999999999999</v>
      </c>
      <c r="N97">
        <v>50</v>
      </c>
      <c r="O97">
        <v>50</v>
      </c>
      <c r="P97">
        <v>50</v>
      </c>
      <c r="Q97">
        <f t="shared" si="48"/>
        <v>150</v>
      </c>
      <c r="R97">
        <f t="shared" si="49"/>
        <v>100</v>
      </c>
      <c r="S97">
        <f t="shared" si="50"/>
        <v>50</v>
      </c>
      <c r="T97">
        <v>39</v>
      </c>
      <c r="U97">
        <v>37</v>
      </c>
      <c r="V97">
        <v>36</v>
      </c>
      <c r="W97">
        <f t="shared" si="51"/>
        <v>112</v>
      </c>
      <c r="X97">
        <f t="shared" si="52"/>
        <v>93.33</v>
      </c>
      <c r="Y97">
        <f t="shared" si="53"/>
        <v>28</v>
      </c>
      <c r="Z97">
        <f t="shared" si="54"/>
        <v>97.4</v>
      </c>
      <c r="AA97">
        <f t="shared" si="55"/>
        <v>98</v>
      </c>
      <c r="AB97" t="str">
        <f t="shared" si="56"/>
        <v>Advancing</v>
      </c>
      <c r="AV97">
        <f t="shared" si="42"/>
        <v>97.5</v>
      </c>
      <c r="AW97">
        <f t="shared" si="43"/>
        <v>92.5</v>
      </c>
      <c r="AX97">
        <f t="shared" si="44"/>
        <v>90</v>
      </c>
    </row>
    <row r="98" spans="1:50" ht="15.6" x14ac:dyDescent="0.3">
      <c r="A98">
        <v>36</v>
      </c>
      <c r="B98" t="str">
        <f>INPUT!B98</f>
        <v>Arellano, Sofia</v>
      </c>
      <c r="F98">
        <v>9</v>
      </c>
      <c r="G98">
        <v>11</v>
      </c>
      <c r="H98">
        <v>11</v>
      </c>
      <c r="I98">
        <v>9</v>
      </c>
      <c r="J98">
        <v>9</v>
      </c>
      <c r="K98">
        <f t="shared" si="45"/>
        <v>49</v>
      </c>
      <c r="L98">
        <f t="shared" si="46"/>
        <v>49</v>
      </c>
      <c r="M98">
        <f t="shared" si="47"/>
        <v>9.8000000000000007</v>
      </c>
      <c r="N98">
        <v>25</v>
      </c>
      <c r="O98">
        <v>25</v>
      </c>
      <c r="P98">
        <v>29</v>
      </c>
      <c r="Q98">
        <f t="shared" si="48"/>
        <v>79</v>
      </c>
      <c r="R98">
        <f t="shared" si="49"/>
        <v>52.67</v>
      </c>
      <c r="S98">
        <f t="shared" si="50"/>
        <v>26.34</v>
      </c>
      <c r="T98">
        <v>17</v>
      </c>
      <c r="U98">
        <v>18</v>
      </c>
      <c r="V98">
        <v>17</v>
      </c>
      <c r="W98">
        <f t="shared" si="51"/>
        <v>52</v>
      </c>
      <c r="X98">
        <f t="shared" si="52"/>
        <v>43.33</v>
      </c>
      <c r="Y98">
        <f t="shared" si="53"/>
        <v>13</v>
      </c>
      <c r="Z98">
        <f t="shared" si="54"/>
        <v>49.14</v>
      </c>
      <c r="AA98">
        <f t="shared" si="55"/>
        <v>64</v>
      </c>
      <c r="AB98" t="str">
        <f t="shared" si="56"/>
        <v>Emerging</v>
      </c>
      <c r="AV98">
        <f t="shared" si="42"/>
        <v>42.5</v>
      </c>
      <c r="AW98">
        <f t="shared" si="43"/>
        <v>45</v>
      </c>
      <c r="AX98">
        <f t="shared" si="44"/>
        <v>42.5</v>
      </c>
    </row>
    <row r="99" spans="1:50" ht="15.6" x14ac:dyDescent="0.3">
      <c r="A99">
        <v>37</v>
      </c>
      <c r="B99" t="str">
        <f>INPUT!B99</f>
        <v>Barrera, Sophia</v>
      </c>
      <c r="F99">
        <v>15</v>
      </c>
      <c r="G99">
        <v>17</v>
      </c>
      <c r="H99">
        <v>18</v>
      </c>
      <c r="I99">
        <v>16</v>
      </c>
      <c r="J99">
        <v>16</v>
      </c>
      <c r="K99">
        <f t="shared" si="45"/>
        <v>82</v>
      </c>
      <c r="L99">
        <f t="shared" si="46"/>
        <v>82</v>
      </c>
      <c r="M99">
        <f t="shared" si="47"/>
        <v>16.399999999999999</v>
      </c>
      <c r="N99">
        <v>41</v>
      </c>
      <c r="O99">
        <v>44</v>
      </c>
      <c r="P99">
        <v>42</v>
      </c>
      <c r="Q99">
        <f t="shared" si="48"/>
        <v>127</v>
      </c>
      <c r="R99">
        <f t="shared" si="49"/>
        <v>84.67</v>
      </c>
      <c r="S99">
        <f t="shared" si="50"/>
        <v>42.34</v>
      </c>
      <c r="T99">
        <v>33</v>
      </c>
      <c r="U99">
        <v>30</v>
      </c>
      <c r="V99">
        <v>29</v>
      </c>
      <c r="W99">
        <f t="shared" si="51"/>
        <v>92</v>
      </c>
      <c r="X99">
        <f t="shared" si="52"/>
        <v>76.67</v>
      </c>
      <c r="Y99">
        <f t="shared" si="53"/>
        <v>23</v>
      </c>
      <c r="Z99">
        <f t="shared" si="54"/>
        <v>81.739999999999995</v>
      </c>
      <c r="AA99">
        <f t="shared" si="55"/>
        <v>83</v>
      </c>
      <c r="AB99" t="str">
        <f t="shared" si="56"/>
        <v>Benchmarking</v>
      </c>
      <c r="AV99">
        <f t="shared" si="42"/>
        <v>82.5</v>
      </c>
      <c r="AW99">
        <f t="shared" si="43"/>
        <v>75</v>
      </c>
      <c r="AX99">
        <f t="shared" si="44"/>
        <v>72.5</v>
      </c>
    </row>
    <row r="100" spans="1:50" ht="15.6" x14ac:dyDescent="0.3">
      <c r="A100">
        <v>38</v>
      </c>
      <c r="B100" t="str">
        <f>INPUT!B100</f>
        <v>Cabral, Therese</v>
      </c>
      <c r="F100">
        <v>18</v>
      </c>
      <c r="G100">
        <v>18</v>
      </c>
      <c r="H100">
        <v>18</v>
      </c>
      <c r="I100">
        <v>17</v>
      </c>
      <c r="J100">
        <v>17</v>
      </c>
      <c r="K100">
        <f t="shared" si="45"/>
        <v>88</v>
      </c>
      <c r="L100">
        <f t="shared" si="46"/>
        <v>88</v>
      </c>
      <c r="M100">
        <f t="shared" si="47"/>
        <v>17.600000000000001</v>
      </c>
      <c r="N100">
        <v>45</v>
      </c>
      <c r="O100">
        <v>44</v>
      </c>
      <c r="P100">
        <v>42</v>
      </c>
      <c r="Q100">
        <f t="shared" si="48"/>
        <v>131</v>
      </c>
      <c r="R100">
        <f t="shared" si="49"/>
        <v>87.33</v>
      </c>
      <c r="S100">
        <f t="shared" si="50"/>
        <v>43.67</v>
      </c>
      <c r="T100">
        <v>31</v>
      </c>
      <c r="U100">
        <v>32</v>
      </c>
      <c r="V100">
        <v>31</v>
      </c>
      <c r="W100">
        <f t="shared" si="51"/>
        <v>94</v>
      </c>
      <c r="X100">
        <f t="shared" si="52"/>
        <v>78.33</v>
      </c>
      <c r="Y100">
        <f t="shared" si="53"/>
        <v>23.5</v>
      </c>
      <c r="Z100">
        <f t="shared" si="54"/>
        <v>84.77</v>
      </c>
      <c r="AA100">
        <f t="shared" si="55"/>
        <v>86</v>
      </c>
      <c r="AB100" t="str">
        <f t="shared" si="56"/>
        <v>Benchmarking</v>
      </c>
      <c r="AV100">
        <f t="shared" si="42"/>
        <v>77.5</v>
      </c>
      <c r="AW100">
        <f t="shared" si="43"/>
        <v>80</v>
      </c>
      <c r="AX100">
        <f t="shared" si="44"/>
        <v>77.5</v>
      </c>
    </row>
    <row r="101" spans="1:50" ht="15.6" x14ac:dyDescent="0.3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 t="shared" si="45"/>
        <v>100</v>
      </c>
      <c r="L101">
        <f t="shared" si="46"/>
        <v>100</v>
      </c>
      <c r="M101">
        <f t="shared" si="47"/>
        <v>20</v>
      </c>
      <c r="N101">
        <v>47</v>
      </c>
      <c r="O101">
        <v>50</v>
      </c>
      <c r="P101">
        <v>48</v>
      </c>
      <c r="Q101">
        <f t="shared" si="48"/>
        <v>145</v>
      </c>
      <c r="R101">
        <f t="shared" si="49"/>
        <v>96.67</v>
      </c>
      <c r="S101">
        <f t="shared" si="50"/>
        <v>48.34</v>
      </c>
      <c r="T101">
        <v>36</v>
      </c>
      <c r="U101">
        <v>39</v>
      </c>
      <c r="V101">
        <v>36</v>
      </c>
      <c r="W101">
        <f t="shared" si="51"/>
        <v>111</v>
      </c>
      <c r="X101">
        <f t="shared" si="52"/>
        <v>92.5</v>
      </c>
      <c r="Y101">
        <f t="shared" si="53"/>
        <v>27.75</v>
      </c>
      <c r="Z101">
        <f t="shared" si="54"/>
        <v>96.09</v>
      </c>
      <c r="AA101">
        <f t="shared" si="55"/>
        <v>98</v>
      </c>
      <c r="AB101" t="str">
        <f t="shared" si="56"/>
        <v>Advancing</v>
      </c>
      <c r="AV101">
        <f t="shared" si="42"/>
        <v>90</v>
      </c>
      <c r="AW101">
        <f t="shared" si="43"/>
        <v>97.5</v>
      </c>
      <c r="AX101">
        <f t="shared" si="44"/>
        <v>90</v>
      </c>
    </row>
    <row r="102" spans="1:50" ht="15.6" x14ac:dyDescent="0.3">
      <c r="A102">
        <v>40</v>
      </c>
      <c r="B102" t="str">
        <f>INPUT!B102</f>
        <v>Escobar, Valerie</v>
      </c>
      <c r="F102">
        <v>16</v>
      </c>
      <c r="G102">
        <v>19</v>
      </c>
      <c r="H102">
        <v>16</v>
      </c>
      <c r="I102">
        <v>18</v>
      </c>
      <c r="J102">
        <v>17</v>
      </c>
      <c r="K102">
        <f t="shared" si="45"/>
        <v>86</v>
      </c>
      <c r="L102">
        <f t="shared" si="46"/>
        <v>86</v>
      </c>
      <c r="M102">
        <f t="shared" si="47"/>
        <v>17.2</v>
      </c>
      <c r="N102">
        <v>48</v>
      </c>
      <c r="O102">
        <v>46</v>
      </c>
      <c r="P102">
        <v>46</v>
      </c>
      <c r="Q102">
        <f t="shared" si="48"/>
        <v>140</v>
      </c>
      <c r="R102">
        <f t="shared" si="49"/>
        <v>93.33</v>
      </c>
      <c r="S102">
        <f t="shared" si="50"/>
        <v>46.67</v>
      </c>
      <c r="T102">
        <v>32</v>
      </c>
      <c r="U102">
        <v>31</v>
      </c>
      <c r="V102">
        <v>35</v>
      </c>
      <c r="W102">
        <f t="shared" si="51"/>
        <v>98</v>
      </c>
      <c r="X102">
        <f t="shared" si="52"/>
        <v>81.67</v>
      </c>
      <c r="Y102">
        <f t="shared" si="53"/>
        <v>24.5</v>
      </c>
      <c r="Z102">
        <f t="shared" si="54"/>
        <v>88.37</v>
      </c>
      <c r="AA102">
        <f t="shared" si="55"/>
        <v>90</v>
      </c>
      <c r="AB102" t="str">
        <f t="shared" si="56"/>
        <v>Advancing</v>
      </c>
      <c r="AV102">
        <f t="shared" si="42"/>
        <v>80</v>
      </c>
      <c r="AW102">
        <f t="shared" si="43"/>
        <v>77.5</v>
      </c>
      <c r="AX102">
        <f t="shared" si="44"/>
        <v>87.5</v>
      </c>
    </row>
    <row r="103" spans="1:50" ht="15.6" x14ac:dyDescent="0.3">
      <c r="A103">
        <v>41</v>
      </c>
      <c r="B103" t="str">
        <f>INPUT!B103</f>
        <v>Aguilar, Vanessa</v>
      </c>
      <c r="F103">
        <v>17</v>
      </c>
      <c r="G103">
        <v>18</v>
      </c>
      <c r="H103">
        <v>17</v>
      </c>
      <c r="I103">
        <v>17</v>
      </c>
      <c r="J103">
        <v>18</v>
      </c>
      <c r="K103">
        <f t="shared" si="45"/>
        <v>87</v>
      </c>
      <c r="L103">
        <f t="shared" si="46"/>
        <v>87</v>
      </c>
      <c r="M103">
        <f t="shared" si="47"/>
        <v>17.399999999999999</v>
      </c>
      <c r="N103">
        <v>49</v>
      </c>
      <c r="O103">
        <v>46</v>
      </c>
      <c r="P103">
        <v>45</v>
      </c>
      <c r="Q103">
        <f t="shared" si="48"/>
        <v>140</v>
      </c>
      <c r="R103">
        <f t="shared" si="49"/>
        <v>93.33</v>
      </c>
      <c r="S103">
        <f t="shared" si="50"/>
        <v>46.67</v>
      </c>
      <c r="T103">
        <v>32</v>
      </c>
      <c r="U103">
        <v>31</v>
      </c>
      <c r="V103">
        <v>34</v>
      </c>
      <c r="W103">
        <f t="shared" si="51"/>
        <v>97</v>
      </c>
      <c r="X103">
        <f t="shared" si="52"/>
        <v>80.83</v>
      </c>
      <c r="Y103">
        <f t="shared" si="53"/>
        <v>24.25</v>
      </c>
      <c r="Z103">
        <f t="shared" si="54"/>
        <v>88.32</v>
      </c>
      <c r="AA103">
        <f t="shared" si="55"/>
        <v>90</v>
      </c>
      <c r="AB103" t="str">
        <f t="shared" si="56"/>
        <v>Advancing</v>
      </c>
      <c r="AV103">
        <f t="shared" si="42"/>
        <v>80</v>
      </c>
      <c r="AW103">
        <f t="shared" si="43"/>
        <v>77.5</v>
      </c>
      <c r="AX103">
        <f t="shared" si="44"/>
        <v>85</v>
      </c>
    </row>
    <row r="104" spans="1:50" ht="15.6" x14ac:dyDescent="0.3">
      <c r="A104">
        <v>42</v>
      </c>
      <c r="B104" t="str">
        <f>INPUT!B104</f>
        <v>Alcantara, Veronica</v>
      </c>
      <c r="F104">
        <v>15</v>
      </c>
      <c r="G104">
        <v>14</v>
      </c>
      <c r="H104">
        <v>14</v>
      </c>
      <c r="I104">
        <v>14</v>
      </c>
      <c r="J104">
        <v>15</v>
      </c>
      <c r="K104">
        <f t="shared" si="45"/>
        <v>72</v>
      </c>
      <c r="L104">
        <f t="shared" si="46"/>
        <v>72</v>
      </c>
      <c r="M104">
        <f t="shared" si="47"/>
        <v>14.4</v>
      </c>
      <c r="N104">
        <v>34</v>
      </c>
      <c r="O104">
        <v>40</v>
      </c>
      <c r="P104">
        <v>39</v>
      </c>
      <c r="Q104">
        <f t="shared" si="48"/>
        <v>113</v>
      </c>
      <c r="R104">
        <f t="shared" si="49"/>
        <v>75.33</v>
      </c>
      <c r="S104">
        <f t="shared" si="50"/>
        <v>37.67</v>
      </c>
      <c r="T104">
        <v>26</v>
      </c>
      <c r="U104">
        <v>29</v>
      </c>
      <c r="V104">
        <v>27</v>
      </c>
      <c r="W104">
        <f t="shared" si="51"/>
        <v>82</v>
      </c>
      <c r="X104">
        <f t="shared" si="52"/>
        <v>68.33</v>
      </c>
      <c r="Y104">
        <f t="shared" si="53"/>
        <v>20.5</v>
      </c>
      <c r="Z104">
        <f t="shared" si="54"/>
        <v>72.569999999999993</v>
      </c>
      <c r="AA104">
        <f t="shared" si="55"/>
        <v>75</v>
      </c>
      <c r="AB104" t="str">
        <f t="shared" si="56"/>
        <v>Connecting</v>
      </c>
      <c r="AV104">
        <f t="shared" si="42"/>
        <v>65</v>
      </c>
      <c r="AW104">
        <f t="shared" si="43"/>
        <v>72.5</v>
      </c>
      <c r="AX104">
        <f t="shared" si="44"/>
        <v>67.5</v>
      </c>
    </row>
    <row r="105" spans="1:50" ht="15.6" x14ac:dyDescent="0.3">
      <c r="A105">
        <v>43</v>
      </c>
      <c r="B105" t="str">
        <f>INPUT!B105</f>
        <v>Andrada, Victoria</v>
      </c>
      <c r="F105">
        <v>7</v>
      </c>
      <c r="G105">
        <v>10</v>
      </c>
      <c r="H105">
        <v>10</v>
      </c>
      <c r="I105">
        <v>10</v>
      </c>
      <c r="J105">
        <v>7</v>
      </c>
      <c r="K105">
        <f t="shared" si="45"/>
        <v>44</v>
      </c>
      <c r="L105">
        <f t="shared" si="46"/>
        <v>44</v>
      </c>
      <c r="M105">
        <f t="shared" si="47"/>
        <v>8.8000000000000007</v>
      </c>
      <c r="N105">
        <v>20</v>
      </c>
      <c r="O105">
        <v>26</v>
      </c>
      <c r="P105">
        <v>22</v>
      </c>
      <c r="Q105">
        <f t="shared" si="48"/>
        <v>68</v>
      </c>
      <c r="R105">
        <f t="shared" si="49"/>
        <v>45.33</v>
      </c>
      <c r="S105">
        <f t="shared" si="50"/>
        <v>22.67</v>
      </c>
      <c r="T105">
        <v>18</v>
      </c>
      <c r="U105">
        <v>18</v>
      </c>
      <c r="V105">
        <v>17</v>
      </c>
      <c r="W105">
        <f t="shared" si="51"/>
        <v>53</v>
      </c>
      <c r="X105">
        <f t="shared" si="52"/>
        <v>44.17</v>
      </c>
      <c r="Y105">
        <f t="shared" si="53"/>
        <v>13.25</v>
      </c>
      <c r="Z105">
        <f t="shared" si="54"/>
        <v>44.72</v>
      </c>
      <c r="AA105">
        <f t="shared" si="55"/>
        <v>62</v>
      </c>
      <c r="AB105" t="str">
        <f t="shared" si="56"/>
        <v>Emerging</v>
      </c>
      <c r="AV105">
        <f t="shared" si="42"/>
        <v>45</v>
      </c>
      <c r="AW105">
        <f t="shared" si="43"/>
        <v>45</v>
      </c>
      <c r="AX105">
        <f t="shared" si="44"/>
        <v>42.5</v>
      </c>
    </row>
    <row r="106" spans="1:50" ht="15.6" x14ac:dyDescent="0.3">
      <c r="A106">
        <v>44</v>
      </c>
      <c r="B106" t="str">
        <f>INPUT!B106</f>
        <v>Bautista, Yasmine</v>
      </c>
      <c r="F106">
        <v>14</v>
      </c>
      <c r="G106">
        <v>15</v>
      </c>
      <c r="H106">
        <v>13</v>
      </c>
      <c r="I106">
        <v>16</v>
      </c>
      <c r="J106">
        <v>15</v>
      </c>
      <c r="K106">
        <f t="shared" si="45"/>
        <v>73</v>
      </c>
      <c r="L106">
        <f t="shared" si="46"/>
        <v>73</v>
      </c>
      <c r="M106">
        <f t="shared" si="47"/>
        <v>14.6</v>
      </c>
      <c r="N106">
        <v>38</v>
      </c>
      <c r="O106">
        <v>40</v>
      </c>
      <c r="P106">
        <v>36</v>
      </c>
      <c r="Q106">
        <f t="shared" si="48"/>
        <v>114</v>
      </c>
      <c r="R106">
        <f t="shared" si="49"/>
        <v>76</v>
      </c>
      <c r="S106">
        <f t="shared" si="50"/>
        <v>38</v>
      </c>
      <c r="T106">
        <v>26</v>
      </c>
      <c r="U106">
        <v>25</v>
      </c>
      <c r="V106">
        <v>29</v>
      </c>
      <c r="W106">
        <f t="shared" si="51"/>
        <v>80</v>
      </c>
      <c r="X106">
        <f t="shared" si="52"/>
        <v>66.67</v>
      </c>
      <c r="Y106">
        <f t="shared" si="53"/>
        <v>20</v>
      </c>
      <c r="Z106">
        <f t="shared" si="54"/>
        <v>72.599999999999994</v>
      </c>
      <c r="AA106">
        <f t="shared" si="55"/>
        <v>75</v>
      </c>
      <c r="AB106" t="str">
        <f t="shared" si="56"/>
        <v>Connecting</v>
      </c>
      <c r="AV106">
        <f t="shared" si="42"/>
        <v>65</v>
      </c>
      <c r="AW106">
        <f t="shared" si="43"/>
        <v>62.5</v>
      </c>
      <c r="AX106">
        <f t="shared" si="44"/>
        <v>72.5</v>
      </c>
    </row>
    <row r="107" spans="1:50" ht="15.6" x14ac:dyDescent="0.3">
      <c r="A107">
        <v>45</v>
      </c>
      <c r="B107" t="str">
        <f>INPUT!B107</f>
        <v>Bernardo, Zoe</v>
      </c>
      <c r="F107">
        <v>16</v>
      </c>
      <c r="G107">
        <v>18</v>
      </c>
      <c r="H107">
        <v>19</v>
      </c>
      <c r="I107">
        <v>17</v>
      </c>
      <c r="J107">
        <v>17</v>
      </c>
      <c r="K107">
        <f t="shared" si="45"/>
        <v>87</v>
      </c>
      <c r="L107">
        <f t="shared" si="46"/>
        <v>87</v>
      </c>
      <c r="M107">
        <f t="shared" si="47"/>
        <v>17.399999999999999</v>
      </c>
      <c r="N107">
        <v>45</v>
      </c>
      <c r="O107">
        <v>45</v>
      </c>
      <c r="P107">
        <v>45</v>
      </c>
      <c r="Q107">
        <f t="shared" si="48"/>
        <v>135</v>
      </c>
      <c r="R107">
        <f t="shared" si="49"/>
        <v>90</v>
      </c>
      <c r="S107">
        <f t="shared" si="50"/>
        <v>45</v>
      </c>
      <c r="T107">
        <v>32</v>
      </c>
      <c r="U107">
        <v>33</v>
      </c>
      <c r="V107">
        <v>36</v>
      </c>
      <c r="W107">
        <f t="shared" si="51"/>
        <v>101</v>
      </c>
      <c r="X107">
        <f t="shared" si="52"/>
        <v>84.17</v>
      </c>
      <c r="Y107">
        <f t="shared" si="53"/>
        <v>25.25</v>
      </c>
      <c r="Z107">
        <f t="shared" si="54"/>
        <v>87.65</v>
      </c>
      <c r="AA107">
        <f t="shared" si="55"/>
        <v>89</v>
      </c>
      <c r="AB107" t="str">
        <f t="shared" si="56"/>
        <v>Benchmarking</v>
      </c>
      <c r="AV107">
        <f t="shared" si="42"/>
        <v>80</v>
      </c>
      <c r="AW107">
        <f t="shared" si="43"/>
        <v>82.5</v>
      </c>
      <c r="AX107">
        <f t="shared" si="44"/>
        <v>90</v>
      </c>
    </row>
    <row r="108" spans="1:50" ht="15.6" x14ac:dyDescent="0.3">
      <c r="A108">
        <v>46</v>
      </c>
      <c r="B108" t="str">
        <f>INPUT!B108</f>
        <v>Castillo, Amara</v>
      </c>
      <c r="F108">
        <v>18</v>
      </c>
      <c r="G108">
        <v>16</v>
      </c>
      <c r="H108">
        <v>18</v>
      </c>
      <c r="I108">
        <v>16</v>
      </c>
      <c r="J108">
        <v>17</v>
      </c>
      <c r="K108">
        <f t="shared" si="45"/>
        <v>85</v>
      </c>
      <c r="L108">
        <f t="shared" si="46"/>
        <v>85</v>
      </c>
      <c r="M108">
        <f t="shared" si="47"/>
        <v>17</v>
      </c>
      <c r="N108">
        <v>45</v>
      </c>
      <c r="O108">
        <v>46</v>
      </c>
      <c r="P108">
        <v>43</v>
      </c>
      <c r="Q108">
        <f t="shared" si="48"/>
        <v>134</v>
      </c>
      <c r="R108">
        <f t="shared" si="49"/>
        <v>89.33</v>
      </c>
      <c r="S108">
        <f t="shared" si="50"/>
        <v>44.67</v>
      </c>
      <c r="T108">
        <v>31</v>
      </c>
      <c r="U108">
        <v>32</v>
      </c>
      <c r="V108">
        <v>33</v>
      </c>
      <c r="W108">
        <f t="shared" si="51"/>
        <v>96</v>
      </c>
      <c r="X108">
        <f t="shared" si="52"/>
        <v>80</v>
      </c>
      <c r="Y108">
        <f t="shared" si="53"/>
        <v>24</v>
      </c>
      <c r="Z108">
        <f t="shared" si="54"/>
        <v>85.67</v>
      </c>
      <c r="AA108">
        <f t="shared" si="55"/>
        <v>87</v>
      </c>
      <c r="AB108" t="str">
        <f t="shared" si="56"/>
        <v>Benchmarking</v>
      </c>
      <c r="AV108">
        <f t="shared" si="42"/>
        <v>77.5</v>
      </c>
      <c r="AW108">
        <f t="shared" si="43"/>
        <v>80</v>
      </c>
      <c r="AX108">
        <f t="shared" si="44"/>
        <v>82.5</v>
      </c>
    </row>
    <row r="109" spans="1:50" ht="15.6" x14ac:dyDescent="0.3">
      <c r="A109">
        <v>47</v>
      </c>
      <c r="B109" t="str">
        <f>INPUT!B109</f>
        <v>Cruz, Andrea</v>
      </c>
      <c r="F109">
        <v>15</v>
      </c>
      <c r="G109">
        <v>16</v>
      </c>
      <c r="H109">
        <v>15</v>
      </c>
      <c r="I109">
        <v>17</v>
      </c>
      <c r="J109">
        <v>17</v>
      </c>
      <c r="K109">
        <f t="shared" si="45"/>
        <v>80</v>
      </c>
      <c r="L109">
        <f t="shared" si="46"/>
        <v>80</v>
      </c>
      <c r="M109">
        <f t="shared" si="47"/>
        <v>16</v>
      </c>
      <c r="N109">
        <v>42</v>
      </c>
      <c r="O109">
        <v>41</v>
      </c>
      <c r="P109">
        <v>41</v>
      </c>
      <c r="Q109">
        <f t="shared" si="48"/>
        <v>124</v>
      </c>
      <c r="R109">
        <f t="shared" si="49"/>
        <v>82.67</v>
      </c>
      <c r="S109">
        <f t="shared" si="50"/>
        <v>41.34</v>
      </c>
      <c r="T109">
        <v>29</v>
      </c>
      <c r="U109">
        <v>31</v>
      </c>
      <c r="V109">
        <v>32</v>
      </c>
      <c r="W109">
        <f t="shared" si="51"/>
        <v>92</v>
      </c>
      <c r="X109">
        <f t="shared" si="52"/>
        <v>76.67</v>
      </c>
      <c r="Y109">
        <f t="shared" si="53"/>
        <v>23</v>
      </c>
      <c r="Z109">
        <f t="shared" si="54"/>
        <v>80.34</v>
      </c>
      <c r="AA109">
        <f t="shared" si="55"/>
        <v>82</v>
      </c>
      <c r="AB109" t="str">
        <f t="shared" si="56"/>
        <v>Benchmarking</v>
      </c>
      <c r="AV109">
        <f t="shared" si="42"/>
        <v>72.5</v>
      </c>
      <c r="AW109">
        <f t="shared" si="43"/>
        <v>77.5</v>
      </c>
      <c r="AX109">
        <f t="shared" si="44"/>
        <v>80</v>
      </c>
    </row>
    <row r="110" spans="1:50" ht="15.6" x14ac:dyDescent="0.3">
      <c r="A110">
        <v>48</v>
      </c>
      <c r="B110" t="str">
        <f>INPUT!B110</f>
        <v>Dela Cruz, Beatriz</v>
      </c>
      <c r="F110">
        <v>8</v>
      </c>
      <c r="G110">
        <v>8</v>
      </c>
      <c r="H110">
        <v>8</v>
      </c>
      <c r="I110">
        <v>9</v>
      </c>
      <c r="J110">
        <v>8</v>
      </c>
      <c r="K110">
        <f t="shared" si="45"/>
        <v>41</v>
      </c>
      <c r="L110">
        <f t="shared" si="46"/>
        <v>41</v>
      </c>
      <c r="M110">
        <f t="shared" si="47"/>
        <v>8.1999999999999993</v>
      </c>
      <c r="N110">
        <v>21</v>
      </c>
      <c r="O110">
        <v>26</v>
      </c>
      <c r="P110">
        <v>21</v>
      </c>
      <c r="Q110">
        <f t="shared" si="48"/>
        <v>68</v>
      </c>
      <c r="R110">
        <f t="shared" si="49"/>
        <v>45.33</v>
      </c>
      <c r="S110">
        <f t="shared" si="50"/>
        <v>22.67</v>
      </c>
      <c r="T110">
        <v>14</v>
      </c>
      <c r="U110">
        <v>15</v>
      </c>
      <c r="V110">
        <v>18</v>
      </c>
      <c r="W110">
        <f t="shared" si="51"/>
        <v>47</v>
      </c>
      <c r="X110">
        <f t="shared" si="52"/>
        <v>39.17</v>
      </c>
      <c r="Y110">
        <f t="shared" si="53"/>
        <v>11.75</v>
      </c>
      <c r="Z110">
        <f t="shared" si="54"/>
        <v>42.62</v>
      </c>
      <c r="AA110">
        <f t="shared" si="55"/>
        <v>61</v>
      </c>
      <c r="AB110" t="str">
        <f t="shared" si="56"/>
        <v>Emerging</v>
      </c>
      <c r="AV110">
        <f t="shared" si="42"/>
        <v>35</v>
      </c>
      <c r="AW110">
        <f t="shared" si="43"/>
        <v>37.5</v>
      </c>
      <c r="AX110">
        <f t="shared" si="44"/>
        <v>45</v>
      </c>
    </row>
    <row r="111" spans="1:50" ht="15.6" x14ac:dyDescent="0.3">
      <c r="A111">
        <v>49</v>
      </c>
      <c r="B111" t="str">
        <f>INPUT!B111</f>
        <v>Diaz, Celine</v>
      </c>
      <c r="F111">
        <v>13</v>
      </c>
      <c r="G111">
        <v>14</v>
      </c>
      <c r="H111">
        <v>15</v>
      </c>
      <c r="I111">
        <v>13</v>
      </c>
      <c r="J111">
        <v>14</v>
      </c>
      <c r="K111">
        <f t="shared" si="45"/>
        <v>69</v>
      </c>
      <c r="L111">
        <f t="shared" si="46"/>
        <v>69</v>
      </c>
      <c r="M111">
        <f t="shared" si="47"/>
        <v>13.8</v>
      </c>
      <c r="N111">
        <v>37</v>
      </c>
      <c r="O111">
        <v>34</v>
      </c>
      <c r="P111">
        <v>38</v>
      </c>
      <c r="Q111">
        <f t="shared" si="48"/>
        <v>109</v>
      </c>
      <c r="R111">
        <f t="shared" si="49"/>
        <v>72.67</v>
      </c>
      <c r="S111">
        <f t="shared" si="50"/>
        <v>36.340000000000003</v>
      </c>
      <c r="T111">
        <v>24</v>
      </c>
      <c r="U111">
        <v>29</v>
      </c>
      <c r="V111">
        <v>24</v>
      </c>
      <c r="W111">
        <f t="shared" si="51"/>
        <v>77</v>
      </c>
      <c r="X111">
        <f t="shared" si="52"/>
        <v>64.17</v>
      </c>
      <c r="Y111">
        <f t="shared" si="53"/>
        <v>19.25</v>
      </c>
      <c r="Z111">
        <f t="shared" si="54"/>
        <v>69.39</v>
      </c>
      <c r="AA111">
        <f t="shared" si="55"/>
        <v>74</v>
      </c>
      <c r="AB111" t="str">
        <f t="shared" si="56"/>
        <v xml:space="preserve">Developing </v>
      </c>
      <c r="AV111">
        <f t="shared" si="42"/>
        <v>60</v>
      </c>
      <c r="AW111">
        <f t="shared" si="43"/>
        <v>72.5</v>
      </c>
      <c r="AX111">
        <f t="shared" si="44"/>
        <v>60</v>
      </c>
    </row>
    <row r="112" spans="1:50" ht="15.6" x14ac:dyDescent="0.3">
      <c r="A112">
        <v>50</v>
      </c>
      <c r="B112" t="str">
        <f>INPUT!B112</f>
        <v>Evangelista, Danielle</v>
      </c>
      <c r="F112">
        <v>16</v>
      </c>
      <c r="G112">
        <v>15</v>
      </c>
      <c r="H112">
        <v>16</v>
      </c>
      <c r="I112">
        <v>16</v>
      </c>
      <c r="J112">
        <v>15</v>
      </c>
      <c r="K112">
        <f t="shared" si="45"/>
        <v>78</v>
      </c>
      <c r="L112">
        <f t="shared" si="46"/>
        <v>78</v>
      </c>
      <c r="M112">
        <f t="shared" si="47"/>
        <v>15.6</v>
      </c>
      <c r="N112">
        <v>42</v>
      </c>
      <c r="O112">
        <v>38</v>
      </c>
      <c r="P112">
        <v>42</v>
      </c>
      <c r="Q112">
        <f t="shared" si="48"/>
        <v>122</v>
      </c>
      <c r="R112">
        <f t="shared" si="49"/>
        <v>81.33</v>
      </c>
      <c r="S112">
        <f t="shared" si="50"/>
        <v>40.67</v>
      </c>
      <c r="T112">
        <v>27</v>
      </c>
      <c r="U112">
        <v>30</v>
      </c>
      <c r="V112">
        <v>27</v>
      </c>
      <c r="W112">
        <f t="shared" si="51"/>
        <v>84</v>
      </c>
      <c r="X112">
        <f t="shared" si="52"/>
        <v>70</v>
      </c>
      <c r="Y112">
        <f t="shared" si="53"/>
        <v>21</v>
      </c>
      <c r="Z112">
        <f t="shared" si="54"/>
        <v>77.27</v>
      </c>
      <c r="AA112">
        <f t="shared" si="55"/>
        <v>79</v>
      </c>
      <c r="AB112" t="str">
        <f t="shared" si="56"/>
        <v>Connecting</v>
      </c>
      <c r="AV112">
        <f t="shared" si="42"/>
        <v>67.5</v>
      </c>
      <c r="AW112">
        <f t="shared" si="43"/>
        <v>75</v>
      </c>
      <c r="AX112">
        <f t="shared" si="44"/>
        <v>67.5</v>
      </c>
    </row>
  </sheetData>
  <autoFilter ref="B11:B112" xr:uid="{00000000-0009-0000-0000-000002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154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Science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17</v>
      </c>
      <c r="G12">
        <v>19</v>
      </c>
      <c r="H12">
        <v>17</v>
      </c>
      <c r="I12">
        <v>19</v>
      </c>
      <c r="J12">
        <v>17</v>
      </c>
      <c r="K12">
        <f t="shared" ref="K12:K43" si="0">IF(COUNT($F12:$J12)=0,"",SUM($F12:$J12))</f>
        <v>89</v>
      </c>
      <c r="L12">
        <f t="shared" ref="L12:L43" si="1">IF(ISERROR(IF($K12="","",ROUND(($K12/$K$10)*$L$10,2))),"",IF($K12="","",ROUND(($K12/$K$10)*$L$10,2)))</f>
        <v>89</v>
      </c>
      <c r="M12">
        <f t="shared" ref="M12:M43" si="2">IF($L12="","",ROUND($L12*$M$10,2))</f>
        <v>17.8</v>
      </c>
      <c r="N12">
        <v>46</v>
      </c>
      <c r="O12">
        <v>48</v>
      </c>
      <c r="P12">
        <v>44</v>
      </c>
      <c r="Q12">
        <f t="shared" ref="Q12:Q43" si="3">IF(COUNT($N12:$P12)=0,"",SUM($N12:$P12))</f>
        <v>138</v>
      </c>
      <c r="R12">
        <f t="shared" ref="R12:R43" si="4">IF(ISERROR(IF($Q12="","",ROUND(($Q12/$Q$10)*$R$10,2))),"",IF($Q12="","",ROUND(($Q12/$Q$10)*$R$10,2)))</f>
        <v>92</v>
      </c>
      <c r="S12">
        <f t="shared" ref="S12:S43" si="5">IF($R12="","",ROUND($R12*$S$10,2))</f>
        <v>46</v>
      </c>
      <c r="T12">
        <v>34</v>
      </c>
      <c r="U12">
        <v>35</v>
      </c>
      <c r="V12">
        <v>33</v>
      </c>
      <c r="W12">
        <f t="shared" ref="W12:W43" si="6">IF(COUNT($T12:$V12)=0,"",SUM($T12:$V12))</f>
        <v>102</v>
      </c>
      <c r="X12">
        <f t="shared" ref="X12:X43" si="7">IF(ISERROR(IF($W12="","",ROUND(($W12/$W$10)*$X$10,2))),"",IF($W12="","",ROUND(($W12/$W$10)*$X$10,2)))</f>
        <v>85</v>
      </c>
      <c r="Y12">
        <f t="shared" ref="Y12:Y43" si="8">IF($X12="","",ROUND($X12*$Y$10,2))</f>
        <v>25.5</v>
      </c>
      <c r="Z12">
        <f>IF(ISERROR(IF($W12="","",ROUND(SUM($M12,$S12,$Y12),2))),"",IF($W12="","",ROUND(SUM($M12,$S12,$Y12),2)))</f>
        <v>89.3</v>
      </c>
      <c r="AA12">
        <f>IF(ISERROR(IF($W12="","",VLOOKUP(Z12,NewTransmu,4,TRUE))),"",IF($W12="","",VLOOKUP(Z12,NewTransmu,4,TRUE)))</f>
        <v>91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85</v>
      </c>
      <c r="AW12">
        <f t="shared" ref="AW12:AW43" si="11">(U12/$U$10)*100</f>
        <v>87.5</v>
      </c>
      <c r="AX12">
        <f t="shared" ref="AX12:AX43" si="12">(V12/$V$10)*100</f>
        <v>82.5</v>
      </c>
    </row>
    <row r="13" spans="1:50" ht="15.6" x14ac:dyDescent="0.3">
      <c r="A13">
        <v>2</v>
      </c>
      <c r="B13" t="str">
        <f>INPUT!B13</f>
        <v>Alcantara, Angelo</v>
      </c>
      <c r="F13">
        <v>19</v>
      </c>
      <c r="G13">
        <v>18</v>
      </c>
      <c r="H13">
        <v>19</v>
      </c>
      <c r="I13">
        <v>19</v>
      </c>
      <c r="J13">
        <v>18</v>
      </c>
      <c r="K13">
        <f t="shared" si="0"/>
        <v>93</v>
      </c>
      <c r="L13">
        <f t="shared" si="1"/>
        <v>93</v>
      </c>
      <c r="M13">
        <f t="shared" si="2"/>
        <v>18.600000000000001</v>
      </c>
      <c r="N13">
        <v>50</v>
      </c>
      <c r="O13">
        <v>49</v>
      </c>
      <c r="P13">
        <v>47</v>
      </c>
      <c r="Q13">
        <f t="shared" si="3"/>
        <v>146</v>
      </c>
      <c r="R13">
        <f t="shared" si="4"/>
        <v>97.33</v>
      </c>
      <c r="S13">
        <f t="shared" si="5"/>
        <v>48.67</v>
      </c>
      <c r="T13">
        <v>37</v>
      </c>
      <c r="U13">
        <v>40</v>
      </c>
      <c r="V13">
        <v>37</v>
      </c>
      <c r="W13">
        <f t="shared" si="6"/>
        <v>114</v>
      </c>
      <c r="X13">
        <f t="shared" si="7"/>
        <v>95</v>
      </c>
      <c r="Y13">
        <f t="shared" si="8"/>
        <v>28.5</v>
      </c>
      <c r="Z13">
        <f t="shared" ref="Z13:Z44" si="13">IF(ISERROR(IF($V13="","",ROUND(SUM($M13,$S13,$Y13),2))),"",IF($V13="","",ROUND(SUM($M13,$S13,$Y13),2)))</f>
        <v>95.77</v>
      </c>
      <c r="AA13">
        <f t="shared" ref="AA13:AA44" si="14">IF(ISERROR(IF($V13="","",VLOOKUP(Z13,NewTransmu,4,TRUE))),"",IF($V13="","",VLOOKUP(Z13,NewTransmu,4,TRUE)))</f>
        <v>97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92.5</v>
      </c>
      <c r="AW13">
        <f t="shared" si="11"/>
        <v>100</v>
      </c>
      <c r="AX13">
        <f t="shared" si="12"/>
        <v>92.5</v>
      </c>
    </row>
    <row r="14" spans="1:50" ht="15.6" x14ac:dyDescent="0.3">
      <c r="A14">
        <v>3</v>
      </c>
      <c r="B14" t="str">
        <f>INPUT!B14</f>
        <v>Andrada, Anton</v>
      </c>
      <c r="F14">
        <v>15</v>
      </c>
      <c r="G14">
        <v>16</v>
      </c>
      <c r="H14">
        <v>14</v>
      </c>
      <c r="I14">
        <v>15</v>
      </c>
      <c r="J14">
        <v>14</v>
      </c>
      <c r="K14">
        <f t="shared" si="0"/>
        <v>74</v>
      </c>
      <c r="L14">
        <f t="shared" si="1"/>
        <v>74</v>
      </c>
      <c r="M14">
        <f t="shared" si="2"/>
        <v>14.8</v>
      </c>
      <c r="N14">
        <v>36</v>
      </c>
      <c r="O14">
        <v>40</v>
      </c>
      <c r="P14">
        <v>36</v>
      </c>
      <c r="Q14">
        <f t="shared" si="3"/>
        <v>112</v>
      </c>
      <c r="R14">
        <f t="shared" si="4"/>
        <v>74.67</v>
      </c>
      <c r="S14">
        <f t="shared" si="5"/>
        <v>37.340000000000003</v>
      </c>
      <c r="T14">
        <v>31</v>
      </c>
      <c r="U14">
        <v>29</v>
      </c>
      <c r="V14">
        <v>29</v>
      </c>
      <c r="W14">
        <f t="shared" si="6"/>
        <v>89</v>
      </c>
      <c r="X14">
        <f t="shared" si="7"/>
        <v>74.17</v>
      </c>
      <c r="Y14">
        <f t="shared" si="8"/>
        <v>22.25</v>
      </c>
      <c r="Z14">
        <f t="shared" si="13"/>
        <v>74.39</v>
      </c>
      <c r="AA14">
        <f t="shared" si="14"/>
        <v>76</v>
      </c>
      <c r="AB14" t="str">
        <f t="shared" si="9"/>
        <v>Connecting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77.5</v>
      </c>
      <c r="AW14">
        <f t="shared" si="11"/>
        <v>72.5</v>
      </c>
      <c r="AX14">
        <f t="shared" si="12"/>
        <v>72.5</v>
      </c>
    </row>
    <row r="15" spans="1:50" ht="15.6" x14ac:dyDescent="0.3">
      <c r="A15">
        <v>4</v>
      </c>
      <c r="B15" t="str">
        <f>INPUT!B15</f>
        <v>Bautista, Bryan</v>
      </c>
      <c r="F15">
        <v>14</v>
      </c>
      <c r="G15">
        <v>13</v>
      </c>
      <c r="H15">
        <v>14</v>
      </c>
      <c r="I15">
        <v>13</v>
      </c>
      <c r="J15">
        <v>13</v>
      </c>
      <c r="K15">
        <f t="shared" si="0"/>
        <v>67</v>
      </c>
      <c r="L15">
        <f t="shared" si="1"/>
        <v>67</v>
      </c>
      <c r="M15">
        <f t="shared" si="2"/>
        <v>13.4</v>
      </c>
      <c r="N15">
        <v>35</v>
      </c>
      <c r="O15">
        <v>32</v>
      </c>
      <c r="P15">
        <v>32</v>
      </c>
      <c r="Q15">
        <f t="shared" si="3"/>
        <v>99</v>
      </c>
      <c r="R15">
        <f t="shared" si="4"/>
        <v>66</v>
      </c>
      <c r="S15">
        <f t="shared" si="5"/>
        <v>33</v>
      </c>
      <c r="T15">
        <v>25</v>
      </c>
      <c r="U15">
        <v>28</v>
      </c>
      <c r="V15">
        <v>23</v>
      </c>
      <c r="W15">
        <f t="shared" si="6"/>
        <v>76</v>
      </c>
      <c r="X15">
        <f t="shared" si="7"/>
        <v>63.33</v>
      </c>
      <c r="Y15">
        <f t="shared" si="8"/>
        <v>19</v>
      </c>
      <c r="Z15">
        <f t="shared" si="13"/>
        <v>65.400000000000006</v>
      </c>
      <c r="AA15">
        <f t="shared" si="14"/>
        <v>72</v>
      </c>
      <c r="AB15" t="str">
        <f t="shared" si="9"/>
        <v xml:space="preserve">Developing 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62.5</v>
      </c>
      <c r="AW15">
        <f t="shared" si="11"/>
        <v>70</v>
      </c>
      <c r="AX15">
        <f t="shared" si="12"/>
        <v>57.499999999999993</v>
      </c>
    </row>
    <row r="16" spans="1:50" ht="15.6" x14ac:dyDescent="0.3">
      <c r="A16">
        <v>5</v>
      </c>
      <c r="B16" t="str">
        <f>INPUT!B16</f>
        <v>Bernardo, Caleb</v>
      </c>
      <c r="F16">
        <v>19</v>
      </c>
      <c r="G16">
        <v>19</v>
      </c>
      <c r="H16">
        <v>20</v>
      </c>
      <c r="I16">
        <v>20</v>
      </c>
      <c r="J16">
        <v>20</v>
      </c>
      <c r="K16">
        <f t="shared" si="0"/>
        <v>98</v>
      </c>
      <c r="L16">
        <f t="shared" si="1"/>
        <v>98</v>
      </c>
      <c r="M16">
        <f t="shared" si="2"/>
        <v>19.600000000000001</v>
      </c>
      <c r="N16">
        <v>48</v>
      </c>
      <c r="O16">
        <v>48</v>
      </c>
      <c r="P16">
        <v>48</v>
      </c>
      <c r="Q16">
        <f t="shared" si="3"/>
        <v>144</v>
      </c>
      <c r="R16">
        <f t="shared" si="4"/>
        <v>96</v>
      </c>
      <c r="S16">
        <f t="shared" si="5"/>
        <v>48</v>
      </c>
      <c r="T16">
        <v>37</v>
      </c>
      <c r="U16">
        <v>37</v>
      </c>
      <c r="V16">
        <v>37</v>
      </c>
      <c r="W16">
        <f t="shared" si="6"/>
        <v>111</v>
      </c>
      <c r="X16">
        <f t="shared" si="7"/>
        <v>92.5</v>
      </c>
      <c r="Y16">
        <f t="shared" si="8"/>
        <v>27.75</v>
      </c>
      <c r="Z16">
        <f t="shared" si="13"/>
        <v>95.35</v>
      </c>
      <c r="AA16">
        <f t="shared" si="14"/>
        <v>97</v>
      </c>
      <c r="AB16" t="str">
        <f t="shared" si="9"/>
        <v>Advancing</v>
      </c>
      <c r="AV16">
        <f t="shared" si="10"/>
        <v>92.5</v>
      </c>
      <c r="AW16">
        <f t="shared" si="11"/>
        <v>92.5</v>
      </c>
      <c r="AX16">
        <f t="shared" si="12"/>
        <v>92.5</v>
      </c>
    </row>
    <row r="17" spans="1:50" ht="15.6" x14ac:dyDescent="0.3">
      <c r="A17">
        <v>6</v>
      </c>
      <c r="B17" t="str">
        <f>INPUT!B17</f>
        <v>Castillo, Carlo</v>
      </c>
      <c r="F17">
        <v>18</v>
      </c>
      <c r="G17">
        <v>17</v>
      </c>
      <c r="H17">
        <v>18</v>
      </c>
      <c r="I17">
        <v>18</v>
      </c>
      <c r="J17">
        <v>18</v>
      </c>
      <c r="K17">
        <f t="shared" si="0"/>
        <v>89</v>
      </c>
      <c r="L17">
        <f t="shared" si="1"/>
        <v>89</v>
      </c>
      <c r="M17">
        <f t="shared" si="2"/>
        <v>17.8</v>
      </c>
      <c r="N17">
        <v>48</v>
      </c>
      <c r="O17">
        <v>45</v>
      </c>
      <c r="P17">
        <v>49</v>
      </c>
      <c r="Q17">
        <f t="shared" si="3"/>
        <v>142</v>
      </c>
      <c r="R17">
        <f t="shared" si="4"/>
        <v>94.67</v>
      </c>
      <c r="S17">
        <f t="shared" si="5"/>
        <v>47.34</v>
      </c>
      <c r="T17">
        <v>35</v>
      </c>
      <c r="U17">
        <v>37</v>
      </c>
      <c r="V17">
        <v>34</v>
      </c>
      <c r="W17">
        <f t="shared" si="6"/>
        <v>106</v>
      </c>
      <c r="X17">
        <f t="shared" si="7"/>
        <v>88.33</v>
      </c>
      <c r="Y17">
        <f t="shared" si="8"/>
        <v>26.5</v>
      </c>
      <c r="Z17">
        <f t="shared" si="13"/>
        <v>91.64</v>
      </c>
      <c r="AA17">
        <f t="shared" si="14"/>
        <v>93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87.5</v>
      </c>
      <c r="AW17">
        <f t="shared" si="11"/>
        <v>92.5</v>
      </c>
      <c r="AX17">
        <f t="shared" si="12"/>
        <v>85</v>
      </c>
    </row>
    <row r="18" spans="1:50" ht="15.6" x14ac:dyDescent="0.3">
      <c r="A18">
        <v>7</v>
      </c>
      <c r="B18" t="str">
        <f>INPUT!B18</f>
        <v>Cruz, Christian</v>
      </c>
      <c r="F18">
        <v>17</v>
      </c>
      <c r="G18">
        <v>16</v>
      </c>
      <c r="H18">
        <v>18</v>
      </c>
      <c r="I18">
        <v>16</v>
      </c>
      <c r="J18">
        <v>19</v>
      </c>
      <c r="K18">
        <f t="shared" si="0"/>
        <v>86</v>
      </c>
      <c r="L18">
        <f t="shared" si="1"/>
        <v>86</v>
      </c>
      <c r="M18">
        <f t="shared" si="2"/>
        <v>17.2</v>
      </c>
      <c r="N18">
        <v>44</v>
      </c>
      <c r="O18">
        <v>43</v>
      </c>
      <c r="P18">
        <v>43</v>
      </c>
      <c r="Q18">
        <f t="shared" si="3"/>
        <v>130</v>
      </c>
      <c r="R18">
        <f t="shared" si="4"/>
        <v>86.67</v>
      </c>
      <c r="S18">
        <f t="shared" si="5"/>
        <v>43.34</v>
      </c>
      <c r="T18">
        <v>32</v>
      </c>
      <c r="U18">
        <v>36</v>
      </c>
      <c r="V18">
        <v>33</v>
      </c>
      <c r="W18">
        <f t="shared" si="6"/>
        <v>101</v>
      </c>
      <c r="X18">
        <f t="shared" si="7"/>
        <v>84.17</v>
      </c>
      <c r="Y18">
        <f t="shared" si="8"/>
        <v>25.25</v>
      </c>
      <c r="Z18">
        <f t="shared" si="13"/>
        <v>85.79</v>
      </c>
      <c r="AA18">
        <f t="shared" si="14"/>
        <v>87</v>
      </c>
      <c r="AB18" t="str">
        <f t="shared" si="9"/>
        <v>Benchmarking</v>
      </c>
      <c r="AD18" t="s">
        <v>139</v>
      </c>
      <c r="AE18">
        <f>COUNTIF(AV12:AV112,"&gt;=75")</f>
        <v>67</v>
      </c>
      <c r="AF18">
        <f>COUNTIF(AW12:AW112,"&gt;=75")</f>
        <v>65</v>
      </c>
      <c r="AG18">
        <f>COUNTIF(AX12:AX112,"&gt;=75")</f>
        <v>60</v>
      </c>
      <c r="AV18">
        <f t="shared" si="10"/>
        <v>80</v>
      </c>
      <c r="AW18">
        <f t="shared" si="11"/>
        <v>90</v>
      </c>
      <c r="AX18">
        <f t="shared" si="12"/>
        <v>82.5</v>
      </c>
    </row>
    <row r="19" spans="1:50" ht="15.6" x14ac:dyDescent="0.3">
      <c r="A19">
        <v>8</v>
      </c>
      <c r="B19" t="str">
        <f>INPUT!B19</f>
        <v>Dela Cruz, Daniel</v>
      </c>
      <c r="F19">
        <v>19</v>
      </c>
      <c r="G19">
        <v>17</v>
      </c>
      <c r="H19">
        <v>18</v>
      </c>
      <c r="I19">
        <v>18</v>
      </c>
      <c r="J19">
        <v>17</v>
      </c>
      <c r="K19">
        <f t="shared" si="0"/>
        <v>89</v>
      </c>
      <c r="L19">
        <f t="shared" si="1"/>
        <v>89</v>
      </c>
      <c r="M19">
        <f t="shared" si="2"/>
        <v>17.8</v>
      </c>
      <c r="N19">
        <v>48</v>
      </c>
      <c r="O19">
        <v>43</v>
      </c>
      <c r="P19">
        <v>46</v>
      </c>
      <c r="Q19">
        <f t="shared" si="3"/>
        <v>137</v>
      </c>
      <c r="R19">
        <f t="shared" si="4"/>
        <v>91.33</v>
      </c>
      <c r="S19">
        <f t="shared" si="5"/>
        <v>45.67</v>
      </c>
      <c r="T19">
        <v>36</v>
      </c>
      <c r="U19">
        <v>32</v>
      </c>
      <c r="V19">
        <v>32</v>
      </c>
      <c r="W19">
        <f t="shared" si="6"/>
        <v>100</v>
      </c>
      <c r="X19">
        <f t="shared" si="7"/>
        <v>83.33</v>
      </c>
      <c r="Y19">
        <f t="shared" si="8"/>
        <v>25</v>
      </c>
      <c r="Z19">
        <f t="shared" si="13"/>
        <v>88.47</v>
      </c>
      <c r="AA19">
        <f t="shared" si="14"/>
        <v>90</v>
      </c>
      <c r="AB19" t="str">
        <f t="shared" si="9"/>
        <v>Advancing</v>
      </c>
      <c r="AD19" t="s">
        <v>140</v>
      </c>
      <c r="AE19">
        <f>IFERROR(AE18/AE14,"")</f>
        <v>0.67</v>
      </c>
      <c r="AF19">
        <f>IFERROR(AF18/AF14,"")</f>
        <v>0.65</v>
      </c>
      <c r="AG19">
        <f>IFERROR(AG18/AG14,"")</f>
        <v>0.6</v>
      </c>
      <c r="AV19">
        <f t="shared" si="10"/>
        <v>90</v>
      </c>
      <c r="AW19">
        <f t="shared" si="11"/>
        <v>80</v>
      </c>
      <c r="AX19">
        <f t="shared" si="12"/>
        <v>80</v>
      </c>
    </row>
    <row r="20" spans="1:50" ht="15.6" x14ac:dyDescent="0.3">
      <c r="A20">
        <v>9</v>
      </c>
      <c r="B20" t="str">
        <f>INPUT!B20</f>
        <v>Diaz, Darren</v>
      </c>
      <c r="F20">
        <v>17</v>
      </c>
      <c r="G20">
        <v>16</v>
      </c>
      <c r="H20">
        <v>17</v>
      </c>
      <c r="I20">
        <v>19</v>
      </c>
      <c r="J20">
        <v>17</v>
      </c>
      <c r="K20">
        <f t="shared" si="0"/>
        <v>86</v>
      </c>
      <c r="L20">
        <f t="shared" si="1"/>
        <v>86</v>
      </c>
      <c r="M20">
        <f t="shared" si="2"/>
        <v>17.2</v>
      </c>
      <c r="N20">
        <v>43</v>
      </c>
      <c r="O20">
        <v>46</v>
      </c>
      <c r="P20">
        <v>48</v>
      </c>
      <c r="Q20">
        <f t="shared" si="3"/>
        <v>137</v>
      </c>
      <c r="R20">
        <f t="shared" si="4"/>
        <v>91.33</v>
      </c>
      <c r="S20">
        <f t="shared" si="5"/>
        <v>45.67</v>
      </c>
      <c r="T20">
        <v>33</v>
      </c>
      <c r="U20">
        <v>35</v>
      </c>
      <c r="V20">
        <v>35</v>
      </c>
      <c r="W20">
        <f t="shared" si="6"/>
        <v>103</v>
      </c>
      <c r="X20">
        <f t="shared" si="7"/>
        <v>85.83</v>
      </c>
      <c r="Y20">
        <f t="shared" si="8"/>
        <v>25.75</v>
      </c>
      <c r="Z20">
        <f t="shared" si="13"/>
        <v>88.62</v>
      </c>
      <c r="AA20">
        <f t="shared" si="14"/>
        <v>90</v>
      </c>
      <c r="AB20" t="str">
        <f t="shared" si="9"/>
        <v>Advancing</v>
      </c>
      <c r="AD20" t="s">
        <v>141</v>
      </c>
      <c r="AE20">
        <f>AE14-AE18</f>
        <v>33</v>
      </c>
      <c r="AF20">
        <f>AF14-AF18</f>
        <v>35</v>
      </c>
      <c r="AG20">
        <f>AG14-AG18</f>
        <v>40</v>
      </c>
      <c r="AV20">
        <f t="shared" si="10"/>
        <v>82.5</v>
      </c>
      <c r="AW20">
        <f t="shared" si="11"/>
        <v>87.5</v>
      </c>
      <c r="AX20">
        <f t="shared" si="12"/>
        <v>87.5</v>
      </c>
    </row>
    <row r="21" spans="1:50" ht="15.6" x14ac:dyDescent="0.3">
      <c r="A21">
        <v>10</v>
      </c>
      <c r="B21" t="str">
        <f>INPUT!B21</f>
        <v>Evangelista, Diego</v>
      </c>
      <c r="F21">
        <v>16</v>
      </c>
      <c r="G21">
        <v>15</v>
      </c>
      <c r="H21">
        <v>16</v>
      </c>
      <c r="I21">
        <v>16</v>
      </c>
      <c r="J21">
        <v>15</v>
      </c>
      <c r="K21">
        <f t="shared" si="0"/>
        <v>78</v>
      </c>
      <c r="L21">
        <f t="shared" si="1"/>
        <v>78</v>
      </c>
      <c r="M21">
        <f t="shared" si="2"/>
        <v>15.6</v>
      </c>
      <c r="N21">
        <v>39</v>
      </c>
      <c r="O21">
        <v>41</v>
      </c>
      <c r="P21">
        <v>38</v>
      </c>
      <c r="Q21">
        <f t="shared" si="3"/>
        <v>118</v>
      </c>
      <c r="R21">
        <f t="shared" si="4"/>
        <v>78.67</v>
      </c>
      <c r="S21">
        <f t="shared" si="5"/>
        <v>39.340000000000003</v>
      </c>
      <c r="T21">
        <v>29</v>
      </c>
      <c r="U21">
        <v>28</v>
      </c>
      <c r="V21">
        <v>31</v>
      </c>
      <c r="W21">
        <f t="shared" si="6"/>
        <v>88</v>
      </c>
      <c r="X21">
        <f t="shared" si="7"/>
        <v>73.33</v>
      </c>
      <c r="Y21">
        <f t="shared" si="8"/>
        <v>22</v>
      </c>
      <c r="Z21">
        <f t="shared" si="13"/>
        <v>76.94</v>
      </c>
      <c r="AA21">
        <f t="shared" si="14"/>
        <v>78</v>
      </c>
      <c r="AB21" t="str">
        <f t="shared" si="9"/>
        <v>Connecting</v>
      </c>
      <c r="AD21" t="s">
        <v>140</v>
      </c>
      <c r="AE21">
        <f>IFERROR(1-AE19,"")</f>
        <v>0.32999999999999996</v>
      </c>
      <c r="AF21">
        <f>IFERROR(1-AF19,"")</f>
        <v>0.35</v>
      </c>
      <c r="AG21">
        <f>IFERROR(1-AG19,"")</f>
        <v>0.4</v>
      </c>
      <c r="AV21">
        <f t="shared" si="10"/>
        <v>72.5</v>
      </c>
      <c r="AW21">
        <f t="shared" si="11"/>
        <v>70</v>
      </c>
      <c r="AX21">
        <f t="shared" si="12"/>
        <v>77.5</v>
      </c>
    </row>
    <row r="22" spans="1:50" ht="15.6" x14ac:dyDescent="0.3">
      <c r="A22">
        <v>11</v>
      </c>
      <c r="B22" t="str">
        <f>INPUT!B22</f>
        <v>Fernandez, Ethan</v>
      </c>
      <c r="F22">
        <v>14</v>
      </c>
      <c r="G22">
        <v>14</v>
      </c>
      <c r="H22">
        <v>14</v>
      </c>
      <c r="I22">
        <v>14</v>
      </c>
      <c r="J22">
        <v>14</v>
      </c>
      <c r="K22">
        <f t="shared" si="0"/>
        <v>70</v>
      </c>
      <c r="L22">
        <f t="shared" si="1"/>
        <v>70</v>
      </c>
      <c r="M22">
        <f t="shared" si="2"/>
        <v>14</v>
      </c>
      <c r="N22">
        <v>38</v>
      </c>
      <c r="O22">
        <v>35</v>
      </c>
      <c r="P22">
        <v>35</v>
      </c>
      <c r="Q22">
        <f t="shared" si="3"/>
        <v>108</v>
      </c>
      <c r="R22">
        <f t="shared" si="4"/>
        <v>72</v>
      </c>
      <c r="S22">
        <f t="shared" si="5"/>
        <v>36</v>
      </c>
      <c r="T22">
        <v>23</v>
      </c>
      <c r="U22">
        <v>28</v>
      </c>
      <c r="V22">
        <v>24</v>
      </c>
      <c r="W22">
        <f t="shared" si="6"/>
        <v>75</v>
      </c>
      <c r="X22">
        <f t="shared" si="7"/>
        <v>62.5</v>
      </c>
      <c r="Y22">
        <f t="shared" si="8"/>
        <v>18.75</v>
      </c>
      <c r="Z22">
        <f t="shared" si="13"/>
        <v>68.75</v>
      </c>
      <c r="AA22">
        <f t="shared" si="14"/>
        <v>74</v>
      </c>
      <c r="AB22" t="str">
        <f t="shared" si="9"/>
        <v xml:space="preserve">Developing </v>
      </c>
      <c r="AV22">
        <f t="shared" si="10"/>
        <v>57.499999999999993</v>
      </c>
      <c r="AW22">
        <f t="shared" si="11"/>
        <v>70</v>
      </c>
      <c r="AX22">
        <f t="shared" si="12"/>
        <v>60</v>
      </c>
    </row>
    <row r="23" spans="1:50" ht="15.6" x14ac:dyDescent="0.3">
      <c r="A23">
        <v>12</v>
      </c>
      <c r="B23" t="str">
        <f>INPUT!B23</f>
        <v>Garcia, Gabriel</v>
      </c>
      <c r="F23">
        <v>15</v>
      </c>
      <c r="G23">
        <v>14</v>
      </c>
      <c r="H23">
        <v>15</v>
      </c>
      <c r="I23">
        <v>14</v>
      </c>
      <c r="J23">
        <v>15</v>
      </c>
      <c r="K23">
        <f t="shared" si="0"/>
        <v>73</v>
      </c>
      <c r="L23">
        <f t="shared" si="1"/>
        <v>73</v>
      </c>
      <c r="M23">
        <f t="shared" si="2"/>
        <v>14.6</v>
      </c>
      <c r="N23">
        <v>39</v>
      </c>
      <c r="O23">
        <v>36</v>
      </c>
      <c r="P23">
        <v>37</v>
      </c>
      <c r="Q23">
        <f t="shared" si="3"/>
        <v>112</v>
      </c>
      <c r="R23">
        <f t="shared" si="4"/>
        <v>74.67</v>
      </c>
      <c r="S23">
        <f t="shared" si="5"/>
        <v>37.340000000000003</v>
      </c>
      <c r="T23">
        <v>27</v>
      </c>
      <c r="U23">
        <v>29</v>
      </c>
      <c r="V23">
        <v>25</v>
      </c>
      <c r="W23">
        <f t="shared" si="6"/>
        <v>81</v>
      </c>
      <c r="X23">
        <f t="shared" si="7"/>
        <v>67.5</v>
      </c>
      <c r="Y23">
        <f t="shared" si="8"/>
        <v>20.25</v>
      </c>
      <c r="Z23">
        <f t="shared" si="13"/>
        <v>72.19</v>
      </c>
      <c r="AA23">
        <f t="shared" si="14"/>
        <v>75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67.5</v>
      </c>
      <c r="AW23">
        <f t="shared" si="11"/>
        <v>72.5</v>
      </c>
      <c r="AX23">
        <f t="shared" si="12"/>
        <v>62.5</v>
      </c>
    </row>
    <row r="24" spans="1:50" ht="15.6" x14ac:dyDescent="0.3">
      <c r="A24">
        <v>13</v>
      </c>
      <c r="B24" t="str">
        <f>INPUT!B24</f>
        <v>Gonzales, Harold</v>
      </c>
      <c r="F24">
        <v>19</v>
      </c>
      <c r="G24">
        <v>17</v>
      </c>
      <c r="H24">
        <v>18</v>
      </c>
      <c r="I24">
        <v>17</v>
      </c>
      <c r="J24">
        <v>17</v>
      </c>
      <c r="K24">
        <f t="shared" si="0"/>
        <v>88</v>
      </c>
      <c r="L24">
        <f t="shared" si="1"/>
        <v>88</v>
      </c>
      <c r="M24">
        <f t="shared" si="2"/>
        <v>17.600000000000001</v>
      </c>
      <c r="N24">
        <v>50</v>
      </c>
      <c r="O24">
        <v>48</v>
      </c>
      <c r="P24">
        <v>46</v>
      </c>
      <c r="Q24">
        <f t="shared" si="3"/>
        <v>144</v>
      </c>
      <c r="R24">
        <f t="shared" si="4"/>
        <v>96</v>
      </c>
      <c r="S24">
        <f t="shared" si="5"/>
        <v>48</v>
      </c>
      <c r="T24">
        <v>34</v>
      </c>
      <c r="U24">
        <v>34</v>
      </c>
      <c r="V24">
        <v>33</v>
      </c>
      <c r="W24">
        <f t="shared" si="6"/>
        <v>101</v>
      </c>
      <c r="X24">
        <f t="shared" si="7"/>
        <v>84.17</v>
      </c>
      <c r="Y24">
        <f t="shared" si="8"/>
        <v>25.25</v>
      </c>
      <c r="Z24">
        <f t="shared" si="13"/>
        <v>90.85</v>
      </c>
      <c r="AA24">
        <f t="shared" si="14"/>
        <v>92</v>
      </c>
      <c r="AB24" t="str">
        <f t="shared" si="9"/>
        <v>Advancing</v>
      </c>
      <c r="AD24" t="s">
        <v>143</v>
      </c>
      <c r="AE24">
        <f>IFERROR(AVERAGE(T12:T112),"")</f>
        <v>30.59</v>
      </c>
      <c r="AF24">
        <f>IFERROR(AVERAGE(U12:U112),"")</f>
        <v>30.61</v>
      </c>
      <c r="AG24">
        <f>IFERROR(AVERAGE(V12:V112),"")</f>
        <v>30.09</v>
      </c>
      <c r="AV24">
        <f t="shared" si="10"/>
        <v>85</v>
      </c>
      <c r="AW24">
        <f t="shared" si="11"/>
        <v>85</v>
      </c>
      <c r="AX24">
        <f t="shared" si="12"/>
        <v>82.5</v>
      </c>
    </row>
    <row r="25" spans="1:50" ht="15.6" x14ac:dyDescent="0.3">
      <c r="A25">
        <v>14</v>
      </c>
      <c r="B25" t="str">
        <f>INPUT!B25</f>
        <v>Hernandez, Ivan</v>
      </c>
      <c r="F25">
        <v>16</v>
      </c>
      <c r="G25">
        <v>16</v>
      </c>
      <c r="H25">
        <v>18</v>
      </c>
      <c r="I25">
        <v>18</v>
      </c>
      <c r="J25">
        <v>18</v>
      </c>
      <c r="K25">
        <f t="shared" si="0"/>
        <v>86</v>
      </c>
      <c r="L25">
        <f t="shared" si="1"/>
        <v>86</v>
      </c>
      <c r="M25">
        <f t="shared" si="2"/>
        <v>17.2</v>
      </c>
      <c r="N25">
        <v>45</v>
      </c>
      <c r="O25">
        <v>44</v>
      </c>
      <c r="P25">
        <v>48</v>
      </c>
      <c r="Q25">
        <f t="shared" si="3"/>
        <v>137</v>
      </c>
      <c r="R25">
        <f t="shared" si="4"/>
        <v>91.33</v>
      </c>
      <c r="S25">
        <f t="shared" si="5"/>
        <v>45.67</v>
      </c>
      <c r="T25">
        <v>32</v>
      </c>
      <c r="U25">
        <v>34</v>
      </c>
      <c r="V25">
        <v>33</v>
      </c>
      <c r="W25">
        <f t="shared" si="6"/>
        <v>99</v>
      </c>
      <c r="X25">
        <f t="shared" si="7"/>
        <v>82.5</v>
      </c>
      <c r="Y25">
        <f t="shared" si="8"/>
        <v>24.75</v>
      </c>
      <c r="Z25">
        <f t="shared" si="13"/>
        <v>87.62</v>
      </c>
      <c r="AA25">
        <f t="shared" si="14"/>
        <v>89</v>
      </c>
      <c r="AB25" t="str">
        <f t="shared" si="9"/>
        <v>Benchmarking</v>
      </c>
      <c r="AD25" t="s">
        <v>144</v>
      </c>
      <c r="AE25">
        <f>IFERROR(MEDIAN(T12:T112),"")</f>
        <v>32</v>
      </c>
      <c r="AF25">
        <f>IFERROR(MEDIAN(U12:U112),"")</f>
        <v>31</v>
      </c>
      <c r="AG25">
        <f>IFERROR(MEDIAN(V12:V112),"")</f>
        <v>32</v>
      </c>
      <c r="AV25">
        <f t="shared" si="10"/>
        <v>80</v>
      </c>
      <c r="AW25">
        <f t="shared" si="11"/>
        <v>85</v>
      </c>
      <c r="AX25">
        <f t="shared" si="12"/>
        <v>82.5</v>
      </c>
    </row>
    <row r="26" spans="1:50" ht="15.6" x14ac:dyDescent="0.3">
      <c r="A26">
        <v>15</v>
      </c>
      <c r="B26" t="str">
        <f>INPUT!B26</f>
        <v>Ilagan, Jacob</v>
      </c>
      <c r="F26">
        <v>9</v>
      </c>
      <c r="G26">
        <v>10</v>
      </c>
      <c r="H26">
        <v>9</v>
      </c>
      <c r="I26">
        <v>8</v>
      </c>
      <c r="J26">
        <v>8</v>
      </c>
      <c r="K26">
        <f t="shared" si="0"/>
        <v>44</v>
      </c>
      <c r="L26">
        <f t="shared" si="1"/>
        <v>44</v>
      </c>
      <c r="M26">
        <f t="shared" si="2"/>
        <v>8.8000000000000007</v>
      </c>
      <c r="N26">
        <v>27</v>
      </c>
      <c r="O26">
        <v>26</v>
      </c>
      <c r="P26">
        <v>23</v>
      </c>
      <c r="Q26">
        <f t="shared" si="3"/>
        <v>76</v>
      </c>
      <c r="R26">
        <f t="shared" si="4"/>
        <v>50.67</v>
      </c>
      <c r="S26">
        <f t="shared" si="5"/>
        <v>25.34</v>
      </c>
      <c r="T26">
        <v>16</v>
      </c>
      <c r="U26">
        <v>14</v>
      </c>
      <c r="V26">
        <v>19</v>
      </c>
      <c r="W26">
        <f t="shared" si="6"/>
        <v>49</v>
      </c>
      <c r="X26">
        <f t="shared" si="7"/>
        <v>40.83</v>
      </c>
      <c r="Y26">
        <f t="shared" si="8"/>
        <v>12.25</v>
      </c>
      <c r="Z26">
        <f t="shared" si="13"/>
        <v>46.39</v>
      </c>
      <c r="AA26">
        <f t="shared" si="14"/>
        <v>63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40</v>
      </c>
      <c r="AW26">
        <f t="shared" si="11"/>
        <v>35</v>
      </c>
      <c r="AX26">
        <f t="shared" si="12"/>
        <v>47.5</v>
      </c>
    </row>
    <row r="27" spans="1:50" ht="15.6" x14ac:dyDescent="0.3">
      <c r="A27">
        <v>16</v>
      </c>
      <c r="B27" t="str">
        <f>INPUT!B27</f>
        <v>Jimenez, James</v>
      </c>
      <c r="F27">
        <v>16</v>
      </c>
      <c r="G27">
        <v>16</v>
      </c>
      <c r="H27">
        <v>17</v>
      </c>
      <c r="I27">
        <v>17</v>
      </c>
      <c r="J27">
        <v>17</v>
      </c>
      <c r="K27">
        <f t="shared" si="0"/>
        <v>83</v>
      </c>
      <c r="L27">
        <f t="shared" si="1"/>
        <v>83</v>
      </c>
      <c r="M27">
        <f t="shared" si="2"/>
        <v>16.600000000000001</v>
      </c>
      <c r="N27">
        <v>42</v>
      </c>
      <c r="O27">
        <v>42</v>
      </c>
      <c r="P27">
        <v>41</v>
      </c>
      <c r="Q27">
        <f t="shared" si="3"/>
        <v>125</v>
      </c>
      <c r="R27">
        <f t="shared" si="4"/>
        <v>83.33</v>
      </c>
      <c r="S27">
        <f t="shared" si="5"/>
        <v>41.67</v>
      </c>
      <c r="T27">
        <v>32</v>
      </c>
      <c r="U27">
        <v>30</v>
      </c>
      <c r="V27">
        <v>33</v>
      </c>
      <c r="W27">
        <f t="shared" si="6"/>
        <v>95</v>
      </c>
      <c r="X27">
        <f t="shared" si="7"/>
        <v>79.17</v>
      </c>
      <c r="Y27">
        <f t="shared" si="8"/>
        <v>23.75</v>
      </c>
      <c r="Z27">
        <f t="shared" si="13"/>
        <v>82.02</v>
      </c>
      <c r="AA27">
        <f t="shared" si="14"/>
        <v>84</v>
      </c>
      <c r="AB27" t="str">
        <f t="shared" si="9"/>
        <v>Benchmarking</v>
      </c>
      <c r="AD27" t="s">
        <v>146</v>
      </c>
      <c r="AE27">
        <f>IFERROR(AE24/AE15,"")</f>
        <v>0.76475000000000004</v>
      </c>
      <c r="AF27">
        <f>IFERROR(AF24/AF15,"")</f>
        <v>0.76524999999999999</v>
      </c>
      <c r="AG27">
        <f>IFERROR(AG24/AG15,"")</f>
        <v>0.75224999999999997</v>
      </c>
      <c r="AV27">
        <f t="shared" si="10"/>
        <v>80</v>
      </c>
      <c r="AW27">
        <f t="shared" si="11"/>
        <v>75</v>
      </c>
      <c r="AX27">
        <f t="shared" si="12"/>
        <v>82.5</v>
      </c>
    </row>
    <row r="28" spans="1:50" ht="15.6" x14ac:dyDescent="0.3">
      <c r="A28">
        <v>17</v>
      </c>
      <c r="B28" t="str">
        <f>INPUT!B28</f>
        <v>Lacson, Jared</v>
      </c>
      <c r="F28">
        <v>18</v>
      </c>
      <c r="G28">
        <v>17</v>
      </c>
      <c r="H28">
        <v>19</v>
      </c>
      <c r="I28">
        <v>17</v>
      </c>
      <c r="J28">
        <v>19</v>
      </c>
      <c r="K28">
        <f t="shared" si="0"/>
        <v>90</v>
      </c>
      <c r="L28">
        <f t="shared" si="1"/>
        <v>90</v>
      </c>
      <c r="M28">
        <f t="shared" si="2"/>
        <v>18</v>
      </c>
      <c r="N28">
        <v>48</v>
      </c>
      <c r="O28">
        <v>45</v>
      </c>
      <c r="P28">
        <v>49</v>
      </c>
      <c r="Q28">
        <f t="shared" si="3"/>
        <v>142</v>
      </c>
      <c r="R28">
        <f t="shared" si="4"/>
        <v>94.67</v>
      </c>
      <c r="S28">
        <f t="shared" si="5"/>
        <v>47.34</v>
      </c>
      <c r="T28">
        <v>32</v>
      </c>
      <c r="U28">
        <v>33</v>
      </c>
      <c r="V28">
        <v>32</v>
      </c>
      <c r="W28">
        <f t="shared" si="6"/>
        <v>97</v>
      </c>
      <c r="X28">
        <f t="shared" si="7"/>
        <v>80.83</v>
      </c>
      <c r="Y28">
        <f t="shared" si="8"/>
        <v>24.25</v>
      </c>
      <c r="Z28">
        <f t="shared" si="13"/>
        <v>89.59</v>
      </c>
      <c r="AA28">
        <f t="shared" si="14"/>
        <v>91</v>
      </c>
      <c r="AB28" t="str">
        <f t="shared" si="9"/>
        <v>Advancing</v>
      </c>
      <c r="AV28">
        <f t="shared" si="10"/>
        <v>80</v>
      </c>
      <c r="AW28">
        <f t="shared" si="11"/>
        <v>82.5</v>
      </c>
      <c r="AX28">
        <f t="shared" si="12"/>
        <v>80</v>
      </c>
    </row>
    <row r="29" spans="1:50" ht="15.6" x14ac:dyDescent="0.3">
      <c r="A29">
        <v>18</v>
      </c>
      <c r="B29" t="str">
        <f>INPUT!B29</f>
        <v>Lim, Jericho</v>
      </c>
      <c r="F29">
        <v>17</v>
      </c>
      <c r="G29">
        <v>16</v>
      </c>
      <c r="H29">
        <v>17</v>
      </c>
      <c r="I29">
        <v>16</v>
      </c>
      <c r="J29">
        <v>16</v>
      </c>
      <c r="K29">
        <f t="shared" si="0"/>
        <v>82</v>
      </c>
      <c r="L29">
        <f t="shared" si="1"/>
        <v>82</v>
      </c>
      <c r="M29">
        <f t="shared" si="2"/>
        <v>16.399999999999999</v>
      </c>
      <c r="N29">
        <v>48</v>
      </c>
      <c r="O29">
        <v>44</v>
      </c>
      <c r="P29">
        <v>47</v>
      </c>
      <c r="Q29">
        <f t="shared" si="3"/>
        <v>139</v>
      </c>
      <c r="R29">
        <f t="shared" si="4"/>
        <v>92.67</v>
      </c>
      <c r="S29">
        <f t="shared" si="5"/>
        <v>46.34</v>
      </c>
      <c r="T29">
        <v>34</v>
      </c>
      <c r="U29">
        <v>33</v>
      </c>
      <c r="V29">
        <v>36</v>
      </c>
      <c r="W29">
        <f t="shared" si="6"/>
        <v>103</v>
      </c>
      <c r="X29">
        <f t="shared" si="7"/>
        <v>85.83</v>
      </c>
      <c r="Y29">
        <f t="shared" si="8"/>
        <v>25.75</v>
      </c>
      <c r="Z29">
        <f t="shared" si="13"/>
        <v>88.49</v>
      </c>
      <c r="AA29">
        <f t="shared" si="14"/>
        <v>90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85</v>
      </c>
      <c r="AW29">
        <f t="shared" si="11"/>
        <v>82.5</v>
      </c>
      <c r="AX29">
        <f t="shared" si="12"/>
        <v>90</v>
      </c>
    </row>
    <row r="30" spans="1:50" ht="15.6" x14ac:dyDescent="0.3">
      <c r="A30">
        <v>19</v>
      </c>
      <c r="B30" t="str">
        <f>INPUT!B30</f>
        <v>Manalo, Joaquin</v>
      </c>
      <c r="F30">
        <v>17</v>
      </c>
      <c r="G30">
        <v>17</v>
      </c>
      <c r="H30">
        <v>18</v>
      </c>
      <c r="I30">
        <v>18</v>
      </c>
      <c r="J30">
        <v>17</v>
      </c>
      <c r="K30">
        <f t="shared" si="0"/>
        <v>87</v>
      </c>
      <c r="L30">
        <f t="shared" si="1"/>
        <v>87</v>
      </c>
      <c r="M30">
        <f t="shared" si="2"/>
        <v>17.399999999999999</v>
      </c>
      <c r="N30">
        <v>43</v>
      </c>
      <c r="O30">
        <v>42</v>
      </c>
      <c r="P30">
        <v>47</v>
      </c>
      <c r="Q30">
        <f t="shared" si="3"/>
        <v>132</v>
      </c>
      <c r="R30">
        <f t="shared" si="4"/>
        <v>88</v>
      </c>
      <c r="S30">
        <f t="shared" si="5"/>
        <v>44</v>
      </c>
      <c r="T30">
        <v>31</v>
      </c>
      <c r="U30">
        <v>32</v>
      </c>
      <c r="V30">
        <v>33</v>
      </c>
      <c r="W30">
        <f t="shared" si="6"/>
        <v>96</v>
      </c>
      <c r="X30">
        <f t="shared" si="7"/>
        <v>80</v>
      </c>
      <c r="Y30">
        <f t="shared" si="8"/>
        <v>24</v>
      </c>
      <c r="Z30">
        <f t="shared" si="13"/>
        <v>85.4</v>
      </c>
      <c r="AA30">
        <f t="shared" si="14"/>
        <v>87</v>
      </c>
      <c r="AB30" t="str">
        <f t="shared" si="9"/>
        <v>Benchmarking</v>
      </c>
      <c r="AD30" t="s">
        <v>148</v>
      </c>
      <c r="AE30">
        <f>IF(COUNTA(T12:T112)=0,"",MAX(T12:T112))</f>
        <v>37</v>
      </c>
      <c r="AF30">
        <f>IF(COUNTA(U12:U112)=0,"",MAX(U12:U112))</f>
        <v>40</v>
      </c>
      <c r="AG30">
        <f>IF(COUNTA(V12:V112)=0,"",MAX(V12:V112))</f>
        <v>39</v>
      </c>
      <c r="AV30">
        <f t="shared" si="10"/>
        <v>77.5</v>
      </c>
      <c r="AW30">
        <f t="shared" si="11"/>
        <v>80</v>
      </c>
      <c r="AX30">
        <f t="shared" si="12"/>
        <v>82.5</v>
      </c>
    </row>
    <row r="31" spans="1:50" ht="15.6" x14ac:dyDescent="0.3">
      <c r="A31">
        <v>20</v>
      </c>
      <c r="B31" t="str">
        <f>INPUT!B31</f>
        <v>Mendoza, Joshua</v>
      </c>
      <c r="F31">
        <v>16</v>
      </c>
      <c r="G31">
        <v>17</v>
      </c>
      <c r="H31">
        <v>16</v>
      </c>
      <c r="I31">
        <v>17</v>
      </c>
      <c r="J31">
        <v>16</v>
      </c>
      <c r="K31">
        <f t="shared" si="0"/>
        <v>82</v>
      </c>
      <c r="L31">
        <f t="shared" si="1"/>
        <v>82</v>
      </c>
      <c r="M31">
        <f t="shared" si="2"/>
        <v>16.399999999999999</v>
      </c>
      <c r="N31">
        <v>40</v>
      </c>
      <c r="O31">
        <v>38</v>
      </c>
      <c r="P31">
        <v>39</v>
      </c>
      <c r="Q31">
        <f t="shared" si="3"/>
        <v>117</v>
      </c>
      <c r="R31">
        <f t="shared" si="4"/>
        <v>78</v>
      </c>
      <c r="S31">
        <f t="shared" si="5"/>
        <v>39</v>
      </c>
      <c r="T31">
        <v>29</v>
      </c>
      <c r="U31">
        <v>29</v>
      </c>
      <c r="V31">
        <v>32</v>
      </c>
      <c r="W31">
        <f t="shared" si="6"/>
        <v>90</v>
      </c>
      <c r="X31">
        <f t="shared" si="7"/>
        <v>75</v>
      </c>
      <c r="Y31">
        <f t="shared" si="8"/>
        <v>22.5</v>
      </c>
      <c r="Z31">
        <f t="shared" si="13"/>
        <v>77.900000000000006</v>
      </c>
      <c r="AA31">
        <f t="shared" si="14"/>
        <v>79</v>
      </c>
      <c r="AB31" t="str">
        <f t="shared" si="9"/>
        <v>Connecting</v>
      </c>
      <c r="AD31" t="s">
        <v>149</v>
      </c>
      <c r="AE31">
        <f>IF(COUNTA(T12:T112)=0,"",MIN(T12:T112))</f>
        <v>14</v>
      </c>
      <c r="AF31">
        <f>IF(COUNTA(U12:U112)=0,"",MIN(U12:U112))</f>
        <v>14</v>
      </c>
      <c r="AG31">
        <f>IF(COUNTA(V12:V112)=0,"",MIN(V12:V112))</f>
        <v>13</v>
      </c>
      <c r="AV31">
        <f t="shared" si="10"/>
        <v>72.5</v>
      </c>
      <c r="AW31">
        <f t="shared" si="11"/>
        <v>72.5</v>
      </c>
      <c r="AX31">
        <f t="shared" si="12"/>
        <v>80</v>
      </c>
    </row>
    <row r="32" spans="1:50" ht="15.6" x14ac:dyDescent="0.3">
      <c r="A32">
        <v>21</v>
      </c>
      <c r="B32" t="str">
        <f>INPUT!B32</f>
        <v>Navarro, Lance</v>
      </c>
      <c r="F32">
        <v>18</v>
      </c>
      <c r="G32">
        <v>20</v>
      </c>
      <c r="H32">
        <v>18</v>
      </c>
      <c r="I32">
        <v>19</v>
      </c>
      <c r="J32">
        <v>20</v>
      </c>
      <c r="K32">
        <f t="shared" si="0"/>
        <v>95</v>
      </c>
      <c r="L32">
        <f t="shared" si="1"/>
        <v>95</v>
      </c>
      <c r="M32">
        <f t="shared" si="2"/>
        <v>19</v>
      </c>
      <c r="N32">
        <v>50</v>
      </c>
      <c r="O32">
        <v>50</v>
      </c>
      <c r="P32">
        <v>48</v>
      </c>
      <c r="Q32">
        <f t="shared" si="3"/>
        <v>148</v>
      </c>
      <c r="R32">
        <f t="shared" si="4"/>
        <v>98.67</v>
      </c>
      <c r="S32">
        <f t="shared" si="5"/>
        <v>49.34</v>
      </c>
      <c r="T32">
        <v>35</v>
      </c>
      <c r="U32">
        <v>39</v>
      </c>
      <c r="V32">
        <v>34</v>
      </c>
      <c r="W32">
        <f t="shared" si="6"/>
        <v>108</v>
      </c>
      <c r="X32">
        <f t="shared" si="7"/>
        <v>90</v>
      </c>
      <c r="Y32">
        <f t="shared" si="8"/>
        <v>27</v>
      </c>
      <c r="Z32">
        <f t="shared" si="13"/>
        <v>95.34</v>
      </c>
      <c r="AA32">
        <f t="shared" si="14"/>
        <v>97</v>
      </c>
      <c r="AB32" t="str">
        <f t="shared" si="9"/>
        <v>Advancing</v>
      </c>
      <c r="AD32" t="s">
        <v>150</v>
      </c>
      <c r="AE32">
        <f>IF(COUNTA(T12:T112)=0,"",SUM(T12:T112))</f>
        <v>3059</v>
      </c>
      <c r="AF32">
        <f>IF(COUNTA(U12:U112)=0,"",SUM(U12:U112))</f>
        <v>3061</v>
      </c>
      <c r="AG32">
        <f>IF(COUNTA(V12:V112)=0,"",SUM(V12:V112))</f>
        <v>3009</v>
      </c>
      <c r="AV32">
        <f t="shared" si="10"/>
        <v>87.5</v>
      </c>
      <c r="AW32">
        <f t="shared" si="11"/>
        <v>97.5</v>
      </c>
      <c r="AX32">
        <f t="shared" si="12"/>
        <v>85</v>
      </c>
    </row>
    <row r="33" spans="1:50" ht="15.6" x14ac:dyDescent="0.3">
      <c r="A33">
        <v>22</v>
      </c>
      <c r="B33" t="str">
        <f>INPUT!B33</f>
        <v>Ocampo, Luis</v>
      </c>
      <c r="F33">
        <v>16</v>
      </c>
      <c r="G33">
        <v>16</v>
      </c>
      <c r="H33">
        <v>15</v>
      </c>
      <c r="I33">
        <v>15</v>
      </c>
      <c r="J33">
        <v>15</v>
      </c>
      <c r="K33">
        <f t="shared" si="0"/>
        <v>77</v>
      </c>
      <c r="L33">
        <f t="shared" si="1"/>
        <v>77</v>
      </c>
      <c r="M33">
        <f t="shared" si="2"/>
        <v>15.4</v>
      </c>
      <c r="N33">
        <v>42</v>
      </c>
      <c r="O33">
        <v>39</v>
      </c>
      <c r="P33">
        <v>38</v>
      </c>
      <c r="Q33">
        <f t="shared" si="3"/>
        <v>119</v>
      </c>
      <c r="R33">
        <f t="shared" si="4"/>
        <v>79.33</v>
      </c>
      <c r="S33">
        <f t="shared" si="5"/>
        <v>39.67</v>
      </c>
      <c r="T33">
        <v>32</v>
      </c>
      <c r="U33">
        <v>30</v>
      </c>
      <c r="V33">
        <v>28</v>
      </c>
      <c r="W33">
        <f t="shared" si="6"/>
        <v>90</v>
      </c>
      <c r="X33">
        <f t="shared" si="7"/>
        <v>75</v>
      </c>
      <c r="Y33">
        <f t="shared" si="8"/>
        <v>22.5</v>
      </c>
      <c r="Z33">
        <f t="shared" si="13"/>
        <v>77.569999999999993</v>
      </c>
      <c r="AA33">
        <f t="shared" si="14"/>
        <v>79</v>
      </c>
      <c r="AB33" t="str">
        <f t="shared" si="9"/>
        <v>Connecting</v>
      </c>
      <c r="AV33">
        <f t="shared" si="10"/>
        <v>80</v>
      </c>
      <c r="AW33">
        <f t="shared" si="11"/>
        <v>75</v>
      </c>
      <c r="AX33">
        <f t="shared" si="12"/>
        <v>70</v>
      </c>
    </row>
    <row r="34" spans="1:50" ht="15.6" x14ac:dyDescent="0.3">
      <c r="A34">
        <v>23</v>
      </c>
      <c r="B34" t="str">
        <f>INPUT!B34</f>
        <v>Ortega, Marco</v>
      </c>
      <c r="F34">
        <v>17</v>
      </c>
      <c r="G34">
        <v>16</v>
      </c>
      <c r="H34">
        <v>17</v>
      </c>
      <c r="I34">
        <v>18</v>
      </c>
      <c r="J34">
        <v>17</v>
      </c>
      <c r="K34">
        <f t="shared" si="0"/>
        <v>85</v>
      </c>
      <c r="L34">
        <f t="shared" si="1"/>
        <v>85</v>
      </c>
      <c r="M34">
        <f t="shared" si="2"/>
        <v>17</v>
      </c>
      <c r="N34">
        <v>48</v>
      </c>
      <c r="O34">
        <v>47</v>
      </c>
      <c r="P34">
        <v>45</v>
      </c>
      <c r="Q34">
        <f t="shared" si="3"/>
        <v>140</v>
      </c>
      <c r="R34">
        <f t="shared" si="4"/>
        <v>93.33</v>
      </c>
      <c r="S34">
        <f t="shared" si="5"/>
        <v>46.67</v>
      </c>
      <c r="T34">
        <v>35</v>
      </c>
      <c r="U34">
        <v>34</v>
      </c>
      <c r="V34">
        <v>34</v>
      </c>
      <c r="W34">
        <f t="shared" si="6"/>
        <v>103</v>
      </c>
      <c r="X34">
        <f t="shared" si="7"/>
        <v>85.83</v>
      </c>
      <c r="Y34">
        <f t="shared" si="8"/>
        <v>25.75</v>
      </c>
      <c r="Z34">
        <f t="shared" si="13"/>
        <v>89.42</v>
      </c>
      <c r="AA34">
        <f t="shared" si="14"/>
        <v>91</v>
      </c>
      <c r="AB34" t="str">
        <f t="shared" si="9"/>
        <v>Advancing</v>
      </c>
      <c r="AV34">
        <f t="shared" si="10"/>
        <v>87.5</v>
      </c>
      <c r="AW34">
        <f t="shared" si="11"/>
        <v>85</v>
      </c>
      <c r="AX34">
        <f t="shared" si="12"/>
        <v>85</v>
      </c>
    </row>
    <row r="35" spans="1:50" ht="15.6" x14ac:dyDescent="0.3">
      <c r="A35">
        <v>24</v>
      </c>
      <c r="B35" t="str">
        <f>INPUT!B35</f>
        <v>Pascual, Martin</v>
      </c>
      <c r="F35">
        <v>14</v>
      </c>
      <c r="G35">
        <v>17</v>
      </c>
      <c r="H35">
        <v>14</v>
      </c>
      <c r="I35">
        <v>15</v>
      </c>
      <c r="J35">
        <v>17</v>
      </c>
      <c r="K35">
        <f t="shared" si="0"/>
        <v>77</v>
      </c>
      <c r="L35">
        <f t="shared" si="1"/>
        <v>77</v>
      </c>
      <c r="M35">
        <f t="shared" si="2"/>
        <v>15.4</v>
      </c>
      <c r="N35">
        <v>37</v>
      </c>
      <c r="O35">
        <v>41</v>
      </c>
      <c r="P35">
        <v>39</v>
      </c>
      <c r="Q35">
        <f t="shared" si="3"/>
        <v>117</v>
      </c>
      <c r="R35">
        <f t="shared" si="4"/>
        <v>78</v>
      </c>
      <c r="S35">
        <f t="shared" si="5"/>
        <v>39</v>
      </c>
      <c r="T35">
        <v>28</v>
      </c>
      <c r="U35">
        <v>29</v>
      </c>
      <c r="V35">
        <v>30</v>
      </c>
      <c r="W35">
        <f t="shared" si="6"/>
        <v>87</v>
      </c>
      <c r="X35">
        <f t="shared" si="7"/>
        <v>72.5</v>
      </c>
      <c r="Y35">
        <f t="shared" si="8"/>
        <v>21.75</v>
      </c>
      <c r="Z35">
        <f t="shared" si="13"/>
        <v>76.150000000000006</v>
      </c>
      <c r="AA35">
        <f t="shared" si="14"/>
        <v>78</v>
      </c>
      <c r="AB35" t="str">
        <f t="shared" si="9"/>
        <v>Connecting</v>
      </c>
      <c r="AV35">
        <f t="shared" si="10"/>
        <v>70</v>
      </c>
      <c r="AW35">
        <f t="shared" si="11"/>
        <v>72.5</v>
      </c>
      <c r="AX35">
        <f t="shared" si="12"/>
        <v>75</v>
      </c>
    </row>
    <row r="36" spans="1:50" ht="15.6" x14ac:dyDescent="0.3">
      <c r="A36">
        <v>25</v>
      </c>
      <c r="B36" t="str">
        <f>INPUT!B36</f>
        <v>Quizon, Matthew</v>
      </c>
      <c r="F36">
        <v>15</v>
      </c>
      <c r="G36">
        <v>14</v>
      </c>
      <c r="H36">
        <v>15</v>
      </c>
      <c r="I36">
        <v>13</v>
      </c>
      <c r="J36">
        <v>15</v>
      </c>
      <c r="K36">
        <f t="shared" si="0"/>
        <v>72</v>
      </c>
      <c r="L36">
        <f t="shared" si="1"/>
        <v>72</v>
      </c>
      <c r="M36">
        <f t="shared" si="2"/>
        <v>14.4</v>
      </c>
      <c r="N36">
        <v>38</v>
      </c>
      <c r="O36">
        <v>38</v>
      </c>
      <c r="P36">
        <v>40</v>
      </c>
      <c r="Q36">
        <f t="shared" si="3"/>
        <v>116</v>
      </c>
      <c r="R36">
        <f t="shared" si="4"/>
        <v>77.33</v>
      </c>
      <c r="S36">
        <f t="shared" si="5"/>
        <v>38.67</v>
      </c>
      <c r="T36">
        <v>26</v>
      </c>
      <c r="U36">
        <v>24</v>
      </c>
      <c r="V36">
        <v>24</v>
      </c>
      <c r="W36">
        <f t="shared" si="6"/>
        <v>74</v>
      </c>
      <c r="X36">
        <f t="shared" si="7"/>
        <v>61.67</v>
      </c>
      <c r="Y36">
        <f t="shared" si="8"/>
        <v>18.5</v>
      </c>
      <c r="Z36">
        <f t="shared" si="13"/>
        <v>71.569999999999993</v>
      </c>
      <c r="AA36">
        <f t="shared" si="14"/>
        <v>75</v>
      </c>
      <c r="AB36" t="str">
        <f t="shared" si="9"/>
        <v>Connecting</v>
      </c>
      <c r="AV36">
        <f t="shared" si="10"/>
        <v>65</v>
      </c>
      <c r="AW36">
        <f t="shared" si="11"/>
        <v>60</v>
      </c>
      <c r="AX36">
        <f t="shared" si="12"/>
        <v>60</v>
      </c>
    </row>
    <row r="37" spans="1:50" ht="15.6" x14ac:dyDescent="0.3">
      <c r="A37">
        <v>26</v>
      </c>
      <c r="B37" t="str">
        <f>INPUT!B37</f>
        <v>Ramos, Miguel</v>
      </c>
      <c r="F37">
        <v>16</v>
      </c>
      <c r="G37">
        <v>16</v>
      </c>
      <c r="H37">
        <v>15</v>
      </c>
      <c r="I37">
        <v>16</v>
      </c>
      <c r="J37">
        <v>16</v>
      </c>
      <c r="K37">
        <f t="shared" si="0"/>
        <v>79</v>
      </c>
      <c r="L37">
        <f t="shared" si="1"/>
        <v>79</v>
      </c>
      <c r="M37">
        <f t="shared" si="2"/>
        <v>15.8</v>
      </c>
      <c r="N37">
        <v>41</v>
      </c>
      <c r="O37">
        <v>40</v>
      </c>
      <c r="P37">
        <v>37</v>
      </c>
      <c r="Q37">
        <f t="shared" si="3"/>
        <v>118</v>
      </c>
      <c r="R37">
        <f t="shared" si="4"/>
        <v>78.67</v>
      </c>
      <c r="S37">
        <f t="shared" si="5"/>
        <v>39.340000000000003</v>
      </c>
      <c r="T37">
        <v>28</v>
      </c>
      <c r="U37">
        <v>26</v>
      </c>
      <c r="V37">
        <v>28</v>
      </c>
      <c r="W37">
        <f t="shared" si="6"/>
        <v>82</v>
      </c>
      <c r="X37">
        <f t="shared" si="7"/>
        <v>68.33</v>
      </c>
      <c r="Y37">
        <f t="shared" si="8"/>
        <v>20.5</v>
      </c>
      <c r="Z37">
        <f t="shared" si="13"/>
        <v>75.64</v>
      </c>
      <c r="AA37">
        <f t="shared" si="14"/>
        <v>77</v>
      </c>
      <c r="AB37" t="str">
        <f t="shared" si="9"/>
        <v>Connecting</v>
      </c>
      <c r="AV37">
        <f t="shared" si="10"/>
        <v>70</v>
      </c>
      <c r="AW37">
        <f t="shared" si="11"/>
        <v>65</v>
      </c>
      <c r="AX37">
        <f t="shared" si="12"/>
        <v>70</v>
      </c>
    </row>
    <row r="38" spans="1:50" ht="15.6" x14ac:dyDescent="0.3">
      <c r="A38">
        <v>27</v>
      </c>
      <c r="B38" t="str">
        <f>INPUT!B38</f>
        <v>Reyes, Nathan</v>
      </c>
      <c r="F38">
        <v>17</v>
      </c>
      <c r="G38">
        <v>19</v>
      </c>
      <c r="H38">
        <v>18</v>
      </c>
      <c r="I38">
        <v>17</v>
      </c>
      <c r="J38">
        <v>16</v>
      </c>
      <c r="K38">
        <f t="shared" si="0"/>
        <v>87</v>
      </c>
      <c r="L38">
        <f t="shared" si="1"/>
        <v>87</v>
      </c>
      <c r="M38">
        <f t="shared" si="2"/>
        <v>17.399999999999999</v>
      </c>
      <c r="N38">
        <v>46</v>
      </c>
      <c r="O38">
        <v>47</v>
      </c>
      <c r="P38">
        <v>47</v>
      </c>
      <c r="Q38">
        <f t="shared" si="3"/>
        <v>140</v>
      </c>
      <c r="R38">
        <f t="shared" si="4"/>
        <v>93.33</v>
      </c>
      <c r="S38">
        <f t="shared" si="5"/>
        <v>46.67</v>
      </c>
      <c r="T38">
        <v>31</v>
      </c>
      <c r="U38">
        <v>36</v>
      </c>
      <c r="V38">
        <v>35</v>
      </c>
      <c r="W38">
        <f t="shared" si="6"/>
        <v>102</v>
      </c>
      <c r="X38">
        <f t="shared" si="7"/>
        <v>85</v>
      </c>
      <c r="Y38">
        <f t="shared" si="8"/>
        <v>25.5</v>
      </c>
      <c r="Z38">
        <f t="shared" si="13"/>
        <v>89.57</v>
      </c>
      <c r="AA38">
        <f t="shared" si="14"/>
        <v>91</v>
      </c>
      <c r="AB38" t="str">
        <f t="shared" si="9"/>
        <v>Advancing</v>
      </c>
      <c r="AV38">
        <f t="shared" si="10"/>
        <v>77.5</v>
      </c>
      <c r="AW38">
        <f t="shared" si="11"/>
        <v>90</v>
      </c>
      <c r="AX38">
        <f t="shared" si="12"/>
        <v>87.5</v>
      </c>
    </row>
    <row r="39" spans="1:50" ht="15.6" x14ac:dyDescent="0.3">
      <c r="A39">
        <v>28</v>
      </c>
      <c r="B39" t="str">
        <f>INPUT!B39</f>
        <v>Rivera, Noah</v>
      </c>
      <c r="F39">
        <v>10</v>
      </c>
      <c r="G39">
        <v>7</v>
      </c>
      <c r="H39">
        <v>8</v>
      </c>
      <c r="I39">
        <v>8</v>
      </c>
      <c r="J39">
        <v>10</v>
      </c>
      <c r="K39">
        <f t="shared" si="0"/>
        <v>43</v>
      </c>
      <c r="L39">
        <f t="shared" si="1"/>
        <v>43</v>
      </c>
      <c r="M39">
        <f t="shared" si="2"/>
        <v>8.6</v>
      </c>
      <c r="N39">
        <v>21</v>
      </c>
      <c r="O39">
        <v>21</v>
      </c>
      <c r="P39">
        <v>26</v>
      </c>
      <c r="Q39">
        <f t="shared" si="3"/>
        <v>68</v>
      </c>
      <c r="R39">
        <f t="shared" si="4"/>
        <v>45.33</v>
      </c>
      <c r="S39">
        <f t="shared" si="5"/>
        <v>22.67</v>
      </c>
      <c r="T39">
        <v>14</v>
      </c>
      <c r="U39">
        <v>15</v>
      </c>
      <c r="V39">
        <v>18</v>
      </c>
      <c r="W39">
        <f t="shared" si="6"/>
        <v>47</v>
      </c>
      <c r="X39">
        <f t="shared" si="7"/>
        <v>39.17</v>
      </c>
      <c r="Y39">
        <f t="shared" si="8"/>
        <v>11.75</v>
      </c>
      <c r="Z39">
        <f t="shared" si="13"/>
        <v>43.02</v>
      </c>
      <c r="AA39">
        <f t="shared" si="14"/>
        <v>62</v>
      </c>
      <c r="AB39" t="str">
        <f t="shared" si="9"/>
        <v>Emerging</v>
      </c>
      <c r="AV39">
        <f t="shared" si="10"/>
        <v>35</v>
      </c>
      <c r="AW39">
        <f t="shared" si="11"/>
        <v>37.5</v>
      </c>
      <c r="AX39">
        <f t="shared" si="12"/>
        <v>45</v>
      </c>
    </row>
    <row r="40" spans="1:50" ht="15.6" x14ac:dyDescent="0.3">
      <c r="A40">
        <v>29</v>
      </c>
      <c r="B40" t="str">
        <f>INPUT!B40</f>
        <v>Rosales, Oliver</v>
      </c>
      <c r="F40">
        <v>17</v>
      </c>
      <c r="G40">
        <v>15</v>
      </c>
      <c r="H40">
        <v>16</v>
      </c>
      <c r="I40">
        <v>15</v>
      </c>
      <c r="J40">
        <v>16</v>
      </c>
      <c r="K40">
        <f t="shared" si="0"/>
        <v>79</v>
      </c>
      <c r="L40">
        <f t="shared" si="1"/>
        <v>79</v>
      </c>
      <c r="M40">
        <f t="shared" si="2"/>
        <v>15.8</v>
      </c>
      <c r="N40">
        <v>45</v>
      </c>
      <c r="O40">
        <v>44</v>
      </c>
      <c r="P40">
        <v>45</v>
      </c>
      <c r="Q40">
        <f t="shared" si="3"/>
        <v>134</v>
      </c>
      <c r="R40">
        <f t="shared" si="4"/>
        <v>89.33</v>
      </c>
      <c r="S40">
        <f t="shared" si="5"/>
        <v>44.67</v>
      </c>
      <c r="T40">
        <v>33</v>
      </c>
      <c r="U40">
        <v>30</v>
      </c>
      <c r="V40">
        <v>28</v>
      </c>
      <c r="W40">
        <f t="shared" si="6"/>
        <v>91</v>
      </c>
      <c r="X40">
        <f t="shared" si="7"/>
        <v>75.83</v>
      </c>
      <c r="Y40">
        <f t="shared" si="8"/>
        <v>22.75</v>
      </c>
      <c r="Z40">
        <f t="shared" si="13"/>
        <v>83.22</v>
      </c>
      <c r="AA40">
        <f t="shared" si="14"/>
        <v>85</v>
      </c>
      <c r="AB40" t="str">
        <f t="shared" si="9"/>
        <v>Benchmarking</v>
      </c>
      <c r="AV40">
        <f t="shared" si="10"/>
        <v>82.5</v>
      </c>
      <c r="AW40">
        <f t="shared" si="11"/>
        <v>75</v>
      </c>
      <c r="AX40">
        <f t="shared" si="12"/>
        <v>70</v>
      </c>
    </row>
    <row r="41" spans="1:50" ht="15.6" x14ac:dyDescent="0.3">
      <c r="A41">
        <v>30</v>
      </c>
      <c r="B41" t="str">
        <f>INPUT!B41</f>
        <v>Salazar, Paolo</v>
      </c>
      <c r="F41">
        <v>16</v>
      </c>
      <c r="G41">
        <v>17</v>
      </c>
      <c r="H41">
        <v>16</v>
      </c>
      <c r="I41">
        <v>15</v>
      </c>
      <c r="J41">
        <v>14</v>
      </c>
      <c r="K41">
        <f t="shared" si="0"/>
        <v>78</v>
      </c>
      <c r="L41">
        <f t="shared" si="1"/>
        <v>78</v>
      </c>
      <c r="M41">
        <f t="shared" si="2"/>
        <v>15.6</v>
      </c>
      <c r="N41">
        <v>41</v>
      </c>
      <c r="O41">
        <v>37</v>
      </c>
      <c r="P41">
        <v>39</v>
      </c>
      <c r="Q41">
        <f t="shared" si="3"/>
        <v>117</v>
      </c>
      <c r="R41">
        <f t="shared" si="4"/>
        <v>78</v>
      </c>
      <c r="S41">
        <f t="shared" si="5"/>
        <v>39</v>
      </c>
      <c r="T41">
        <v>26</v>
      </c>
      <c r="U41">
        <v>31</v>
      </c>
      <c r="V41">
        <v>27</v>
      </c>
      <c r="W41">
        <f t="shared" si="6"/>
        <v>84</v>
      </c>
      <c r="X41">
        <f t="shared" si="7"/>
        <v>70</v>
      </c>
      <c r="Y41">
        <f t="shared" si="8"/>
        <v>21</v>
      </c>
      <c r="Z41">
        <f t="shared" si="13"/>
        <v>75.599999999999994</v>
      </c>
      <c r="AA41">
        <f t="shared" si="14"/>
        <v>77</v>
      </c>
      <c r="AB41" t="str">
        <f t="shared" si="9"/>
        <v>Connecting</v>
      </c>
      <c r="AV41">
        <f t="shared" si="10"/>
        <v>65</v>
      </c>
      <c r="AW41">
        <f t="shared" si="11"/>
        <v>77.5</v>
      </c>
      <c r="AX41">
        <f t="shared" si="12"/>
        <v>67.5</v>
      </c>
    </row>
    <row r="42" spans="1:50" ht="15.6" x14ac:dyDescent="0.3">
      <c r="A42">
        <v>31</v>
      </c>
      <c r="B42" t="str">
        <f>INPUT!B42</f>
        <v>Santiago, Patrick</v>
      </c>
      <c r="F42">
        <v>19</v>
      </c>
      <c r="G42">
        <v>19</v>
      </c>
      <c r="H42">
        <v>18</v>
      </c>
      <c r="I42">
        <v>19</v>
      </c>
      <c r="J42">
        <v>17</v>
      </c>
      <c r="K42">
        <f t="shared" si="0"/>
        <v>92</v>
      </c>
      <c r="L42">
        <f t="shared" si="1"/>
        <v>92</v>
      </c>
      <c r="M42">
        <f t="shared" si="2"/>
        <v>18.399999999999999</v>
      </c>
      <c r="N42">
        <v>47</v>
      </c>
      <c r="O42">
        <v>45</v>
      </c>
      <c r="P42">
        <v>49</v>
      </c>
      <c r="Q42">
        <f t="shared" si="3"/>
        <v>141</v>
      </c>
      <c r="R42">
        <f t="shared" si="4"/>
        <v>94</v>
      </c>
      <c r="S42">
        <f t="shared" si="5"/>
        <v>47</v>
      </c>
      <c r="T42">
        <v>34</v>
      </c>
      <c r="U42">
        <v>33</v>
      </c>
      <c r="V42">
        <v>33</v>
      </c>
      <c r="W42">
        <f t="shared" si="6"/>
        <v>100</v>
      </c>
      <c r="X42">
        <f t="shared" si="7"/>
        <v>83.33</v>
      </c>
      <c r="Y42">
        <f t="shared" si="8"/>
        <v>25</v>
      </c>
      <c r="Z42">
        <f t="shared" si="13"/>
        <v>90.4</v>
      </c>
      <c r="AA42">
        <f t="shared" si="14"/>
        <v>92</v>
      </c>
      <c r="AB42" t="str">
        <f t="shared" si="9"/>
        <v>Advancing</v>
      </c>
      <c r="AV42">
        <f t="shared" si="10"/>
        <v>85</v>
      </c>
      <c r="AW42">
        <f t="shared" si="11"/>
        <v>82.5</v>
      </c>
      <c r="AX42">
        <f t="shared" si="12"/>
        <v>82.5</v>
      </c>
    </row>
    <row r="43" spans="1:50" ht="15.6" x14ac:dyDescent="0.3">
      <c r="A43">
        <v>32</v>
      </c>
      <c r="B43" t="str">
        <f>INPUT!B43</f>
        <v>Santos, Rafael</v>
      </c>
      <c r="F43">
        <v>19</v>
      </c>
      <c r="G43">
        <v>20</v>
      </c>
      <c r="H43">
        <v>20</v>
      </c>
      <c r="I43">
        <v>20</v>
      </c>
      <c r="J43">
        <v>20</v>
      </c>
      <c r="K43">
        <f t="shared" si="0"/>
        <v>99</v>
      </c>
      <c r="L43">
        <f t="shared" si="1"/>
        <v>99</v>
      </c>
      <c r="M43">
        <f t="shared" si="2"/>
        <v>19.8</v>
      </c>
      <c r="N43">
        <v>50</v>
      </c>
      <c r="O43">
        <v>47</v>
      </c>
      <c r="P43">
        <v>50</v>
      </c>
      <c r="Q43">
        <f t="shared" si="3"/>
        <v>147</v>
      </c>
      <c r="R43">
        <f t="shared" si="4"/>
        <v>98</v>
      </c>
      <c r="S43">
        <f t="shared" si="5"/>
        <v>49</v>
      </c>
      <c r="T43">
        <v>35</v>
      </c>
      <c r="U43">
        <v>37</v>
      </c>
      <c r="V43">
        <v>39</v>
      </c>
      <c r="W43">
        <f t="shared" si="6"/>
        <v>111</v>
      </c>
      <c r="X43">
        <f t="shared" si="7"/>
        <v>92.5</v>
      </c>
      <c r="Y43">
        <f t="shared" si="8"/>
        <v>27.75</v>
      </c>
      <c r="Z43">
        <f t="shared" si="13"/>
        <v>96.55</v>
      </c>
      <c r="AA43">
        <f t="shared" si="14"/>
        <v>98</v>
      </c>
      <c r="AB43" t="str">
        <f t="shared" si="9"/>
        <v>Advancing</v>
      </c>
      <c r="AV43">
        <f t="shared" si="10"/>
        <v>87.5</v>
      </c>
      <c r="AW43">
        <f t="shared" si="11"/>
        <v>92.5</v>
      </c>
      <c r="AX43">
        <f t="shared" si="12"/>
        <v>97.5</v>
      </c>
    </row>
    <row r="44" spans="1:50" ht="15.6" x14ac:dyDescent="0.3">
      <c r="A44">
        <v>33</v>
      </c>
      <c r="B44" t="str">
        <f>INPUT!B44</f>
        <v>Soriano, Raymond</v>
      </c>
      <c r="F44">
        <v>17</v>
      </c>
      <c r="G44">
        <v>18</v>
      </c>
      <c r="H44">
        <v>17</v>
      </c>
      <c r="I44">
        <v>17</v>
      </c>
      <c r="J44">
        <v>18</v>
      </c>
      <c r="K44">
        <f t="shared" ref="K44:K61" si="15">IF(COUNT($F44:$J44)=0,"",SUM($F44:$J44))</f>
        <v>87</v>
      </c>
      <c r="L44">
        <f t="shared" ref="L44:L61" si="16">IF(ISERROR(IF($K44="","",ROUND(($K44/$K$10)*$L$10,2))),"",IF($K44="","",ROUND(($K44/$K$10)*$L$10,2)))</f>
        <v>87</v>
      </c>
      <c r="M44">
        <f t="shared" ref="M44:M61" si="17">IF($L44="","",ROUND($L44*$M$10,2))</f>
        <v>17.399999999999999</v>
      </c>
      <c r="N44">
        <v>48</v>
      </c>
      <c r="O44">
        <v>44</v>
      </c>
      <c r="P44">
        <v>46</v>
      </c>
      <c r="Q44">
        <f t="shared" ref="Q44:Q61" si="18">IF(COUNT($N44:$P44)=0,"",SUM($N44:$P44))</f>
        <v>138</v>
      </c>
      <c r="R44">
        <f t="shared" ref="R44:R61" si="19">IF(ISERROR(IF($Q44="","",ROUND(($Q44/$Q$10)*$R$10,2))),"",IF($Q44="","",ROUND(($Q44/$Q$10)*$R$10,2)))</f>
        <v>92</v>
      </c>
      <c r="S44">
        <f t="shared" ref="S44:S61" si="20">IF($R44="","",ROUND($R44*$S$10,2))</f>
        <v>46</v>
      </c>
      <c r="T44">
        <v>35</v>
      </c>
      <c r="U44">
        <v>34</v>
      </c>
      <c r="V44">
        <v>34</v>
      </c>
      <c r="W44">
        <f t="shared" ref="W44:W61" si="21">IF(COUNT($T44:$V44)=0,"",SUM($T44:$V44))</f>
        <v>103</v>
      </c>
      <c r="X44">
        <f t="shared" ref="X44:X61" si="22">IF(ISERROR(IF($W44="","",ROUND(($W44/$W$10)*$X$10,2))),"",IF($W44="","",ROUND(($W44/$W$10)*$X$10,2)))</f>
        <v>85.83</v>
      </c>
      <c r="Y44">
        <f t="shared" ref="Y44:Y61" si="23">IF($X44="","",ROUND($X44*$Y$10,2))</f>
        <v>25.75</v>
      </c>
      <c r="Z44">
        <f t="shared" si="13"/>
        <v>89.15</v>
      </c>
      <c r="AA44">
        <f t="shared" si="14"/>
        <v>91</v>
      </c>
      <c r="AB44" t="str">
        <f t="shared" ref="AB44:AB75" si="24">IF(ISERROR(IF(AA44="","",VLOOKUP(AA44,DESCRIPTORS,4,TRUE))),"",IF(AA44="","",VLOOKUP(AA44,DESCRIPTORS,4,TRUE)))</f>
        <v>Advancing</v>
      </c>
      <c r="AV44">
        <f t="shared" ref="AV44:AV75" si="25">(T44/$T$10)*100</f>
        <v>87.5</v>
      </c>
      <c r="AW44">
        <f t="shared" ref="AW44:AW75" si="26">(U44/$U$10)*100</f>
        <v>85</v>
      </c>
      <c r="AX44">
        <f t="shared" ref="AX44:AX75" si="27">(V44/$V$10)*100</f>
        <v>85</v>
      </c>
    </row>
    <row r="45" spans="1:50" ht="15.6" x14ac:dyDescent="0.3">
      <c r="A45">
        <v>34</v>
      </c>
      <c r="B45" t="str">
        <f>INPUT!B45</f>
        <v>Torres, Rico</v>
      </c>
      <c r="F45">
        <v>16</v>
      </c>
      <c r="G45">
        <v>16</v>
      </c>
      <c r="H45">
        <v>14</v>
      </c>
      <c r="I45">
        <v>15</v>
      </c>
      <c r="J45">
        <v>15</v>
      </c>
      <c r="K45">
        <f t="shared" si="15"/>
        <v>76</v>
      </c>
      <c r="L45">
        <f t="shared" si="16"/>
        <v>76</v>
      </c>
      <c r="M45">
        <f t="shared" si="17"/>
        <v>15.2</v>
      </c>
      <c r="N45">
        <v>38</v>
      </c>
      <c r="O45">
        <v>43</v>
      </c>
      <c r="P45">
        <v>41</v>
      </c>
      <c r="Q45">
        <f t="shared" si="18"/>
        <v>122</v>
      </c>
      <c r="R45">
        <f t="shared" si="19"/>
        <v>81.33</v>
      </c>
      <c r="S45">
        <f t="shared" si="20"/>
        <v>40.67</v>
      </c>
      <c r="T45">
        <v>31</v>
      </c>
      <c r="U45">
        <v>27</v>
      </c>
      <c r="V45">
        <v>30</v>
      </c>
      <c r="W45">
        <f t="shared" si="21"/>
        <v>88</v>
      </c>
      <c r="X45">
        <f t="shared" si="22"/>
        <v>73.33</v>
      </c>
      <c r="Y45">
        <f t="shared" si="23"/>
        <v>22</v>
      </c>
      <c r="Z45">
        <f t="shared" ref="Z45:Z61" si="28">IF(ISERROR(IF($V45="","",ROUND(SUM($M45,$S45,$Y45),2))),"",IF($V45="","",ROUND(SUM($M45,$S45,$Y45),2)))</f>
        <v>77.87</v>
      </c>
      <c r="AA45">
        <f t="shared" ref="AA45:AA76" si="29">IF(ISERROR(IF($V45="","",VLOOKUP(Z45,NewTransmu,4,TRUE))),"",IF($V45="","",VLOOKUP(Z45,NewTransmu,4,TRUE)))</f>
        <v>79</v>
      </c>
      <c r="AB45" t="str">
        <f t="shared" si="24"/>
        <v>Connecting</v>
      </c>
      <c r="AV45">
        <f t="shared" si="25"/>
        <v>77.5</v>
      </c>
      <c r="AW45">
        <f t="shared" si="26"/>
        <v>67.5</v>
      </c>
      <c r="AX45">
        <f t="shared" si="27"/>
        <v>75</v>
      </c>
    </row>
    <row r="46" spans="1:50" ht="15.6" x14ac:dyDescent="0.3">
      <c r="A46">
        <v>35</v>
      </c>
      <c r="B46" t="str">
        <f>INPUT!B46</f>
        <v>Valdez, Samuel</v>
      </c>
      <c r="F46">
        <v>17</v>
      </c>
      <c r="G46">
        <v>17</v>
      </c>
      <c r="H46">
        <v>18</v>
      </c>
      <c r="I46">
        <v>18</v>
      </c>
      <c r="J46">
        <v>18</v>
      </c>
      <c r="K46">
        <f t="shared" si="15"/>
        <v>88</v>
      </c>
      <c r="L46">
        <f t="shared" si="16"/>
        <v>88</v>
      </c>
      <c r="M46">
        <f t="shared" si="17"/>
        <v>17.600000000000001</v>
      </c>
      <c r="N46">
        <v>43</v>
      </c>
      <c r="O46">
        <v>47</v>
      </c>
      <c r="P46">
        <v>43</v>
      </c>
      <c r="Q46">
        <f t="shared" si="18"/>
        <v>133</v>
      </c>
      <c r="R46">
        <f t="shared" si="19"/>
        <v>88.67</v>
      </c>
      <c r="S46">
        <f t="shared" si="20"/>
        <v>44.34</v>
      </c>
      <c r="T46">
        <v>35</v>
      </c>
      <c r="U46">
        <v>34</v>
      </c>
      <c r="V46">
        <v>36</v>
      </c>
      <c r="W46">
        <f t="shared" si="21"/>
        <v>105</v>
      </c>
      <c r="X46">
        <f t="shared" si="22"/>
        <v>87.5</v>
      </c>
      <c r="Y46">
        <f t="shared" si="23"/>
        <v>26.25</v>
      </c>
      <c r="Z46">
        <f t="shared" si="28"/>
        <v>88.19</v>
      </c>
      <c r="AA46">
        <f t="shared" si="29"/>
        <v>90</v>
      </c>
      <c r="AB46" t="str">
        <f t="shared" si="24"/>
        <v>Advancing</v>
      </c>
      <c r="AV46">
        <f t="shared" si="25"/>
        <v>87.5</v>
      </c>
      <c r="AW46">
        <f t="shared" si="26"/>
        <v>85</v>
      </c>
      <c r="AX46">
        <f t="shared" si="27"/>
        <v>90</v>
      </c>
    </row>
    <row r="47" spans="1:50" ht="15.6" x14ac:dyDescent="0.3">
      <c r="A47">
        <v>36</v>
      </c>
      <c r="B47" t="str">
        <f>INPUT!B47</f>
        <v>Velasco, Sebastian</v>
      </c>
      <c r="F47">
        <v>8</v>
      </c>
      <c r="G47">
        <v>8</v>
      </c>
      <c r="H47">
        <v>10</v>
      </c>
      <c r="I47">
        <v>9</v>
      </c>
      <c r="J47">
        <v>9</v>
      </c>
      <c r="K47">
        <f t="shared" si="15"/>
        <v>44</v>
      </c>
      <c r="L47">
        <f t="shared" si="16"/>
        <v>44</v>
      </c>
      <c r="M47">
        <f t="shared" si="17"/>
        <v>8.8000000000000007</v>
      </c>
      <c r="N47">
        <v>22</v>
      </c>
      <c r="O47">
        <v>24</v>
      </c>
      <c r="P47">
        <v>22</v>
      </c>
      <c r="Q47">
        <f t="shared" si="18"/>
        <v>68</v>
      </c>
      <c r="R47">
        <f t="shared" si="19"/>
        <v>45.33</v>
      </c>
      <c r="S47">
        <f t="shared" si="20"/>
        <v>22.67</v>
      </c>
      <c r="T47">
        <v>16</v>
      </c>
      <c r="U47">
        <v>17</v>
      </c>
      <c r="V47">
        <v>13</v>
      </c>
      <c r="W47">
        <f t="shared" si="21"/>
        <v>46</v>
      </c>
      <c r="X47">
        <f t="shared" si="22"/>
        <v>38.33</v>
      </c>
      <c r="Y47">
        <f t="shared" si="23"/>
        <v>11.5</v>
      </c>
      <c r="Z47">
        <f t="shared" si="28"/>
        <v>42.97</v>
      </c>
      <c r="AA47">
        <f t="shared" si="29"/>
        <v>61</v>
      </c>
      <c r="AB47" t="str">
        <f t="shared" si="24"/>
        <v>Emerging</v>
      </c>
      <c r="AV47">
        <f t="shared" si="25"/>
        <v>40</v>
      </c>
      <c r="AW47">
        <f t="shared" si="26"/>
        <v>42.5</v>
      </c>
      <c r="AX47">
        <f t="shared" si="27"/>
        <v>32.5</v>
      </c>
    </row>
    <row r="48" spans="1:50" ht="15.6" x14ac:dyDescent="0.3">
      <c r="A48">
        <v>37</v>
      </c>
      <c r="B48" t="str">
        <f>INPUT!B48</f>
        <v>Villanueva, Simon</v>
      </c>
      <c r="F48">
        <v>16</v>
      </c>
      <c r="G48">
        <v>15</v>
      </c>
      <c r="H48">
        <v>15</v>
      </c>
      <c r="I48">
        <v>15</v>
      </c>
      <c r="J48">
        <v>16</v>
      </c>
      <c r="K48">
        <f t="shared" si="15"/>
        <v>77</v>
      </c>
      <c r="L48">
        <f t="shared" si="16"/>
        <v>77</v>
      </c>
      <c r="M48">
        <f t="shared" si="17"/>
        <v>15.4</v>
      </c>
      <c r="N48">
        <v>42</v>
      </c>
      <c r="O48">
        <v>43</v>
      </c>
      <c r="P48">
        <v>39</v>
      </c>
      <c r="Q48">
        <f t="shared" si="18"/>
        <v>124</v>
      </c>
      <c r="R48">
        <f t="shared" si="19"/>
        <v>82.67</v>
      </c>
      <c r="S48">
        <f t="shared" si="20"/>
        <v>41.34</v>
      </c>
      <c r="T48">
        <v>29</v>
      </c>
      <c r="U48">
        <v>33</v>
      </c>
      <c r="V48">
        <v>29</v>
      </c>
      <c r="W48">
        <f t="shared" si="21"/>
        <v>91</v>
      </c>
      <c r="X48">
        <f t="shared" si="22"/>
        <v>75.83</v>
      </c>
      <c r="Y48">
        <f t="shared" si="23"/>
        <v>22.75</v>
      </c>
      <c r="Z48">
        <f t="shared" si="28"/>
        <v>79.489999999999995</v>
      </c>
      <c r="AA48">
        <f t="shared" si="29"/>
        <v>81</v>
      </c>
      <c r="AB48" t="str">
        <f t="shared" si="24"/>
        <v>Benchmarking</v>
      </c>
      <c r="AV48">
        <f t="shared" si="25"/>
        <v>72.5</v>
      </c>
      <c r="AW48">
        <f t="shared" si="26"/>
        <v>82.5</v>
      </c>
      <c r="AX48">
        <f t="shared" si="27"/>
        <v>72.5</v>
      </c>
    </row>
    <row r="49" spans="1:50" ht="15.6" x14ac:dyDescent="0.3">
      <c r="A49">
        <v>38</v>
      </c>
      <c r="B49" t="str">
        <f>INPUT!B49</f>
        <v>Yap, Stephen</v>
      </c>
      <c r="F49">
        <v>15</v>
      </c>
      <c r="G49">
        <v>13</v>
      </c>
      <c r="H49">
        <v>15</v>
      </c>
      <c r="I49">
        <v>13</v>
      </c>
      <c r="J49">
        <v>14</v>
      </c>
      <c r="K49">
        <f t="shared" si="15"/>
        <v>70</v>
      </c>
      <c r="L49">
        <f t="shared" si="16"/>
        <v>70</v>
      </c>
      <c r="M49">
        <f t="shared" si="17"/>
        <v>14</v>
      </c>
      <c r="N49">
        <v>40</v>
      </c>
      <c r="O49">
        <v>38</v>
      </c>
      <c r="P49">
        <v>39</v>
      </c>
      <c r="Q49">
        <f t="shared" si="18"/>
        <v>117</v>
      </c>
      <c r="R49">
        <f t="shared" si="19"/>
        <v>78</v>
      </c>
      <c r="S49">
        <f t="shared" si="20"/>
        <v>39</v>
      </c>
      <c r="T49">
        <v>28</v>
      </c>
      <c r="U49">
        <v>28</v>
      </c>
      <c r="V49">
        <v>27</v>
      </c>
      <c r="W49">
        <f t="shared" si="21"/>
        <v>83</v>
      </c>
      <c r="X49">
        <f t="shared" si="22"/>
        <v>69.17</v>
      </c>
      <c r="Y49">
        <f t="shared" si="23"/>
        <v>20.75</v>
      </c>
      <c r="Z49">
        <f t="shared" si="28"/>
        <v>73.75</v>
      </c>
      <c r="AA49">
        <f t="shared" si="29"/>
        <v>76</v>
      </c>
      <c r="AB49" t="str">
        <f t="shared" si="24"/>
        <v>Connecting</v>
      </c>
      <c r="AV49">
        <f t="shared" si="25"/>
        <v>70</v>
      </c>
      <c r="AW49">
        <f t="shared" si="26"/>
        <v>70</v>
      </c>
      <c r="AX49">
        <f t="shared" si="27"/>
        <v>67.5</v>
      </c>
    </row>
    <row r="50" spans="1:50" ht="15.6" x14ac:dyDescent="0.3">
      <c r="A50">
        <v>39</v>
      </c>
      <c r="B50" t="str">
        <f>INPUT!B50</f>
        <v>Zamora, Thomas</v>
      </c>
      <c r="F50">
        <v>18</v>
      </c>
      <c r="G50">
        <v>17</v>
      </c>
      <c r="H50">
        <v>17</v>
      </c>
      <c r="I50">
        <v>17</v>
      </c>
      <c r="J50">
        <v>16</v>
      </c>
      <c r="K50">
        <f t="shared" si="15"/>
        <v>85</v>
      </c>
      <c r="L50">
        <f t="shared" si="16"/>
        <v>85</v>
      </c>
      <c r="M50">
        <f t="shared" si="17"/>
        <v>17</v>
      </c>
      <c r="N50">
        <v>41</v>
      </c>
      <c r="O50">
        <v>44</v>
      </c>
      <c r="P50">
        <v>42</v>
      </c>
      <c r="Q50">
        <f t="shared" si="18"/>
        <v>127</v>
      </c>
      <c r="R50">
        <f t="shared" si="19"/>
        <v>84.67</v>
      </c>
      <c r="S50">
        <f t="shared" si="20"/>
        <v>42.34</v>
      </c>
      <c r="T50">
        <v>32</v>
      </c>
      <c r="U50">
        <v>30</v>
      </c>
      <c r="V50">
        <v>32</v>
      </c>
      <c r="W50">
        <f t="shared" si="21"/>
        <v>94</v>
      </c>
      <c r="X50">
        <f t="shared" si="22"/>
        <v>78.33</v>
      </c>
      <c r="Y50">
        <f t="shared" si="23"/>
        <v>23.5</v>
      </c>
      <c r="Z50">
        <f t="shared" si="28"/>
        <v>82.84</v>
      </c>
      <c r="AA50">
        <f t="shared" si="29"/>
        <v>84</v>
      </c>
      <c r="AB50" t="str">
        <f t="shared" si="24"/>
        <v>Benchmarking</v>
      </c>
      <c r="AV50">
        <f t="shared" si="25"/>
        <v>80</v>
      </c>
      <c r="AW50">
        <f t="shared" si="26"/>
        <v>75</v>
      </c>
      <c r="AX50">
        <f t="shared" si="27"/>
        <v>80</v>
      </c>
    </row>
    <row r="51" spans="1:50" ht="15.6" x14ac:dyDescent="0.3">
      <c r="A51">
        <v>40</v>
      </c>
      <c r="B51" t="str">
        <f>INPUT!B51</f>
        <v>Zuniga, Vincent</v>
      </c>
      <c r="F51">
        <v>13</v>
      </c>
      <c r="G51">
        <v>15</v>
      </c>
      <c r="H51">
        <v>13</v>
      </c>
      <c r="I51">
        <v>14</v>
      </c>
      <c r="J51">
        <v>15</v>
      </c>
      <c r="K51">
        <f t="shared" si="15"/>
        <v>70</v>
      </c>
      <c r="L51">
        <f t="shared" si="16"/>
        <v>70</v>
      </c>
      <c r="M51">
        <f t="shared" si="17"/>
        <v>14</v>
      </c>
      <c r="N51">
        <v>38</v>
      </c>
      <c r="O51">
        <v>38</v>
      </c>
      <c r="P51">
        <v>38</v>
      </c>
      <c r="Q51">
        <f t="shared" si="18"/>
        <v>114</v>
      </c>
      <c r="R51">
        <f t="shared" si="19"/>
        <v>76</v>
      </c>
      <c r="S51">
        <f t="shared" si="20"/>
        <v>38</v>
      </c>
      <c r="T51">
        <v>24</v>
      </c>
      <c r="U51">
        <v>27</v>
      </c>
      <c r="V51">
        <v>24</v>
      </c>
      <c r="W51">
        <f t="shared" si="21"/>
        <v>75</v>
      </c>
      <c r="X51">
        <f t="shared" si="22"/>
        <v>62.5</v>
      </c>
      <c r="Y51">
        <f t="shared" si="23"/>
        <v>18.75</v>
      </c>
      <c r="Z51">
        <f t="shared" si="28"/>
        <v>70.75</v>
      </c>
      <c r="AA51">
        <f t="shared" si="29"/>
        <v>75</v>
      </c>
      <c r="AB51" t="str">
        <f t="shared" si="24"/>
        <v>Connecting</v>
      </c>
      <c r="AV51">
        <f t="shared" si="25"/>
        <v>60</v>
      </c>
      <c r="AW51">
        <f t="shared" si="26"/>
        <v>67.5</v>
      </c>
      <c r="AX51">
        <f t="shared" si="27"/>
        <v>60</v>
      </c>
    </row>
    <row r="52" spans="1:50" ht="15.6" x14ac:dyDescent="0.3">
      <c r="A52">
        <v>41</v>
      </c>
      <c r="B52" t="str">
        <f>INPUT!B52</f>
        <v>Abad, Xavier</v>
      </c>
      <c r="F52">
        <v>16</v>
      </c>
      <c r="G52">
        <v>17</v>
      </c>
      <c r="H52">
        <v>18</v>
      </c>
      <c r="I52">
        <v>17</v>
      </c>
      <c r="J52">
        <v>16</v>
      </c>
      <c r="K52">
        <f t="shared" si="15"/>
        <v>84</v>
      </c>
      <c r="L52">
        <f t="shared" si="16"/>
        <v>84</v>
      </c>
      <c r="M52">
        <f t="shared" si="17"/>
        <v>16.8</v>
      </c>
      <c r="N52">
        <v>47</v>
      </c>
      <c r="O52">
        <v>45</v>
      </c>
      <c r="P52">
        <v>45</v>
      </c>
      <c r="Q52">
        <f t="shared" si="18"/>
        <v>137</v>
      </c>
      <c r="R52">
        <f t="shared" si="19"/>
        <v>91.33</v>
      </c>
      <c r="S52">
        <f t="shared" si="20"/>
        <v>45.67</v>
      </c>
      <c r="T52">
        <v>35</v>
      </c>
      <c r="U52">
        <v>34</v>
      </c>
      <c r="V52">
        <v>31</v>
      </c>
      <c r="W52">
        <f t="shared" si="21"/>
        <v>100</v>
      </c>
      <c r="X52">
        <f t="shared" si="22"/>
        <v>83.33</v>
      </c>
      <c r="Y52">
        <f t="shared" si="23"/>
        <v>25</v>
      </c>
      <c r="Z52">
        <f t="shared" si="28"/>
        <v>87.47</v>
      </c>
      <c r="AA52">
        <f t="shared" si="29"/>
        <v>89</v>
      </c>
      <c r="AB52" t="str">
        <f t="shared" si="24"/>
        <v>Benchmarking</v>
      </c>
      <c r="AV52">
        <f t="shared" si="25"/>
        <v>87.5</v>
      </c>
      <c r="AW52">
        <f t="shared" si="26"/>
        <v>85</v>
      </c>
      <c r="AX52">
        <f t="shared" si="27"/>
        <v>77.5</v>
      </c>
    </row>
    <row r="53" spans="1:50" ht="15.6" x14ac:dyDescent="0.3">
      <c r="A53">
        <v>42</v>
      </c>
      <c r="B53" t="str">
        <f>INPUT!B53</f>
        <v>Agustin, Zachary</v>
      </c>
      <c r="F53">
        <v>13</v>
      </c>
      <c r="G53">
        <v>14</v>
      </c>
      <c r="H53">
        <v>15</v>
      </c>
      <c r="I53">
        <v>13</v>
      </c>
      <c r="J53">
        <v>14</v>
      </c>
      <c r="K53">
        <f t="shared" si="15"/>
        <v>69</v>
      </c>
      <c r="L53">
        <f t="shared" si="16"/>
        <v>69</v>
      </c>
      <c r="M53">
        <f t="shared" si="17"/>
        <v>13.8</v>
      </c>
      <c r="N53">
        <v>37</v>
      </c>
      <c r="O53">
        <v>35</v>
      </c>
      <c r="P53">
        <v>39</v>
      </c>
      <c r="Q53">
        <f t="shared" si="18"/>
        <v>111</v>
      </c>
      <c r="R53">
        <f t="shared" si="19"/>
        <v>74</v>
      </c>
      <c r="S53">
        <f t="shared" si="20"/>
        <v>37</v>
      </c>
      <c r="T53">
        <v>26</v>
      </c>
      <c r="U53">
        <v>26</v>
      </c>
      <c r="V53">
        <v>29</v>
      </c>
      <c r="W53">
        <f t="shared" si="21"/>
        <v>81</v>
      </c>
      <c r="X53">
        <f t="shared" si="22"/>
        <v>67.5</v>
      </c>
      <c r="Y53">
        <f t="shared" si="23"/>
        <v>20.25</v>
      </c>
      <c r="Z53">
        <f t="shared" si="28"/>
        <v>71.05</v>
      </c>
      <c r="AA53">
        <f t="shared" si="29"/>
        <v>75</v>
      </c>
      <c r="AB53" t="str">
        <f t="shared" si="24"/>
        <v>Connecting</v>
      </c>
      <c r="AV53">
        <f t="shared" si="25"/>
        <v>65</v>
      </c>
      <c r="AW53">
        <f t="shared" si="26"/>
        <v>65</v>
      </c>
      <c r="AX53">
        <f t="shared" si="27"/>
        <v>72.5</v>
      </c>
    </row>
    <row r="54" spans="1:50" ht="15.6" x14ac:dyDescent="0.3">
      <c r="A54">
        <v>43</v>
      </c>
      <c r="B54" t="str">
        <f>INPUT!B54</f>
        <v>Alvarez, Alvin</v>
      </c>
      <c r="F54">
        <v>17</v>
      </c>
      <c r="G54">
        <v>15</v>
      </c>
      <c r="H54">
        <v>18</v>
      </c>
      <c r="I54">
        <v>16</v>
      </c>
      <c r="J54">
        <v>16</v>
      </c>
      <c r="K54">
        <f t="shared" si="15"/>
        <v>82</v>
      </c>
      <c r="L54">
        <f t="shared" si="16"/>
        <v>82</v>
      </c>
      <c r="M54">
        <f t="shared" si="17"/>
        <v>16.399999999999999</v>
      </c>
      <c r="N54">
        <v>45</v>
      </c>
      <c r="O54">
        <v>39</v>
      </c>
      <c r="P54">
        <v>42</v>
      </c>
      <c r="Q54">
        <f t="shared" si="18"/>
        <v>126</v>
      </c>
      <c r="R54">
        <f t="shared" si="19"/>
        <v>84</v>
      </c>
      <c r="S54">
        <f t="shared" si="20"/>
        <v>42</v>
      </c>
      <c r="T54">
        <v>29</v>
      </c>
      <c r="U54">
        <v>33</v>
      </c>
      <c r="V54">
        <v>30</v>
      </c>
      <c r="W54">
        <f t="shared" si="21"/>
        <v>92</v>
      </c>
      <c r="X54">
        <f t="shared" si="22"/>
        <v>76.67</v>
      </c>
      <c r="Y54">
        <f t="shared" si="23"/>
        <v>23</v>
      </c>
      <c r="Z54">
        <f t="shared" si="28"/>
        <v>81.400000000000006</v>
      </c>
      <c r="AA54">
        <f t="shared" si="29"/>
        <v>83</v>
      </c>
      <c r="AB54" t="str">
        <f t="shared" si="24"/>
        <v>Benchmarking</v>
      </c>
      <c r="AV54">
        <f t="shared" si="25"/>
        <v>72.5</v>
      </c>
      <c r="AW54">
        <f t="shared" si="26"/>
        <v>82.5</v>
      </c>
      <c r="AX54">
        <f t="shared" si="27"/>
        <v>75</v>
      </c>
    </row>
    <row r="55" spans="1:50" ht="15.6" x14ac:dyDescent="0.3">
      <c r="A55">
        <v>44</v>
      </c>
      <c r="B55" t="str">
        <f>INPUT!B55</f>
        <v>Aquino, Andre</v>
      </c>
      <c r="F55">
        <v>9</v>
      </c>
      <c r="G55">
        <v>9</v>
      </c>
      <c r="H55">
        <v>10</v>
      </c>
      <c r="I55">
        <v>9</v>
      </c>
      <c r="J55">
        <v>9</v>
      </c>
      <c r="K55">
        <f t="shared" si="15"/>
        <v>46</v>
      </c>
      <c r="L55">
        <f t="shared" si="16"/>
        <v>46</v>
      </c>
      <c r="M55">
        <f t="shared" si="17"/>
        <v>9.1999999999999993</v>
      </c>
      <c r="N55">
        <v>25</v>
      </c>
      <c r="O55">
        <v>26</v>
      </c>
      <c r="P55">
        <v>25</v>
      </c>
      <c r="Q55">
        <f t="shared" si="18"/>
        <v>76</v>
      </c>
      <c r="R55">
        <f t="shared" si="19"/>
        <v>50.67</v>
      </c>
      <c r="S55">
        <f t="shared" si="20"/>
        <v>25.34</v>
      </c>
      <c r="T55">
        <v>17</v>
      </c>
      <c r="U55">
        <v>20</v>
      </c>
      <c r="V55">
        <v>17</v>
      </c>
      <c r="W55">
        <f t="shared" si="21"/>
        <v>54</v>
      </c>
      <c r="X55">
        <f t="shared" si="22"/>
        <v>45</v>
      </c>
      <c r="Y55">
        <f t="shared" si="23"/>
        <v>13.5</v>
      </c>
      <c r="Z55">
        <f t="shared" si="28"/>
        <v>48.04</v>
      </c>
      <c r="AA55">
        <f t="shared" si="29"/>
        <v>64</v>
      </c>
      <c r="AB55" t="str">
        <f t="shared" si="24"/>
        <v>Emerging</v>
      </c>
      <c r="AV55">
        <f t="shared" si="25"/>
        <v>42.5</v>
      </c>
      <c r="AW55">
        <f t="shared" si="26"/>
        <v>50</v>
      </c>
      <c r="AX55">
        <f t="shared" si="27"/>
        <v>42.5</v>
      </c>
    </row>
    <row r="56" spans="1:50" ht="15.6" x14ac:dyDescent="0.3">
      <c r="A56">
        <v>45</v>
      </c>
      <c r="B56" t="str">
        <f>INPUT!B56</f>
        <v>Arceo, Benedict</v>
      </c>
      <c r="F56">
        <v>16</v>
      </c>
      <c r="G56">
        <v>16</v>
      </c>
      <c r="H56">
        <v>16</v>
      </c>
      <c r="I56">
        <v>14</v>
      </c>
      <c r="J56">
        <v>16</v>
      </c>
      <c r="K56">
        <f t="shared" si="15"/>
        <v>78</v>
      </c>
      <c r="L56">
        <f t="shared" si="16"/>
        <v>78</v>
      </c>
      <c r="M56">
        <f t="shared" si="17"/>
        <v>15.6</v>
      </c>
      <c r="N56">
        <v>43</v>
      </c>
      <c r="O56">
        <v>38</v>
      </c>
      <c r="P56">
        <v>36</v>
      </c>
      <c r="Q56">
        <f t="shared" si="18"/>
        <v>117</v>
      </c>
      <c r="R56">
        <f t="shared" si="19"/>
        <v>78</v>
      </c>
      <c r="S56">
        <f t="shared" si="20"/>
        <v>39</v>
      </c>
      <c r="T56">
        <v>29</v>
      </c>
      <c r="U56">
        <v>29</v>
      </c>
      <c r="V56">
        <v>28</v>
      </c>
      <c r="W56">
        <f t="shared" si="21"/>
        <v>86</v>
      </c>
      <c r="X56">
        <f t="shared" si="22"/>
        <v>71.67</v>
      </c>
      <c r="Y56">
        <f t="shared" si="23"/>
        <v>21.5</v>
      </c>
      <c r="Z56">
        <f t="shared" si="28"/>
        <v>76.099999999999994</v>
      </c>
      <c r="AA56">
        <f t="shared" si="29"/>
        <v>78</v>
      </c>
      <c r="AB56" t="str">
        <f t="shared" si="24"/>
        <v>Connecting</v>
      </c>
      <c r="AV56">
        <f t="shared" si="25"/>
        <v>72.5</v>
      </c>
      <c r="AW56">
        <f t="shared" si="26"/>
        <v>72.5</v>
      </c>
      <c r="AX56">
        <f t="shared" si="27"/>
        <v>70</v>
      </c>
    </row>
    <row r="57" spans="1:50" ht="15.6" x14ac:dyDescent="0.3">
      <c r="A57">
        <v>46</v>
      </c>
      <c r="B57" t="str">
        <f>INPUT!B57</f>
        <v>Arellano, Cyrus</v>
      </c>
      <c r="F57">
        <v>17</v>
      </c>
      <c r="G57">
        <v>17</v>
      </c>
      <c r="H57">
        <v>18</v>
      </c>
      <c r="I57">
        <v>17</v>
      </c>
      <c r="J57">
        <v>16</v>
      </c>
      <c r="K57">
        <f t="shared" si="15"/>
        <v>85</v>
      </c>
      <c r="L57">
        <f t="shared" si="16"/>
        <v>85</v>
      </c>
      <c r="M57">
        <f t="shared" si="17"/>
        <v>17</v>
      </c>
      <c r="N57">
        <v>45</v>
      </c>
      <c r="O57">
        <v>44</v>
      </c>
      <c r="P57">
        <v>42</v>
      </c>
      <c r="Q57">
        <f t="shared" si="18"/>
        <v>131</v>
      </c>
      <c r="R57">
        <f t="shared" si="19"/>
        <v>87.33</v>
      </c>
      <c r="S57">
        <f t="shared" si="20"/>
        <v>43.67</v>
      </c>
      <c r="T57">
        <v>33</v>
      </c>
      <c r="U57">
        <v>31</v>
      </c>
      <c r="V57">
        <v>34</v>
      </c>
      <c r="W57">
        <f t="shared" si="21"/>
        <v>98</v>
      </c>
      <c r="X57">
        <f t="shared" si="22"/>
        <v>81.67</v>
      </c>
      <c r="Y57">
        <f t="shared" si="23"/>
        <v>24.5</v>
      </c>
      <c r="Z57">
        <f t="shared" si="28"/>
        <v>85.17</v>
      </c>
      <c r="AA57">
        <f t="shared" si="29"/>
        <v>87</v>
      </c>
      <c r="AB57" t="str">
        <f t="shared" si="24"/>
        <v>Benchmarking</v>
      </c>
      <c r="AV57">
        <f t="shared" si="25"/>
        <v>82.5</v>
      </c>
      <c r="AW57">
        <f t="shared" si="26"/>
        <v>77.5</v>
      </c>
      <c r="AX57">
        <f t="shared" si="27"/>
        <v>85</v>
      </c>
    </row>
    <row r="58" spans="1:50" ht="15.6" x14ac:dyDescent="0.3">
      <c r="A58">
        <v>47</v>
      </c>
      <c r="B58" t="str">
        <f>INPUT!B58</f>
        <v>Barrera, Dominic</v>
      </c>
      <c r="F58">
        <v>15</v>
      </c>
      <c r="G58">
        <v>17</v>
      </c>
      <c r="H58">
        <v>17</v>
      </c>
      <c r="I58">
        <v>16</v>
      </c>
      <c r="J58">
        <v>16</v>
      </c>
      <c r="K58">
        <f t="shared" si="15"/>
        <v>81</v>
      </c>
      <c r="L58">
        <f t="shared" si="16"/>
        <v>81</v>
      </c>
      <c r="M58">
        <f t="shared" si="17"/>
        <v>16.2</v>
      </c>
      <c r="N58">
        <v>39</v>
      </c>
      <c r="O58">
        <v>39</v>
      </c>
      <c r="P58">
        <v>45</v>
      </c>
      <c r="Q58">
        <f t="shared" si="18"/>
        <v>123</v>
      </c>
      <c r="R58">
        <f t="shared" si="19"/>
        <v>82</v>
      </c>
      <c r="S58">
        <f t="shared" si="20"/>
        <v>41</v>
      </c>
      <c r="T58">
        <v>33</v>
      </c>
      <c r="U58">
        <v>29</v>
      </c>
      <c r="V58">
        <v>32</v>
      </c>
      <c r="W58">
        <f t="shared" si="21"/>
        <v>94</v>
      </c>
      <c r="X58">
        <f t="shared" si="22"/>
        <v>78.33</v>
      </c>
      <c r="Y58">
        <f t="shared" si="23"/>
        <v>23.5</v>
      </c>
      <c r="Z58">
        <f t="shared" si="28"/>
        <v>80.7</v>
      </c>
      <c r="AA58">
        <f t="shared" si="29"/>
        <v>82</v>
      </c>
      <c r="AB58" t="str">
        <f t="shared" si="24"/>
        <v>Benchmarking</v>
      </c>
      <c r="AV58">
        <f t="shared" si="25"/>
        <v>82.5</v>
      </c>
      <c r="AW58">
        <f t="shared" si="26"/>
        <v>72.5</v>
      </c>
      <c r="AX58">
        <f t="shared" si="27"/>
        <v>80</v>
      </c>
    </row>
    <row r="59" spans="1:50" ht="15.6" x14ac:dyDescent="0.3">
      <c r="A59">
        <v>48</v>
      </c>
      <c r="B59" t="str">
        <f>INPUT!B59</f>
        <v>Cabral, Emmanuel</v>
      </c>
      <c r="F59">
        <v>15</v>
      </c>
      <c r="G59">
        <v>17</v>
      </c>
      <c r="H59">
        <v>15</v>
      </c>
      <c r="I59">
        <v>15</v>
      </c>
      <c r="J59">
        <v>15</v>
      </c>
      <c r="K59">
        <f t="shared" si="15"/>
        <v>77</v>
      </c>
      <c r="L59">
        <f t="shared" si="16"/>
        <v>77</v>
      </c>
      <c r="M59">
        <f t="shared" si="17"/>
        <v>15.4</v>
      </c>
      <c r="N59">
        <v>43</v>
      </c>
      <c r="O59">
        <v>40</v>
      </c>
      <c r="P59">
        <v>38</v>
      </c>
      <c r="Q59">
        <f t="shared" si="18"/>
        <v>121</v>
      </c>
      <c r="R59">
        <f t="shared" si="19"/>
        <v>80.67</v>
      </c>
      <c r="S59">
        <f t="shared" si="20"/>
        <v>40.340000000000003</v>
      </c>
      <c r="T59">
        <v>32</v>
      </c>
      <c r="U59">
        <v>29</v>
      </c>
      <c r="V59">
        <v>28</v>
      </c>
      <c r="W59">
        <f t="shared" si="21"/>
        <v>89</v>
      </c>
      <c r="X59">
        <f t="shared" si="22"/>
        <v>74.17</v>
      </c>
      <c r="Y59">
        <f t="shared" si="23"/>
        <v>22.25</v>
      </c>
      <c r="Z59">
        <f t="shared" si="28"/>
        <v>77.989999999999995</v>
      </c>
      <c r="AA59">
        <f t="shared" si="29"/>
        <v>79</v>
      </c>
      <c r="AB59" t="str">
        <f t="shared" si="24"/>
        <v>Connecting</v>
      </c>
      <c r="AV59">
        <f t="shared" si="25"/>
        <v>80</v>
      </c>
      <c r="AW59">
        <f t="shared" si="26"/>
        <v>72.5</v>
      </c>
      <c r="AX59">
        <f t="shared" si="27"/>
        <v>70</v>
      </c>
    </row>
    <row r="60" spans="1:50" ht="15.6" x14ac:dyDescent="0.3">
      <c r="A60">
        <v>49</v>
      </c>
      <c r="B60" t="str">
        <f>INPUT!B60</f>
        <v>David, Francis</v>
      </c>
      <c r="F60">
        <v>16</v>
      </c>
      <c r="G60">
        <v>18</v>
      </c>
      <c r="H60">
        <v>17</v>
      </c>
      <c r="I60">
        <v>17</v>
      </c>
      <c r="J60">
        <v>17</v>
      </c>
      <c r="K60">
        <f t="shared" si="15"/>
        <v>85</v>
      </c>
      <c r="L60">
        <f t="shared" si="16"/>
        <v>85</v>
      </c>
      <c r="M60">
        <f t="shared" si="17"/>
        <v>17</v>
      </c>
      <c r="N60">
        <v>39</v>
      </c>
      <c r="O60">
        <v>40</v>
      </c>
      <c r="P60">
        <v>42</v>
      </c>
      <c r="Q60">
        <f t="shared" si="18"/>
        <v>121</v>
      </c>
      <c r="R60">
        <f t="shared" si="19"/>
        <v>80.67</v>
      </c>
      <c r="S60">
        <f t="shared" si="20"/>
        <v>40.340000000000003</v>
      </c>
      <c r="T60">
        <v>29</v>
      </c>
      <c r="U60">
        <v>34</v>
      </c>
      <c r="V60">
        <v>32</v>
      </c>
      <c r="W60">
        <f t="shared" si="21"/>
        <v>95</v>
      </c>
      <c r="X60">
        <f t="shared" si="22"/>
        <v>79.17</v>
      </c>
      <c r="Y60">
        <f t="shared" si="23"/>
        <v>23.75</v>
      </c>
      <c r="Z60">
        <f t="shared" si="28"/>
        <v>81.09</v>
      </c>
      <c r="AA60">
        <f t="shared" si="29"/>
        <v>83</v>
      </c>
      <c r="AB60" t="str">
        <f t="shared" si="24"/>
        <v>Benchmarking</v>
      </c>
      <c r="AV60">
        <f t="shared" si="25"/>
        <v>72.5</v>
      </c>
      <c r="AW60">
        <f t="shared" si="26"/>
        <v>85</v>
      </c>
      <c r="AX60">
        <f t="shared" si="27"/>
        <v>80</v>
      </c>
    </row>
    <row r="61" spans="1:50" ht="15.6" x14ac:dyDescent="0.3">
      <c r="A61">
        <v>50</v>
      </c>
      <c r="B61" t="str">
        <f>INPUT!B61</f>
        <v>Escobar, Gian</v>
      </c>
      <c r="F61">
        <v>17</v>
      </c>
      <c r="G61">
        <v>17</v>
      </c>
      <c r="H61">
        <v>17</v>
      </c>
      <c r="I61">
        <v>17</v>
      </c>
      <c r="J61">
        <v>18</v>
      </c>
      <c r="K61">
        <f t="shared" si="15"/>
        <v>86</v>
      </c>
      <c r="L61">
        <f t="shared" si="16"/>
        <v>86</v>
      </c>
      <c r="M61">
        <f t="shared" si="17"/>
        <v>17.2</v>
      </c>
      <c r="N61">
        <v>43</v>
      </c>
      <c r="O61">
        <v>46</v>
      </c>
      <c r="P61">
        <v>45</v>
      </c>
      <c r="Q61">
        <f t="shared" si="18"/>
        <v>134</v>
      </c>
      <c r="R61">
        <f t="shared" si="19"/>
        <v>89.33</v>
      </c>
      <c r="S61">
        <f t="shared" si="20"/>
        <v>44.67</v>
      </c>
      <c r="T61">
        <v>33</v>
      </c>
      <c r="U61">
        <v>34</v>
      </c>
      <c r="V61">
        <v>34</v>
      </c>
      <c r="W61">
        <f t="shared" si="21"/>
        <v>101</v>
      </c>
      <c r="X61">
        <f t="shared" si="22"/>
        <v>84.17</v>
      </c>
      <c r="Y61">
        <f t="shared" si="23"/>
        <v>25.25</v>
      </c>
      <c r="Z61">
        <f t="shared" si="28"/>
        <v>87.12</v>
      </c>
      <c r="AA61">
        <f t="shared" si="29"/>
        <v>89</v>
      </c>
      <c r="AB61" t="str">
        <f t="shared" si="24"/>
        <v>Benchmarking</v>
      </c>
      <c r="AV61">
        <f t="shared" si="25"/>
        <v>82.5</v>
      </c>
      <c r="AW61">
        <f t="shared" si="26"/>
        <v>85</v>
      </c>
      <c r="AX61">
        <f t="shared" si="27"/>
        <v>85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18</v>
      </c>
      <c r="G63">
        <v>19</v>
      </c>
      <c r="H63">
        <v>20</v>
      </c>
      <c r="I63">
        <v>19</v>
      </c>
      <c r="J63">
        <v>19</v>
      </c>
      <c r="K63">
        <f t="shared" ref="K63:K94" si="30">IF(COUNT($F63:$J63)=0,"",SUM($F63:$J63))</f>
        <v>95</v>
      </c>
      <c r="L63">
        <f t="shared" ref="L63:L94" si="31">IF(ISERROR(IF($K63="","",ROUND(($K63/$K$10)*$L$10,2))),"",IF($K63="","",ROUND(($K63/$K$10)*$L$10,2)))</f>
        <v>95</v>
      </c>
      <c r="M63">
        <f t="shared" ref="M63:M94" si="32">IF($L63="","",ROUND($L63*$M$10,2))</f>
        <v>19</v>
      </c>
      <c r="N63">
        <v>45</v>
      </c>
      <c r="O63">
        <v>48</v>
      </c>
      <c r="P63">
        <v>48</v>
      </c>
      <c r="Q63">
        <f t="shared" ref="Q63:Q94" si="33">IF(COUNT($N63:$P63)=0,"",SUM($N63:$P63))</f>
        <v>141</v>
      </c>
      <c r="R63">
        <f t="shared" ref="R63:R94" si="34">IF(ISERROR(IF($Q63="","",ROUND(($Q63/$Q$10)*$R$10,2))),"",IF($Q63="","",ROUND(($Q63/$Q$10)*$R$10,2)))</f>
        <v>94</v>
      </c>
      <c r="S63">
        <f t="shared" ref="S63:S94" si="35">IF($R63="","",ROUND($R63*$S$10,2))</f>
        <v>47</v>
      </c>
      <c r="T63">
        <v>36</v>
      </c>
      <c r="U63">
        <v>34</v>
      </c>
      <c r="V63">
        <v>35</v>
      </c>
      <c r="W63">
        <f t="shared" ref="W63:W94" si="36">IF(COUNT($T63:$V63)=0,"",SUM($T63:$V63))</f>
        <v>105</v>
      </c>
      <c r="X63">
        <f t="shared" ref="X63:X94" si="37">IF(ISERROR(IF($W63="","",ROUND(($W63/$W$10)*$X$10,2))),"",IF($W63="","",ROUND(($W63/$W$10)*$X$10,2)))</f>
        <v>87.5</v>
      </c>
      <c r="Y63">
        <f t="shared" ref="Y63:Y94" si="38">IF($X63="","",ROUND($X63*$Y$10,2))</f>
        <v>26.25</v>
      </c>
      <c r="Z63">
        <f t="shared" ref="Z63:Z94" si="39">IF(ISERROR(IF($V63="","",ROUND(SUM($M63,$S63,$Y63),2))),"",IF($V63="","",ROUND(SUM($M63,$S63,$Y63),2)))</f>
        <v>92.25</v>
      </c>
      <c r="AA63">
        <f t="shared" ref="AA63:AA94" si="40">IF(ISERROR(IF($V63="","",VLOOKUP(Z63,NewTransmu,4,TRUE))),"",IF($V63="","",VLOOKUP(Z63,NewTransmu,4,TRUE)))</f>
        <v>94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90</v>
      </c>
      <c r="AW63">
        <f t="shared" si="26"/>
        <v>85</v>
      </c>
      <c r="AX63">
        <f t="shared" si="27"/>
        <v>87.5</v>
      </c>
    </row>
    <row r="64" spans="1:50" ht="15.6" x14ac:dyDescent="0.3">
      <c r="A64">
        <v>2</v>
      </c>
      <c r="B64" t="str">
        <f>INPUT!B64</f>
        <v>Garcia, Angela</v>
      </c>
      <c r="F64">
        <v>16</v>
      </c>
      <c r="G64">
        <v>15</v>
      </c>
      <c r="H64">
        <v>16</v>
      </c>
      <c r="I64">
        <v>15</v>
      </c>
      <c r="J64">
        <v>15</v>
      </c>
      <c r="K64">
        <f t="shared" si="30"/>
        <v>77</v>
      </c>
      <c r="L64">
        <f t="shared" si="31"/>
        <v>77</v>
      </c>
      <c r="M64">
        <f t="shared" si="32"/>
        <v>15.4</v>
      </c>
      <c r="N64">
        <v>41</v>
      </c>
      <c r="O64">
        <v>41</v>
      </c>
      <c r="P64">
        <v>41</v>
      </c>
      <c r="Q64">
        <f t="shared" si="33"/>
        <v>123</v>
      </c>
      <c r="R64">
        <f t="shared" si="34"/>
        <v>82</v>
      </c>
      <c r="S64">
        <f t="shared" si="35"/>
        <v>41</v>
      </c>
      <c r="T64">
        <v>28</v>
      </c>
      <c r="U64">
        <v>27</v>
      </c>
      <c r="V64">
        <v>28</v>
      </c>
      <c r="W64">
        <f t="shared" si="36"/>
        <v>83</v>
      </c>
      <c r="X64">
        <f t="shared" si="37"/>
        <v>69.17</v>
      </c>
      <c r="Y64">
        <f t="shared" si="38"/>
        <v>20.75</v>
      </c>
      <c r="Z64">
        <f t="shared" si="39"/>
        <v>77.150000000000006</v>
      </c>
      <c r="AA64">
        <f t="shared" si="40"/>
        <v>79</v>
      </c>
      <c r="AB64" t="str">
        <f t="shared" si="41"/>
        <v>Connecting</v>
      </c>
      <c r="AV64">
        <f t="shared" si="25"/>
        <v>70</v>
      </c>
      <c r="AW64">
        <f t="shared" si="26"/>
        <v>67.5</v>
      </c>
      <c r="AX64">
        <f t="shared" si="27"/>
        <v>70</v>
      </c>
    </row>
    <row r="65" spans="1:50" ht="15.6" x14ac:dyDescent="0.3">
      <c r="A65">
        <v>3</v>
      </c>
      <c r="B65" t="str">
        <f>INPUT!B65</f>
        <v>Gonzales, Bea</v>
      </c>
      <c r="F65">
        <v>16</v>
      </c>
      <c r="G65">
        <v>15</v>
      </c>
      <c r="H65">
        <v>14</v>
      </c>
      <c r="I65">
        <v>14</v>
      </c>
      <c r="J65">
        <v>16</v>
      </c>
      <c r="K65">
        <f t="shared" si="30"/>
        <v>75</v>
      </c>
      <c r="L65">
        <f t="shared" si="31"/>
        <v>75</v>
      </c>
      <c r="M65">
        <f t="shared" si="32"/>
        <v>15</v>
      </c>
      <c r="N65">
        <v>42</v>
      </c>
      <c r="O65">
        <v>40</v>
      </c>
      <c r="P65">
        <v>41</v>
      </c>
      <c r="Q65">
        <f t="shared" si="33"/>
        <v>123</v>
      </c>
      <c r="R65">
        <f t="shared" si="34"/>
        <v>82</v>
      </c>
      <c r="S65">
        <f t="shared" si="35"/>
        <v>41</v>
      </c>
      <c r="T65">
        <v>32</v>
      </c>
      <c r="U65">
        <v>27</v>
      </c>
      <c r="V65">
        <v>29</v>
      </c>
      <c r="W65">
        <f t="shared" si="36"/>
        <v>88</v>
      </c>
      <c r="X65">
        <f t="shared" si="37"/>
        <v>73.33</v>
      </c>
      <c r="Y65">
        <f t="shared" si="38"/>
        <v>22</v>
      </c>
      <c r="Z65">
        <f t="shared" si="39"/>
        <v>78</v>
      </c>
      <c r="AA65">
        <f t="shared" si="40"/>
        <v>80</v>
      </c>
      <c r="AB65" t="str">
        <f t="shared" si="41"/>
        <v>Benchmarking</v>
      </c>
      <c r="AV65">
        <f t="shared" si="25"/>
        <v>80</v>
      </c>
      <c r="AW65">
        <f t="shared" si="26"/>
        <v>67.5</v>
      </c>
      <c r="AX65">
        <f t="shared" si="27"/>
        <v>72.5</v>
      </c>
    </row>
    <row r="66" spans="1:50" ht="15.6" x14ac:dyDescent="0.3">
      <c r="A66">
        <v>4</v>
      </c>
      <c r="B66" t="str">
        <f>INPUT!B66</f>
        <v>Hernandez, Bianca</v>
      </c>
      <c r="F66">
        <v>16</v>
      </c>
      <c r="G66">
        <v>16</v>
      </c>
      <c r="H66">
        <v>16</v>
      </c>
      <c r="I66">
        <v>16</v>
      </c>
      <c r="J66">
        <v>17</v>
      </c>
      <c r="K66">
        <f t="shared" si="30"/>
        <v>81</v>
      </c>
      <c r="L66">
        <f t="shared" si="31"/>
        <v>81</v>
      </c>
      <c r="M66">
        <f t="shared" si="32"/>
        <v>16.2</v>
      </c>
      <c r="N66">
        <v>43</v>
      </c>
      <c r="O66">
        <v>39</v>
      </c>
      <c r="P66">
        <v>44</v>
      </c>
      <c r="Q66">
        <f t="shared" si="33"/>
        <v>126</v>
      </c>
      <c r="R66">
        <f t="shared" si="34"/>
        <v>84</v>
      </c>
      <c r="S66">
        <f t="shared" si="35"/>
        <v>42</v>
      </c>
      <c r="T66">
        <v>32</v>
      </c>
      <c r="U66">
        <v>28</v>
      </c>
      <c r="V66">
        <v>27</v>
      </c>
      <c r="W66">
        <f t="shared" si="36"/>
        <v>87</v>
      </c>
      <c r="X66">
        <f t="shared" si="37"/>
        <v>72.5</v>
      </c>
      <c r="Y66">
        <f t="shared" si="38"/>
        <v>21.75</v>
      </c>
      <c r="Z66">
        <f t="shared" si="39"/>
        <v>79.95</v>
      </c>
      <c r="AA66">
        <f t="shared" si="40"/>
        <v>81</v>
      </c>
      <c r="AB66" t="str">
        <f t="shared" si="41"/>
        <v>Benchmarking</v>
      </c>
      <c r="AV66">
        <f t="shared" si="25"/>
        <v>80</v>
      </c>
      <c r="AW66">
        <f t="shared" si="26"/>
        <v>70</v>
      </c>
      <c r="AX66">
        <f t="shared" si="27"/>
        <v>67.5</v>
      </c>
    </row>
    <row r="67" spans="1:50" ht="15.6" x14ac:dyDescent="0.3">
      <c r="A67">
        <v>5</v>
      </c>
      <c r="B67" t="str">
        <f>INPUT!B67</f>
        <v>Ilagan, Camille</v>
      </c>
      <c r="F67">
        <v>19</v>
      </c>
      <c r="G67">
        <v>19</v>
      </c>
      <c r="H67">
        <v>20</v>
      </c>
      <c r="I67">
        <v>20</v>
      </c>
      <c r="J67">
        <v>20</v>
      </c>
      <c r="K67">
        <f t="shared" si="30"/>
        <v>98</v>
      </c>
      <c r="L67">
        <f t="shared" si="31"/>
        <v>98</v>
      </c>
      <c r="M67">
        <f t="shared" si="32"/>
        <v>19.600000000000001</v>
      </c>
      <c r="N67">
        <v>49</v>
      </c>
      <c r="O67">
        <v>50</v>
      </c>
      <c r="P67">
        <v>50</v>
      </c>
      <c r="Q67">
        <f t="shared" si="33"/>
        <v>149</v>
      </c>
      <c r="R67">
        <f t="shared" si="34"/>
        <v>99.33</v>
      </c>
      <c r="S67">
        <f t="shared" si="35"/>
        <v>49.67</v>
      </c>
      <c r="T67">
        <v>36</v>
      </c>
      <c r="U67">
        <v>35</v>
      </c>
      <c r="V67">
        <v>36</v>
      </c>
      <c r="W67">
        <f t="shared" si="36"/>
        <v>107</v>
      </c>
      <c r="X67">
        <f t="shared" si="37"/>
        <v>89.17</v>
      </c>
      <c r="Y67">
        <f t="shared" si="38"/>
        <v>26.75</v>
      </c>
      <c r="Z67">
        <f t="shared" si="39"/>
        <v>96.02</v>
      </c>
      <c r="AA67">
        <f t="shared" si="40"/>
        <v>98</v>
      </c>
      <c r="AB67" t="str">
        <f t="shared" si="41"/>
        <v>Advancing</v>
      </c>
      <c r="AV67">
        <f t="shared" si="25"/>
        <v>90</v>
      </c>
      <c r="AW67">
        <f t="shared" si="26"/>
        <v>87.5</v>
      </c>
      <c r="AX67">
        <f t="shared" si="27"/>
        <v>90</v>
      </c>
    </row>
    <row r="68" spans="1:50" ht="15.6" x14ac:dyDescent="0.3">
      <c r="A68">
        <v>6</v>
      </c>
      <c r="B68" t="str">
        <f>INPUT!B68</f>
        <v>Jimenez, Carla</v>
      </c>
      <c r="F68">
        <v>17</v>
      </c>
      <c r="G68">
        <v>18</v>
      </c>
      <c r="H68">
        <v>17</v>
      </c>
      <c r="I68">
        <v>17</v>
      </c>
      <c r="J68">
        <v>18</v>
      </c>
      <c r="K68">
        <f t="shared" si="30"/>
        <v>87</v>
      </c>
      <c r="L68">
        <f t="shared" si="31"/>
        <v>87</v>
      </c>
      <c r="M68">
        <f t="shared" si="32"/>
        <v>17.399999999999999</v>
      </c>
      <c r="N68">
        <v>47</v>
      </c>
      <c r="O68">
        <v>48</v>
      </c>
      <c r="P68">
        <v>43</v>
      </c>
      <c r="Q68">
        <f t="shared" si="33"/>
        <v>138</v>
      </c>
      <c r="R68">
        <f t="shared" si="34"/>
        <v>92</v>
      </c>
      <c r="S68">
        <f t="shared" si="35"/>
        <v>46</v>
      </c>
      <c r="T68">
        <v>36</v>
      </c>
      <c r="U68">
        <v>34</v>
      </c>
      <c r="V68">
        <v>34</v>
      </c>
      <c r="W68">
        <f t="shared" si="36"/>
        <v>104</v>
      </c>
      <c r="X68">
        <f t="shared" si="37"/>
        <v>86.67</v>
      </c>
      <c r="Y68">
        <f t="shared" si="38"/>
        <v>26</v>
      </c>
      <c r="Z68">
        <f t="shared" si="39"/>
        <v>89.4</v>
      </c>
      <c r="AA68">
        <f t="shared" si="40"/>
        <v>91</v>
      </c>
      <c r="AB68" t="str">
        <f t="shared" si="41"/>
        <v>Advancing</v>
      </c>
      <c r="AV68">
        <f t="shared" si="25"/>
        <v>90</v>
      </c>
      <c r="AW68">
        <f t="shared" si="26"/>
        <v>85</v>
      </c>
      <c r="AX68">
        <f t="shared" si="27"/>
        <v>85</v>
      </c>
    </row>
    <row r="69" spans="1:50" ht="15.6" x14ac:dyDescent="0.3">
      <c r="A69">
        <v>7</v>
      </c>
      <c r="B69" t="str">
        <f>INPUT!B69</f>
        <v>Lacson, Chloe</v>
      </c>
      <c r="F69">
        <v>17</v>
      </c>
      <c r="G69">
        <v>16</v>
      </c>
      <c r="H69">
        <v>15</v>
      </c>
      <c r="I69">
        <v>14</v>
      </c>
      <c r="J69">
        <v>15</v>
      </c>
      <c r="K69">
        <f t="shared" si="30"/>
        <v>77</v>
      </c>
      <c r="L69">
        <f t="shared" si="31"/>
        <v>77</v>
      </c>
      <c r="M69">
        <f t="shared" si="32"/>
        <v>15.4</v>
      </c>
      <c r="N69">
        <v>39</v>
      </c>
      <c r="O69">
        <v>41</v>
      </c>
      <c r="P69">
        <v>40</v>
      </c>
      <c r="Q69">
        <f t="shared" si="33"/>
        <v>120</v>
      </c>
      <c r="R69">
        <f t="shared" si="34"/>
        <v>80</v>
      </c>
      <c r="S69">
        <f t="shared" si="35"/>
        <v>40</v>
      </c>
      <c r="T69">
        <v>32</v>
      </c>
      <c r="U69">
        <v>31</v>
      </c>
      <c r="V69">
        <v>27</v>
      </c>
      <c r="W69">
        <f t="shared" si="36"/>
        <v>90</v>
      </c>
      <c r="X69">
        <f t="shared" si="37"/>
        <v>75</v>
      </c>
      <c r="Y69">
        <f t="shared" si="38"/>
        <v>22.5</v>
      </c>
      <c r="Z69">
        <f t="shared" si="39"/>
        <v>77.900000000000006</v>
      </c>
      <c r="AA69">
        <f t="shared" si="40"/>
        <v>79</v>
      </c>
      <c r="AB69" t="str">
        <f t="shared" si="41"/>
        <v>Connecting</v>
      </c>
      <c r="AV69">
        <f t="shared" si="25"/>
        <v>80</v>
      </c>
      <c r="AW69">
        <f t="shared" si="26"/>
        <v>77.5</v>
      </c>
      <c r="AX69">
        <f t="shared" si="27"/>
        <v>67.5</v>
      </c>
    </row>
    <row r="70" spans="1:50" ht="15.6" x14ac:dyDescent="0.3">
      <c r="A70">
        <v>8</v>
      </c>
      <c r="B70" t="str">
        <f>INPUT!B70</f>
        <v>Lim, Clarisse</v>
      </c>
      <c r="F70">
        <v>19</v>
      </c>
      <c r="G70">
        <v>20</v>
      </c>
      <c r="H70">
        <v>18</v>
      </c>
      <c r="I70">
        <v>19</v>
      </c>
      <c r="J70">
        <v>18</v>
      </c>
      <c r="K70">
        <f t="shared" si="30"/>
        <v>94</v>
      </c>
      <c r="L70">
        <f t="shared" si="31"/>
        <v>94</v>
      </c>
      <c r="M70">
        <f t="shared" si="32"/>
        <v>18.8</v>
      </c>
      <c r="N70">
        <v>45</v>
      </c>
      <c r="O70">
        <v>50</v>
      </c>
      <c r="P70">
        <v>49</v>
      </c>
      <c r="Q70">
        <f t="shared" si="33"/>
        <v>144</v>
      </c>
      <c r="R70">
        <f t="shared" si="34"/>
        <v>96</v>
      </c>
      <c r="S70">
        <f t="shared" si="35"/>
        <v>48</v>
      </c>
      <c r="T70">
        <v>36</v>
      </c>
      <c r="U70">
        <v>36</v>
      </c>
      <c r="V70">
        <v>34</v>
      </c>
      <c r="W70">
        <f t="shared" si="36"/>
        <v>106</v>
      </c>
      <c r="X70">
        <f t="shared" si="37"/>
        <v>88.33</v>
      </c>
      <c r="Y70">
        <f t="shared" si="38"/>
        <v>26.5</v>
      </c>
      <c r="Z70">
        <f t="shared" si="39"/>
        <v>93.3</v>
      </c>
      <c r="AA70">
        <f t="shared" si="40"/>
        <v>95</v>
      </c>
      <c r="AB70" t="str">
        <f t="shared" si="41"/>
        <v>Advancing</v>
      </c>
      <c r="AV70">
        <f t="shared" si="25"/>
        <v>90</v>
      </c>
      <c r="AW70">
        <f t="shared" si="26"/>
        <v>90</v>
      </c>
      <c r="AX70">
        <f t="shared" si="27"/>
        <v>85</v>
      </c>
    </row>
    <row r="71" spans="1:50" ht="15.6" x14ac:dyDescent="0.3">
      <c r="A71">
        <v>9</v>
      </c>
      <c r="B71" t="str">
        <f>INPUT!B71</f>
        <v>Manalo, Danica</v>
      </c>
      <c r="F71">
        <v>14</v>
      </c>
      <c r="G71">
        <v>13</v>
      </c>
      <c r="H71">
        <v>12</v>
      </c>
      <c r="I71">
        <v>13</v>
      </c>
      <c r="J71">
        <v>14</v>
      </c>
      <c r="K71">
        <f t="shared" si="30"/>
        <v>66</v>
      </c>
      <c r="L71">
        <f t="shared" si="31"/>
        <v>66</v>
      </c>
      <c r="M71">
        <f t="shared" si="32"/>
        <v>13.2</v>
      </c>
      <c r="N71">
        <v>35</v>
      </c>
      <c r="O71">
        <v>33</v>
      </c>
      <c r="P71">
        <v>35</v>
      </c>
      <c r="Q71">
        <f t="shared" si="33"/>
        <v>103</v>
      </c>
      <c r="R71">
        <f t="shared" si="34"/>
        <v>68.67</v>
      </c>
      <c r="S71">
        <f t="shared" si="35"/>
        <v>34.340000000000003</v>
      </c>
      <c r="T71">
        <v>26</v>
      </c>
      <c r="U71">
        <v>25</v>
      </c>
      <c r="V71">
        <v>24</v>
      </c>
      <c r="W71">
        <f t="shared" si="36"/>
        <v>75</v>
      </c>
      <c r="X71">
        <f t="shared" si="37"/>
        <v>62.5</v>
      </c>
      <c r="Y71">
        <f t="shared" si="38"/>
        <v>18.75</v>
      </c>
      <c r="Z71">
        <f t="shared" si="39"/>
        <v>66.290000000000006</v>
      </c>
      <c r="AA71">
        <f t="shared" si="40"/>
        <v>73</v>
      </c>
      <c r="AB71" t="str">
        <f t="shared" si="41"/>
        <v xml:space="preserve">Developing </v>
      </c>
      <c r="AV71">
        <f t="shared" si="25"/>
        <v>65</v>
      </c>
      <c r="AW71">
        <f t="shared" si="26"/>
        <v>62.5</v>
      </c>
      <c r="AX71">
        <f t="shared" si="27"/>
        <v>60</v>
      </c>
    </row>
    <row r="72" spans="1:50" ht="15.6" x14ac:dyDescent="0.3">
      <c r="A72">
        <v>10</v>
      </c>
      <c r="B72" t="str">
        <f>INPUT!B72</f>
        <v>Mendoza, Diana</v>
      </c>
      <c r="F72">
        <v>17</v>
      </c>
      <c r="G72">
        <v>19</v>
      </c>
      <c r="H72">
        <v>17</v>
      </c>
      <c r="I72">
        <v>17</v>
      </c>
      <c r="J72">
        <v>19</v>
      </c>
      <c r="K72">
        <f t="shared" si="30"/>
        <v>89</v>
      </c>
      <c r="L72">
        <f t="shared" si="31"/>
        <v>89</v>
      </c>
      <c r="M72">
        <f t="shared" si="32"/>
        <v>17.8</v>
      </c>
      <c r="N72">
        <v>48</v>
      </c>
      <c r="O72">
        <v>43</v>
      </c>
      <c r="P72">
        <v>48</v>
      </c>
      <c r="Q72">
        <f t="shared" si="33"/>
        <v>139</v>
      </c>
      <c r="R72">
        <f t="shared" si="34"/>
        <v>92.67</v>
      </c>
      <c r="S72">
        <f t="shared" si="35"/>
        <v>46.34</v>
      </c>
      <c r="T72">
        <v>35</v>
      </c>
      <c r="U72">
        <v>32</v>
      </c>
      <c r="V72">
        <v>37</v>
      </c>
      <c r="W72">
        <f t="shared" si="36"/>
        <v>104</v>
      </c>
      <c r="X72">
        <f t="shared" si="37"/>
        <v>86.67</v>
      </c>
      <c r="Y72">
        <f t="shared" si="38"/>
        <v>26</v>
      </c>
      <c r="Z72">
        <f t="shared" si="39"/>
        <v>90.14</v>
      </c>
      <c r="AA72">
        <f t="shared" si="40"/>
        <v>92</v>
      </c>
      <c r="AB72" t="str">
        <f t="shared" si="41"/>
        <v>Advancing</v>
      </c>
      <c r="AV72">
        <f t="shared" si="25"/>
        <v>87.5</v>
      </c>
      <c r="AW72">
        <f t="shared" si="26"/>
        <v>80</v>
      </c>
      <c r="AX72">
        <f t="shared" si="27"/>
        <v>92.5</v>
      </c>
    </row>
    <row r="73" spans="1:50" ht="15.6" x14ac:dyDescent="0.3">
      <c r="A73">
        <v>11</v>
      </c>
      <c r="B73" t="str">
        <f>INPUT!B73</f>
        <v>Navarro, Elena</v>
      </c>
      <c r="F73">
        <v>18</v>
      </c>
      <c r="G73">
        <v>17</v>
      </c>
      <c r="H73">
        <v>16</v>
      </c>
      <c r="I73">
        <v>16</v>
      </c>
      <c r="J73">
        <v>16</v>
      </c>
      <c r="K73">
        <f t="shared" si="30"/>
        <v>83</v>
      </c>
      <c r="L73">
        <f t="shared" si="31"/>
        <v>83</v>
      </c>
      <c r="M73">
        <f t="shared" si="32"/>
        <v>16.600000000000001</v>
      </c>
      <c r="N73">
        <v>43</v>
      </c>
      <c r="O73">
        <v>45</v>
      </c>
      <c r="P73">
        <v>41</v>
      </c>
      <c r="Q73">
        <f t="shared" si="33"/>
        <v>129</v>
      </c>
      <c r="R73">
        <f t="shared" si="34"/>
        <v>86</v>
      </c>
      <c r="S73">
        <f t="shared" si="35"/>
        <v>43</v>
      </c>
      <c r="T73">
        <v>31</v>
      </c>
      <c r="U73">
        <v>33</v>
      </c>
      <c r="V73">
        <v>34</v>
      </c>
      <c r="W73">
        <f t="shared" si="36"/>
        <v>98</v>
      </c>
      <c r="X73">
        <f t="shared" si="37"/>
        <v>81.67</v>
      </c>
      <c r="Y73">
        <f t="shared" si="38"/>
        <v>24.5</v>
      </c>
      <c r="Z73">
        <f t="shared" si="39"/>
        <v>84.1</v>
      </c>
      <c r="AA73">
        <f t="shared" si="40"/>
        <v>86</v>
      </c>
      <c r="AB73" t="str">
        <f t="shared" si="41"/>
        <v>Benchmarking</v>
      </c>
      <c r="AV73">
        <f t="shared" si="25"/>
        <v>77.5</v>
      </c>
      <c r="AW73">
        <f t="shared" si="26"/>
        <v>82.5</v>
      </c>
      <c r="AX73">
        <f t="shared" si="27"/>
        <v>85</v>
      </c>
    </row>
    <row r="74" spans="1:50" ht="15.6" x14ac:dyDescent="0.3">
      <c r="A74">
        <v>12</v>
      </c>
      <c r="B74" t="str">
        <f>INPUT!B74</f>
        <v>Ocampo, Ella</v>
      </c>
      <c r="F74">
        <v>15</v>
      </c>
      <c r="G74">
        <v>15</v>
      </c>
      <c r="H74">
        <v>16</v>
      </c>
      <c r="I74">
        <v>15</v>
      </c>
      <c r="J74">
        <v>17</v>
      </c>
      <c r="K74">
        <f t="shared" si="30"/>
        <v>78</v>
      </c>
      <c r="L74">
        <f t="shared" si="31"/>
        <v>78</v>
      </c>
      <c r="M74">
        <f t="shared" si="32"/>
        <v>15.6</v>
      </c>
      <c r="N74">
        <v>42</v>
      </c>
      <c r="O74">
        <v>39</v>
      </c>
      <c r="P74">
        <v>43</v>
      </c>
      <c r="Q74">
        <f t="shared" si="33"/>
        <v>124</v>
      </c>
      <c r="R74">
        <f t="shared" si="34"/>
        <v>82.67</v>
      </c>
      <c r="S74">
        <f t="shared" si="35"/>
        <v>41.34</v>
      </c>
      <c r="T74">
        <v>32</v>
      </c>
      <c r="U74">
        <v>31</v>
      </c>
      <c r="V74">
        <v>33</v>
      </c>
      <c r="W74">
        <f t="shared" si="36"/>
        <v>96</v>
      </c>
      <c r="X74">
        <f t="shared" si="37"/>
        <v>80</v>
      </c>
      <c r="Y74">
        <f t="shared" si="38"/>
        <v>24</v>
      </c>
      <c r="Z74">
        <f t="shared" si="39"/>
        <v>80.94</v>
      </c>
      <c r="AA74">
        <f t="shared" si="40"/>
        <v>82</v>
      </c>
      <c r="AB74" t="str">
        <f t="shared" si="41"/>
        <v>Benchmarking</v>
      </c>
      <c r="AV74">
        <f t="shared" si="25"/>
        <v>80</v>
      </c>
      <c r="AW74">
        <f t="shared" si="26"/>
        <v>77.5</v>
      </c>
      <c r="AX74">
        <f t="shared" si="27"/>
        <v>82.5</v>
      </c>
    </row>
    <row r="75" spans="1:50" ht="15.6" x14ac:dyDescent="0.3">
      <c r="A75">
        <v>13</v>
      </c>
      <c r="B75" t="str">
        <f>INPUT!B75</f>
        <v>Ortega, Erika</v>
      </c>
      <c r="F75">
        <v>17</v>
      </c>
      <c r="G75">
        <v>18</v>
      </c>
      <c r="H75">
        <v>16</v>
      </c>
      <c r="I75">
        <v>17</v>
      </c>
      <c r="J75">
        <v>16</v>
      </c>
      <c r="K75">
        <f t="shared" si="30"/>
        <v>84</v>
      </c>
      <c r="L75">
        <f t="shared" si="31"/>
        <v>84</v>
      </c>
      <c r="M75">
        <f t="shared" si="32"/>
        <v>16.8</v>
      </c>
      <c r="N75">
        <v>45</v>
      </c>
      <c r="O75">
        <v>47</v>
      </c>
      <c r="P75">
        <v>45</v>
      </c>
      <c r="Q75">
        <f t="shared" si="33"/>
        <v>137</v>
      </c>
      <c r="R75">
        <f t="shared" si="34"/>
        <v>91.33</v>
      </c>
      <c r="S75">
        <f t="shared" si="35"/>
        <v>45.67</v>
      </c>
      <c r="T75">
        <v>34</v>
      </c>
      <c r="U75">
        <v>35</v>
      </c>
      <c r="V75">
        <v>34</v>
      </c>
      <c r="W75">
        <f t="shared" si="36"/>
        <v>103</v>
      </c>
      <c r="X75">
        <f t="shared" si="37"/>
        <v>85.83</v>
      </c>
      <c r="Y75">
        <f t="shared" si="38"/>
        <v>25.75</v>
      </c>
      <c r="Z75">
        <f t="shared" si="39"/>
        <v>88.22</v>
      </c>
      <c r="AA75">
        <f t="shared" si="40"/>
        <v>90</v>
      </c>
      <c r="AB75" t="str">
        <f t="shared" si="41"/>
        <v>Advancing</v>
      </c>
      <c r="AV75">
        <f t="shared" si="25"/>
        <v>85</v>
      </c>
      <c r="AW75">
        <f t="shared" si="26"/>
        <v>87.5</v>
      </c>
      <c r="AX75">
        <f t="shared" si="27"/>
        <v>85</v>
      </c>
    </row>
    <row r="76" spans="1:50" ht="15.6" x14ac:dyDescent="0.3">
      <c r="A76">
        <v>14</v>
      </c>
      <c r="B76" t="str">
        <f>INPUT!B76</f>
        <v>Pascual, Faith</v>
      </c>
      <c r="F76">
        <v>17</v>
      </c>
      <c r="G76">
        <v>15</v>
      </c>
      <c r="H76">
        <v>18</v>
      </c>
      <c r="I76">
        <v>17</v>
      </c>
      <c r="J76">
        <v>15</v>
      </c>
      <c r="K76">
        <f t="shared" si="30"/>
        <v>82</v>
      </c>
      <c r="L76">
        <f t="shared" si="31"/>
        <v>82</v>
      </c>
      <c r="M76">
        <f t="shared" si="32"/>
        <v>16.399999999999999</v>
      </c>
      <c r="N76">
        <v>42</v>
      </c>
      <c r="O76">
        <v>44</v>
      </c>
      <c r="P76">
        <v>43</v>
      </c>
      <c r="Q76">
        <f t="shared" si="33"/>
        <v>129</v>
      </c>
      <c r="R76">
        <f t="shared" si="34"/>
        <v>86</v>
      </c>
      <c r="S76">
        <f t="shared" si="35"/>
        <v>43</v>
      </c>
      <c r="T76">
        <v>29</v>
      </c>
      <c r="U76">
        <v>31</v>
      </c>
      <c r="V76">
        <v>29</v>
      </c>
      <c r="W76">
        <f t="shared" si="36"/>
        <v>89</v>
      </c>
      <c r="X76">
        <f t="shared" si="37"/>
        <v>74.17</v>
      </c>
      <c r="Y76">
        <f t="shared" si="38"/>
        <v>22.25</v>
      </c>
      <c r="Z76">
        <f t="shared" si="39"/>
        <v>81.650000000000006</v>
      </c>
      <c r="AA76">
        <f t="shared" si="40"/>
        <v>83</v>
      </c>
      <c r="AB76" t="str">
        <f t="shared" si="41"/>
        <v>Benchmarking</v>
      </c>
      <c r="AV76">
        <f t="shared" ref="AV76:AV112" si="42">(T76/$T$10)*100</f>
        <v>72.5</v>
      </c>
      <c r="AW76">
        <f t="shared" ref="AW76:AW112" si="43">(U76/$U$10)*100</f>
        <v>77.5</v>
      </c>
      <c r="AX76">
        <f t="shared" ref="AX76:AX112" si="44">(V76/$V$10)*100</f>
        <v>72.5</v>
      </c>
    </row>
    <row r="77" spans="1:50" ht="15.6" x14ac:dyDescent="0.3">
      <c r="A77">
        <v>15</v>
      </c>
      <c r="B77" t="str">
        <f>INPUT!B77</f>
        <v>Quizon, Gabrielle</v>
      </c>
      <c r="F77">
        <v>17</v>
      </c>
      <c r="G77">
        <v>18</v>
      </c>
      <c r="H77">
        <v>17</v>
      </c>
      <c r="I77">
        <v>17</v>
      </c>
      <c r="J77">
        <v>18</v>
      </c>
      <c r="K77">
        <f t="shared" si="30"/>
        <v>87</v>
      </c>
      <c r="L77">
        <f t="shared" si="31"/>
        <v>87</v>
      </c>
      <c r="M77">
        <f t="shared" si="32"/>
        <v>17.399999999999999</v>
      </c>
      <c r="N77">
        <v>46</v>
      </c>
      <c r="O77">
        <v>44</v>
      </c>
      <c r="P77">
        <v>44</v>
      </c>
      <c r="Q77">
        <f t="shared" si="33"/>
        <v>134</v>
      </c>
      <c r="R77">
        <f t="shared" si="34"/>
        <v>89.33</v>
      </c>
      <c r="S77">
        <f t="shared" si="35"/>
        <v>44.67</v>
      </c>
      <c r="T77">
        <v>33</v>
      </c>
      <c r="U77">
        <v>34</v>
      </c>
      <c r="V77">
        <v>32</v>
      </c>
      <c r="W77">
        <f t="shared" si="36"/>
        <v>99</v>
      </c>
      <c r="X77">
        <f t="shared" si="37"/>
        <v>82.5</v>
      </c>
      <c r="Y77">
        <f t="shared" si="38"/>
        <v>24.75</v>
      </c>
      <c r="Z77">
        <f t="shared" si="39"/>
        <v>86.82</v>
      </c>
      <c r="AA77">
        <f t="shared" si="40"/>
        <v>88</v>
      </c>
      <c r="AB77" t="str">
        <f t="shared" si="41"/>
        <v>Benchmarking</v>
      </c>
      <c r="AV77">
        <f t="shared" si="42"/>
        <v>82.5</v>
      </c>
      <c r="AW77">
        <f t="shared" si="43"/>
        <v>85</v>
      </c>
      <c r="AX77">
        <f t="shared" si="44"/>
        <v>80</v>
      </c>
    </row>
    <row r="78" spans="1:50" ht="15.6" x14ac:dyDescent="0.3">
      <c r="A78">
        <v>16</v>
      </c>
      <c r="B78" t="str">
        <f>INPUT!B78</f>
        <v>Ramos, Hannah</v>
      </c>
      <c r="F78">
        <v>15</v>
      </c>
      <c r="G78">
        <v>17</v>
      </c>
      <c r="H78">
        <v>14</v>
      </c>
      <c r="I78">
        <v>16</v>
      </c>
      <c r="J78">
        <v>16</v>
      </c>
      <c r="K78">
        <f t="shared" si="30"/>
        <v>78</v>
      </c>
      <c r="L78">
        <f t="shared" si="31"/>
        <v>78</v>
      </c>
      <c r="M78">
        <f t="shared" si="32"/>
        <v>15.6</v>
      </c>
      <c r="N78">
        <v>41</v>
      </c>
      <c r="O78">
        <v>37</v>
      </c>
      <c r="P78">
        <v>37</v>
      </c>
      <c r="Q78">
        <f t="shared" si="33"/>
        <v>115</v>
      </c>
      <c r="R78">
        <f t="shared" si="34"/>
        <v>76.67</v>
      </c>
      <c r="S78">
        <f t="shared" si="35"/>
        <v>38.340000000000003</v>
      </c>
      <c r="T78">
        <v>28</v>
      </c>
      <c r="U78">
        <v>29</v>
      </c>
      <c r="V78">
        <v>28</v>
      </c>
      <c r="W78">
        <f t="shared" si="36"/>
        <v>85</v>
      </c>
      <c r="X78">
        <f t="shared" si="37"/>
        <v>70.83</v>
      </c>
      <c r="Y78">
        <f t="shared" si="38"/>
        <v>21.25</v>
      </c>
      <c r="Z78">
        <f t="shared" si="39"/>
        <v>75.19</v>
      </c>
      <c r="AA78">
        <f t="shared" si="40"/>
        <v>77</v>
      </c>
      <c r="AB78" t="str">
        <f t="shared" si="41"/>
        <v>Connecting</v>
      </c>
      <c r="AV78">
        <f t="shared" si="42"/>
        <v>70</v>
      </c>
      <c r="AW78">
        <f t="shared" si="43"/>
        <v>72.5</v>
      </c>
      <c r="AX78">
        <f t="shared" si="44"/>
        <v>70</v>
      </c>
    </row>
    <row r="79" spans="1:50" ht="15.6" x14ac:dyDescent="0.3">
      <c r="A79">
        <v>17</v>
      </c>
      <c r="B79" t="str">
        <f>INPUT!B79</f>
        <v>Reyes, Isabelle</v>
      </c>
      <c r="F79">
        <v>12</v>
      </c>
      <c r="G79">
        <v>13</v>
      </c>
      <c r="H79">
        <v>13</v>
      </c>
      <c r="I79">
        <v>14</v>
      </c>
      <c r="J79">
        <v>13</v>
      </c>
      <c r="K79">
        <f t="shared" si="30"/>
        <v>65</v>
      </c>
      <c r="L79">
        <f t="shared" si="31"/>
        <v>65</v>
      </c>
      <c r="M79">
        <f t="shared" si="32"/>
        <v>13</v>
      </c>
      <c r="N79">
        <v>37</v>
      </c>
      <c r="O79">
        <v>37</v>
      </c>
      <c r="P79">
        <v>35</v>
      </c>
      <c r="Q79">
        <f t="shared" si="33"/>
        <v>109</v>
      </c>
      <c r="R79">
        <f t="shared" si="34"/>
        <v>72.67</v>
      </c>
      <c r="S79">
        <f t="shared" si="35"/>
        <v>36.340000000000003</v>
      </c>
      <c r="T79">
        <v>27</v>
      </c>
      <c r="U79">
        <v>26</v>
      </c>
      <c r="V79">
        <v>23</v>
      </c>
      <c r="W79">
        <f t="shared" si="36"/>
        <v>76</v>
      </c>
      <c r="X79">
        <f t="shared" si="37"/>
        <v>63.33</v>
      </c>
      <c r="Y79">
        <f t="shared" si="38"/>
        <v>19</v>
      </c>
      <c r="Z79">
        <f t="shared" si="39"/>
        <v>68.34</v>
      </c>
      <c r="AA79">
        <f t="shared" si="40"/>
        <v>74</v>
      </c>
      <c r="AB79" t="str">
        <f t="shared" si="41"/>
        <v xml:space="preserve">Developing </v>
      </c>
      <c r="AV79">
        <f t="shared" si="42"/>
        <v>67.5</v>
      </c>
      <c r="AW79">
        <f t="shared" si="43"/>
        <v>65</v>
      </c>
      <c r="AX79">
        <f t="shared" si="44"/>
        <v>57.499999999999993</v>
      </c>
    </row>
    <row r="80" spans="1:50" ht="15.6" x14ac:dyDescent="0.3">
      <c r="A80">
        <v>18</v>
      </c>
      <c r="B80" t="str">
        <f>INPUT!B80</f>
        <v>Rivera, Jasmine</v>
      </c>
      <c r="F80">
        <v>17</v>
      </c>
      <c r="G80">
        <v>17</v>
      </c>
      <c r="H80">
        <v>18</v>
      </c>
      <c r="I80">
        <v>17</v>
      </c>
      <c r="J80">
        <v>18</v>
      </c>
      <c r="K80">
        <f t="shared" si="30"/>
        <v>87</v>
      </c>
      <c r="L80">
        <f t="shared" si="31"/>
        <v>87</v>
      </c>
      <c r="M80">
        <f t="shared" si="32"/>
        <v>17.399999999999999</v>
      </c>
      <c r="N80">
        <v>45</v>
      </c>
      <c r="O80">
        <v>48</v>
      </c>
      <c r="P80">
        <v>45</v>
      </c>
      <c r="Q80">
        <f t="shared" si="33"/>
        <v>138</v>
      </c>
      <c r="R80">
        <f t="shared" si="34"/>
        <v>92</v>
      </c>
      <c r="S80">
        <f t="shared" si="35"/>
        <v>46</v>
      </c>
      <c r="T80">
        <v>33</v>
      </c>
      <c r="U80">
        <v>36</v>
      </c>
      <c r="V80">
        <v>34</v>
      </c>
      <c r="W80">
        <f t="shared" si="36"/>
        <v>103</v>
      </c>
      <c r="X80">
        <f t="shared" si="37"/>
        <v>85.83</v>
      </c>
      <c r="Y80">
        <f t="shared" si="38"/>
        <v>25.75</v>
      </c>
      <c r="Z80">
        <f t="shared" si="39"/>
        <v>89.15</v>
      </c>
      <c r="AA80">
        <f t="shared" si="40"/>
        <v>91</v>
      </c>
      <c r="AB80" t="str">
        <f t="shared" si="41"/>
        <v>Advancing</v>
      </c>
      <c r="AV80">
        <f t="shared" si="42"/>
        <v>82.5</v>
      </c>
      <c r="AW80">
        <f t="shared" si="43"/>
        <v>90</v>
      </c>
      <c r="AX80">
        <f t="shared" si="44"/>
        <v>85</v>
      </c>
    </row>
    <row r="81" spans="1:50" ht="15.6" x14ac:dyDescent="0.3">
      <c r="A81">
        <v>19</v>
      </c>
      <c r="B81" t="str">
        <f>INPUT!B81</f>
        <v>Rosales, Jillian</v>
      </c>
      <c r="F81">
        <v>13</v>
      </c>
      <c r="G81">
        <v>14</v>
      </c>
      <c r="H81">
        <v>14</v>
      </c>
      <c r="I81">
        <v>14</v>
      </c>
      <c r="J81">
        <v>15</v>
      </c>
      <c r="K81">
        <f t="shared" si="30"/>
        <v>70</v>
      </c>
      <c r="L81">
        <f t="shared" si="31"/>
        <v>70</v>
      </c>
      <c r="M81">
        <f t="shared" si="32"/>
        <v>14</v>
      </c>
      <c r="N81">
        <v>39</v>
      </c>
      <c r="O81">
        <v>35</v>
      </c>
      <c r="P81">
        <v>39</v>
      </c>
      <c r="Q81">
        <f t="shared" si="33"/>
        <v>113</v>
      </c>
      <c r="R81">
        <f t="shared" si="34"/>
        <v>75.33</v>
      </c>
      <c r="S81">
        <f t="shared" si="35"/>
        <v>37.67</v>
      </c>
      <c r="T81">
        <v>29</v>
      </c>
      <c r="U81">
        <v>25</v>
      </c>
      <c r="V81">
        <v>25</v>
      </c>
      <c r="W81">
        <f t="shared" si="36"/>
        <v>79</v>
      </c>
      <c r="X81">
        <f t="shared" si="37"/>
        <v>65.83</v>
      </c>
      <c r="Y81">
        <f t="shared" si="38"/>
        <v>19.75</v>
      </c>
      <c r="Z81">
        <f t="shared" si="39"/>
        <v>71.42</v>
      </c>
      <c r="AA81">
        <f t="shared" si="40"/>
        <v>75</v>
      </c>
      <c r="AB81" t="str">
        <f t="shared" si="41"/>
        <v>Connecting</v>
      </c>
      <c r="AV81">
        <f t="shared" si="42"/>
        <v>72.5</v>
      </c>
      <c r="AW81">
        <f t="shared" si="43"/>
        <v>62.5</v>
      </c>
      <c r="AX81">
        <f t="shared" si="44"/>
        <v>62.5</v>
      </c>
    </row>
    <row r="82" spans="1:50" ht="15.6" x14ac:dyDescent="0.3">
      <c r="A82">
        <v>20</v>
      </c>
      <c r="B82" t="str">
        <f>INPUT!B82</f>
        <v>Salazar, Julia</v>
      </c>
      <c r="F82">
        <v>14</v>
      </c>
      <c r="G82">
        <v>15</v>
      </c>
      <c r="H82">
        <v>16</v>
      </c>
      <c r="I82">
        <v>16</v>
      </c>
      <c r="J82">
        <v>16</v>
      </c>
      <c r="K82">
        <f t="shared" si="30"/>
        <v>77</v>
      </c>
      <c r="L82">
        <f t="shared" si="31"/>
        <v>77</v>
      </c>
      <c r="M82">
        <f t="shared" si="32"/>
        <v>15.4</v>
      </c>
      <c r="N82">
        <v>41</v>
      </c>
      <c r="O82">
        <v>37</v>
      </c>
      <c r="P82">
        <v>40</v>
      </c>
      <c r="Q82">
        <f t="shared" si="33"/>
        <v>118</v>
      </c>
      <c r="R82">
        <f t="shared" si="34"/>
        <v>78.67</v>
      </c>
      <c r="S82">
        <f t="shared" si="35"/>
        <v>39.340000000000003</v>
      </c>
      <c r="T82">
        <v>28</v>
      </c>
      <c r="U82">
        <v>28</v>
      </c>
      <c r="V82">
        <v>29</v>
      </c>
      <c r="W82">
        <f t="shared" si="36"/>
        <v>85</v>
      </c>
      <c r="X82">
        <f t="shared" si="37"/>
        <v>70.83</v>
      </c>
      <c r="Y82">
        <f t="shared" si="38"/>
        <v>21.25</v>
      </c>
      <c r="Z82">
        <f t="shared" si="39"/>
        <v>75.989999999999995</v>
      </c>
      <c r="AA82">
        <f t="shared" si="40"/>
        <v>77</v>
      </c>
      <c r="AB82" t="str">
        <f t="shared" si="41"/>
        <v>Connecting</v>
      </c>
      <c r="AV82">
        <f t="shared" si="42"/>
        <v>70</v>
      </c>
      <c r="AW82">
        <f t="shared" si="43"/>
        <v>70</v>
      </c>
      <c r="AX82">
        <f t="shared" si="44"/>
        <v>72.5</v>
      </c>
    </row>
    <row r="83" spans="1:50" ht="15.6" x14ac:dyDescent="0.3">
      <c r="A83">
        <v>21</v>
      </c>
      <c r="B83" t="str">
        <f>INPUT!B83</f>
        <v>Santiago, Katrina</v>
      </c>
      <c r="F83">
        <v>16</v>
      </c>
      <c r="G83">
        <v>17</v>
      </c>
      <c r="H83">
        <v>16</v>
      </c>
      <c r="I83">
        <v>17</v>
      </c>
      <c r="J83">
        <v>18</v>
      </c>
      <c r="K83">
        <f t="shared" si="30"/>
        <v>84</v>
      </c>
      <c r="L83">
        <f t="shared" si="31"/>
        <v>84</v>
      </c>
      <c r="M83">
        <f t="shared" si="32"/>
        <v>16.8</v>
      </c>
      <c r="N83">
        <v>42</v>
      </c>
      <c r="O83">
        <v>41</v>
      </c>
      <c r="P83">
        <v>40</v>
      </c>
      <c r="Q83">
        <f t="shared" si="33"/>
        <v>123</v>
      </c>
      <c r="R83">
        <f t="shared" si="34"/>
        <v>82</v>
      </c>
      <c r="S83">
        <f t="shared" si="35"/>
        <v>41</v>
      </c>
      <c r="T83">
        <v>33</v>
      </c>
      <c r="U83">
        <v>30</v>
      </c>
      <c r="V83">
        <v>29</v>
      </c>
      <c r="W83">
        <f t="shared" si="36"/>
        <v>92</v>
      </c>
      <c r="X83">
        <f t="shared" si="37"/>
        <v>76.67</v>
      </c>
      <c r="Y83">
        <f t="shared" si="38"/>
        <v>23</v>
      </c>
      <c r="Z83">
        <f t="shared" si="39"/>
        <v>80.8</v>
      </c>
      <c r="AA83">
        <f t="shared" si="40"/>
        <v>82</v>
      </c>
      <c r="AB83" t="str">
        <f t="shared" si="41"/>
        <v>Benchmarking</v>
      </c>
      <c r="AV83">
        <f t="shared" si="42"/>
        <v>82.5</v>
      </c>
      <c r="AW83">
        <f t="shared" si="43"/>
        <v>75</v>
      </c>
      <c r="AX83">
        <f t="shared" si="44"/>
        <v>72.5</v>
      </c>
    </row>
    <row r="84" spans="1:50" ht="15.6" x14ac:dyDescent="0.3">
      <c r="A84">
        <v>22</v>
      </c>
      <c r="B84" t="str">
        <f>INPUT!B84</f>
        <v>Santos, Kayla</v>
      </c>
      <c r="F84">
        <v>15</v>
      </c>
      <c r="G84">
        <v>15</v>
      </c>
      <c r="H84">
        <v>15</v>
      </c>
      <c r="I84">
        <v>14</v>
      </c>
      <c r="J84">
        <v>15</v>
      </c>
      <c r="K84">
        <f t="shared" si="30"/>
        <v>74</v>
      </c>
      <c r="L84">
        <f t="shared" si="31"/>
        <v>74</v>
      </c>
      <c r="M84">
        <f t="shared" si="32"/>
        <v>14.8</v>
      </c>
      <c r="N84">
        <v>43</v>
      </c>
      <c r="O84">
        <v>40</v>
      </c>
      <c r="P84">
        <v>42</v>
      </c>
      <c r="Q84">
        <f t="shared" si="33"/>
        <v>125</v>
      </c>
      <c r="R84">
        <f t="shared" si="34"/>
        <v>83.33</v>
      </c>
      <c r="S84">
        <f t="shared" si="35"/>
        <v>41.67</v>
      </c>
      <c r="T84">
        <v>30</v>
      </c>
      <c r="U84">
        <v>31</v>
      </c>
      <c r="V84">
        <v>31</v>
      </c>
      <c r="W84">
        <f t="shared" si="36"/>
        <v>92</v>
      </c>
      <c r="X84">
        <f t="shared" si="37"/>
        <v>76.67</v>
      </c>
      <c r="Y84">
        <f t="shared" si="38"/>
        <v>23</v>
      </c>
      <c r="Z84">
        <f t="shared" si="39"/>
        <v>79.47</v>
      </c>
      <c r="AA84">
        <f t="shared" si="40"/>
        <v>81</v>
      </c>
      <c r="AB84" t="str">
        <f t="shared" si="41"/>
        <v>Benchmarking</v>
      </c>
      <c r="AV84">
        <f t="shared" si="42"/>
        <v>75</v>
      </c>
      <c r="AW84">
        <f t="shared" si="43"/>
        <v>77.5</v>
      </c>
      <c r="AX84">
        <f t="shared" si="44"/>
        <v>77.5</v>
      </c>
    </row>
    <row r="85" spans="1:50" ht="15.6" x14ac:dyDescent="0.3">
      <c r="A85">
        <v>23</v>
      </c>
      <c r="B85" t="str">
        <f>INPUT!B85</f>
        <v>Soriano, Kiana</v>
      </c>
      <c r="F85">
        <v>16</v>
      </c>
      <c r="G85">
        <v>17</v>
      </c>
      <c r="H85">
        <v>15</v>
      </c>
      <c r="I85">
        <v>15</v>
      </c>
      <c r="J85">
        <v>18</v>
      </c>
      <c r="K85">
        <f t="shared" si="30"/>
        <v>81</v>
      </c>
      <c r="L85">
        <f t="shared" si="31"/>
        <v>81</v>
      </c>
      <c r="M85">
        <f t="shared" si="32"/>
        <v>16.2</v>
      </c>
      <c r="N85">
        <v>43</v>
      </c>
      <c r="O85">
        <v>42</v>
      </c>
      <c r="P85">
        <v>40</v>
      </c>
      <c r="Q85">
        <f t="shared" si="33"/>
        <v>125</v>
      </c>
      <c r="R85">
        <f t="shared" si="34"/>
        <v>83.33</v>
      </c>
      <c r="S85">
        <f t="shared" si="35"/>
        <v>41.67</v>
      </c>
      <c r="T85">
        <v>32</v>
      </c>
      <c r="U85">
        <v>32</v>
      </c>
      <c r="V85">
        <v>32</v>
      </c>
      <c r="W85">
        <f t="shared" si="36"/>
        <v>96</v>
      </c>
      <c r="X85">
        <f t="shared" si="37"/>
        <v>80</v>
      </c>
      <c r="Y85">
        <f t="shared" si="38"/>
        <v>24</v>
      </c>
      <c r="Z85">
        <f t="shared" si="39"/>
        <v>81.87</v>
      </c>
      <c r="AA85">
        <f t="shared" si="40"/>
        <v>83</v>
      </c>
      <c r="AB85" t="str">
        <f t="shared" si="41"/>
        <v>Benchmarking</v>
      </c>
      <c r="AV85">
        <f t="shared" si="42"/>
        <v>80</v>
      </c>
      <c r="AW85">
        <f t="shared" si="43"/>
        <v>80</v>
      </c>
      <c r="AX85">
        <f t="shared" si="44"/>
        <v>80</v>
      </c>
    </row>
    <row r="86" spans="1:50" ht="15.6" x14ac:dyDescent="0.3">
      <c r="A86">
        <v>24</v>
      </c>
      <c r="B86" t="str">
        <f>INPUT!B86</f>
        <v>Torres, Leah</v>
      </c>
      <c r="F86">
        <v>19</v>
      </c>
      <c r="G86">
        <v>19</v>
      </c>
      <c r="H86">
        <v>17</v>
      </c>
      <c r="I86">
        <v>18</v>
      </c>
      <c r="J86">
        <v>18</v>
      </c>
      <c r="K86">
        <f t="shared" si="30"/>
        <v>91</v>
      </c>
      <c r="L86">
        <f t="shared" si="31"/>
        <v>91</v>
      </c>
      <c r="M86">
        <f t="shared" si="32"/>
        <v>18.2</v>
      </c>
      <c r="N86">
        <v>47</v>
      </c>
      <c r="O86">
        <v>49</v>
      </c>
      <c r="P86">
        <v>45</v>
      </c>
      <c r="Q86">
        <f t="shared" si="33"/>
        <v>141</v>
      </c>
      <c r="R86">
        <f t="shared" si="34"/>
        <v>94</v>
      </c>
      <c r="S86">
        <f t="shared" si="35"/>
        <v>47</v>
      </c>
      <c r="T86">
        <v>37</v>
      </c>
      <c r="U86">
        <v>35</v>
      </c>
      <c r="V86">
        <v>34</v>
      </c>
      <c r="W86">
        <f t="shared" si="36"/>
        <v>106</v>
      </c>
      <c r="X86">
        <f t="shared" si="37"/>
        <v>88.33</v>
      </c>
      <c r="Y86">
        <f t="shared" si="38"/>
        <v>26.5</v>
      </c>
      <c r="Z86">
        <f t="shared" si="39"/>
        <v>91.7</v>
      </c>
      <c r="AA86">
        <f t="shared" si="40"/>
        <v>93</v>
      </c>
      <c r="AB86" t="str">
        <f t="shared" si="41"/>
        <v>Advancing</v>
      </c>
      <c r="AV86">
        <f t="shared" si="42"/>
        <v>92.5</v>
      </c>
      <c r="AW86">
        <f t="shared" si="43"/>
        <v>87.5</v>
      </c>
      <c r="AX86">
        <f t="shared" si="44"/>
        <v>85</v>
      </c>
    </row>
    <row r="87" spans="1:50" ht="15.6" x14ac:dyDescent="0.3">
      <c r="A87">
        <v>25</v>
      </c>
      <c r="B87" t="str">
        <f>INPUT!B87</f>
        <v>Valdez, Liana</v>
      </c>
      <c r="F87">
        <v>15</v>
      </c>
      <c r="G87">
        <v>15</v>
      </c>
      <c r="H87">
        <v>16</v>
      </c>
      <c r="I87">
        <v>17</v>
      </c>
      <c r="J87">
        <v>16</v>
      </c>
      <c r="K87">
        <f t="shared" si="30"/>
        <v>79</v>
      </c>
      <c r="L87">
        <f t="shared" si="31"/>
        <v>79</v>
      </c>
      <c r="M87">
        <f t="shared" si="32"/>
        <v>15.8</v>
      </c>
      <c r="N87">
        <v>41</v>
      </c>
      <c r="O87">
        <v>40</v>
      </c>
      <c r="P87">
        <v>41</v>
      </c>
      <c r="Q87">
        <f t="shared" si="33"/>
        <v>122</v>
      </c>
      <c r="R87">
        <f t="shared" si="34"/>
        <v>81.33</v>
      </c>
      <c r="S87">
        <f t="shared" si="35"/>
        <v>40.67</v>
      </c>
      <c r="T87">
        <v>30</v>
      </c>
      <c r="U87">
        <v>31</v>
      </c>
      <c r="V87">
        <v>30</v>
      </c>
      <c r="W87">
        <f t="shared" si="36"/>
        <v>91</v>
      </c>
      <c r="X87">
        <f t="shared" si="37"/>
        <v>75.83</v>
      </c>
      <c r="Y87">
        <f t="shared" si="38"/>
        <v>22.75</v>
      </c>
      <c r="Z87">
        <f t="shared" si="39"/>
        <v>79.22</v>
      </c>
      <c r="AA87">
        <f t="shared" si="40"/>
        <v>81</v>
      </c>
      <c r="AB87" t="str">
        <f t="shared" si="41"/>
        <v>Benchmarking</v>
      </c>
      <c r="AV87">
        <f t="shared" si="42"/>
        <v>75</v>
      </c>
      <c r="AW87">
        <f t="shared" si="43"/>
        <v>77.5</v>
      </c>
      <c r="AX87">
        <f t="shared" si="44"/>
        <v>75</v>
      </c>
    </row>
    <row r="88" spans="1:50" ht="15.6" x14ac:dyDescent="0.3">
      <c r="A88">
        <v>26</v>
      </c>
      <c r="B88" t="str">
        <f>INPUT!B88</f>
        <v>Velasco, Lia</v>
      </c>
      <c r="F88">
        <v>19</v>
      </c>
      <c r="G88">
        <v>19</v>
      </c>
      <c r="H88">
        <v>18</v>
      </c>
      <c r="I88">
        <v>18</v>
      </c>
      <c r="J88">
        <v>19</v>
      </c>
      <c r="K88">
        <f t="shared" si="30"/>
        <v>93</v>
      </c>
      <c r="L88">
        <f t="shared" si="31"/>
        <v>93</v>
      </c>
      <c r="M88">
        <f t="shared" si="32"/>
        <v>18.600000000000001</v>
      </c>
      <c r="N88">
        <v>50</v>
      </c>
      <c r="O88">
        <v>44</v>
      </c>
      <c r="P88">
        <v>48</v>
      </c>
      <c r="Q88">
        <f t="shared" si="33"/>
        <v>142</v>
      </c>
      <c r="R88">
        <f t="shared" si="34"/>
        <v>94.67</v>
      </c>
      <c r="S88">
        <f t="shared" si="35"/>
        <v>47.34</v>
      </c>
      <c r="T88">
        <v>36</v>
      </c>
      <c r="U88">
        <v>36</v>
      </c>
      <c r="V88">
        <v>33</v>
      </c>
      <c r="W88">
        <f t="shared" si="36"/>
        <v>105</v>
      </c>
      <c r="X88">
        <f t="shared" si="37"/>
        <v>87.5</v>
      </c>
      <c r="Y88">
        <f t="shared" si="38"/>
        <v>26.25</v>
      </c>
      <c r="Z88">
        <f t="shared" si="39"/>
        <v>92.19</v>
      </c>
      <c r="AA88">
        <f t="shared" si="40"/>
        <v>94</v>
      </c>
      <c r="AB88" t="str">
        <f t="shared" si="41"/>
        <v>Advancing</v>
      </c>
      <c r="AV88">
        <f t="shared" si="42"/>
        <v>90</v>
      </c>
      <c r="AW88">
        <f t="shared" si="43"/>
        <v>90</v>
      </c>
      <c r="AX88">
        <f t="shared" si="44"/>
        <v>82.5</v>
      </c>
    </row>
    <row r="89" spans="1:50" ht="15.6" x14ac:dyDescent="0.3">
      <c r="A89">
        <v>27</v>
      </c>
      <c r="B89" t="str">
        <f>INPUT!B89</f>
        <v>Villanueva, Mara</v>
      </c>
      <c r="F89">
        <v>19</v>
      </c>
      <c r="G89">
        <v>19</v>
      </c>
      <c r="H89">
        <v>19</v>
      </c>
      <c r="I89">
        <v>17</v>
      </c>
      <c r="J89">
        <v>17</v>
      </c>
      <c r="K89">
        <f t="shared" si="30"/>
        <v>91</v>
      </c>
      <c r="L89">
        <f t="shared" si="31"/>
        <v>91</v>
      </c>
      <c r="M89">
        <f t="shared" si="32"/>
        <v>18.2</v>
      </c>
      <c r="N89">
        <v>44</v>
      </c>
      <c r="O89">
        <v>47</v>
      </c>
      <c r="P89">
        <v>46</v>
      </c>
      <c r="Q89">
        <f t="shared" si="33"/>
        <v>137</v>
      </c>
      <c r="R89">
        <f t="shared" si="34"/>
        <v>91.33</v>
      </c>
      <c r="S89">
        <f t="shared" si="35"/>
        <v>45.67</v>
      </c>
      <c r="T89">
        <v>33</v>
      </c>
      <c r="U89">
        <v>33</v>
      </c>
      <c r="V89">
        <v>32</v>
      </c>
      <c r="W89">
        <f t="shared" si="36"/>
        <v>98</v>
      </c>
      <c r="X89">
        <f t="shared" si="37"/>
        <v>81.67</v>
      </c>
      <c r="Y89">
        <f t="shared" si="38"/>
        <v>24.5</v>
      </c>
      <c r="Z89">
        <f t="shared" si="39"/>
        <v>88.37</v>
      </c>
      <c r="AA89">
        <f t="shared" si="40"/>
        <v>90</v>
      </c>
      <c r="AB89" t="str">
        <f t="shared" si="41"/>
        <v>Advancing</v>
      </c>
      <c r="AV89">
        <f t="shared" si="42"/>
        <v>82.5</v>
      </c>
      <c r="AW89">
        <f t="shared" si="43"/>
        <v>82.5</v>
      </c>
      <c r="AX89">
        <f t="shared" si="44"/>
        <v>80</v>
      </c>
    </row>
    <row r="90" spans="1:50" ht="15.6" x14ac:dyDescent="0.3">
      <c r="A90">
        <v>28</v>
      </c>
      <c r="B90" t="str">
        <f>INPUT!B90</f>
        <v>Yap, Maria</v>
      </c>
      <c r="F90">
        <v>17</v>
      </c>
      <c r="G90">
        <v>17</v>
      </c>
      <c r="H90">
        <v>16</v>
      </c>
      <c r="I90">
        <v>15</v>
      </c>
      <c r="J90">
        <v>15</v>
      </c>
      <c r="K90">
        <f t="shared" si="30"/>
        <v>80</v>
      </c>
      <c r="L90">
        <f t="shared" si="31"/>
        <v>80</v>
      </c>
      <c r="M90">
        <f t="shared" si="32"/>
        <v>16</v>
      </c>
      <c r="N90">
        <v>41</v>
      </c>
      <c r="O90">
        <v>40</v>
      </c>
      <c r="P90">
        <v>41</v>
      </c>
      <c r="Q90">
        <f t="shared" si="33"/>
        <v>122</v>
      </c>
      <c r="R90">
        <f t="shared" si="34"/>
        <v>81.33</v>
      </c>
      <c r="S90">
        <f t="shared" si="35"/>
        <v>40.67</v>
      </c>
      <c r="T90">
        <v>28</v>
      </c>
      <c r="U90">
        <v>33</v>
      </c>
      <c r="V90">
        <v>29</v>
      </c>
      <c r="W90">
        <f t="shared" si="36"/>
        <v>90</v>
      </c>
      <c r="X90">
        <f t="shared" si="37"/>
        <v>75</v>
      </c>
      <c r="Y90">
        <f t="shared" si="38"/>
        <v>22.5</v>
      </c>
      <c r="Z90">
        <f t="shared" si="39"/>
        <v>79.17</v>
      </c>
      <c r="AA90">
        <f t="shared" si="40"/>
        <v>81</v>
      </c>
      <c r="AB90" t="str">
        <f t="shared" si="41"/>
        <v>Benchmarking</v>
      </c>
      <c r="AV90">
        <f t="shared" si="42"/>
        <v>70</v>
      </c>
      <c r="AW90">
        <f t="shared" si="43"/>
        <v>82.5</v>
      </c>
      <c r="AX90">
        <f t="shared" si="44"/>
        <v>72.5</v>
      </c>
    </row>
    <row r="91" spans="1:50" ht="15.6" x14ac:dyDescent="0.3">
      <c r="A91">
        <v>29</v>
      </c>
      <c r="B91" t="str">
        <f>INPUT!B91</f>
        <v>Zamora, Mika</v>
      </c>
      <c r="F91">
        <v>15</v>
      </c>
      <c r="G91">
        <v>15</v>
      </c>
      <c r="H91">
        <v>17</v>
      </c>
      <c r="I91">
        <v>17</v>
      </c>
      <c r="J91">
        <v>15</v>
      </c>
      <c r="K91">
        <f t="shared" si="30"/>
        <v>79</v>
      </c>
      <c r="L91">
        <f t="shared" si="31"/>
        <v>79</v>
      </c>
      <c r="M91">
        <f t="shared" si="32"/>
        <v>15.8</v>
      </c>
      <c r="N91">
        <v>40</v>
      </c>
      <c r="O91">
        <v>44</v>
      </c>
      <c r="P91">
        <v>46</v>
      </c>
      <c r="Q91">
        <f t="shared" si="33"/>
        <v>130</v>
      </c>
      <c r="R91">
        <f t="shared" si="34"/>
        <v>86.67</v>
      </c>
      <c r="S91">
        <f t="shared" si="35"/>
        <v>43.34</v>
      </c>
      <c r="T91">
        <v>30</v>
      </c>
      <c r="U91">
        <v>30</v>
      </c>
      <c r="V91">
        <v>29</v>
      </c>
      <c r="W91">
        <f t="shared" si="36"/>
        <v>89</v>
      </c>
      <c r="X91">
        <f t="shared" si="37"/>
        <v>74.17</v>
      </c>
      <c r="Y91">
        <f t="shared" si="38"/>
        <v>22.25</v>
      </c>
      <c r="Z91">
        <f t="shared" si="39"/>
        <v>81.39</v>
      </c>
      <c r="AA91">
        <f t="shared" si="40"/>
        <v>83</v>
      </c>
      <c r="AB91" t="str">
        <f t="shared" si="41"/>
        <v>Benchmarking</v>
      </c>
      <c r="AV91">
        <f t="shared" si="42"/>
        <v>75</v>
      </c>
      <c r="AW91">
        <f t="shared" si="43"/>
        <v>75</v>
      </c>
      <c r="AX91">
        <f t="shared" si="44"/>
        <v>72.5</v>
      </c>
    </row>
    <row r="92" spans="1:50" ht="15.6" x14ac:dyDescent="0.3">
      <c r="A92">
        <v>30</v>
      </c>
      <c r="B92" t="str">
        <f>INPUT!B92</f>
        <v>Zuniga, Nicole</v>
      </c>
      <c r="F92">
        <v>18</v>
      </c>
      <c r="G92">
        <v>17</v>
      </c>
      <c r="H92">
        <v>19</v>
      </c>
      <c r="I92">
        <v>17</v>
      </c>
      <c r="J92">
        <v>19</v>
      </c>
      <c r="K92">
        <f t="shared" si="30"/>
        <v>90</v>
      </c>
      <c r="L92">
        <f t="shared" si="31"/>
        <v>90</v>
      </c>
      <c r="M92">
        <f t="shared" si="32"/>
        <v>18</v>
      </c>
      <c r="N92">
        <v>44</v>
      </c>
      <c r="O92">
        <v>42</v>
      </c>
      <c r="P92">
        <v>47</v>
      </c>
      <c r="Q92">
        <f t="shared" si="33"/>
        <v>133</v>
      </c>
      <c r="R92">
        <f t="shared" si="34"/>
        <v>88.67</v>
      </c>
      <c r="S92">
        <f t="shared" si="35"/>
        <v>44.34</v>
      </c>
      <c r="T92">
        <v>36</v>
      </c>
      <c r="U92">
        <v>31</v>
      </c>
      <c r="V92">
        <v>32</v>
      </c>
      <c r="W92">
        <f t="shared" si="36"/>
        <v>99</v>
      </c>
      <c r="X92">
        <f t="shared" si="37"/>
        <v>82.5</v>
      </c>
      <c r="Y92">
        <f t="shared" si="38"/>
        <v>24.75</v>
      </c>
      <c r="Z92">
        <f t="shared" si="39"/>
        <v>87.09</v>
      </c>
      <c r="AA92">
        <f t="shared" si="40"/>
        <v>89</v>
      </c>
      <c r="AB92" t="str">
        <f t="shared" si="41"/>
        <v>Benchmarking</v>
      </c>
      <c r="AV92">
        <f t="shared" si="42"/>
        <v>90</v>
      </c>
      <c r="AW92">
        <f t="shared" si="43"/>
        <v>77.5</v>
      </c>
      <c r="AX92">
        <f t="shared" si="44"/>
        <v>80</v>
      </c>
    </row>
    <row r="93" spans="1:50" ht="15.6" x14ac:dyDescent="0.3">
      <c r="A93">
        <v>31</v>
      </c>
      <c r="B93" t="str">
        <f>INPUT!B93</f>
        <v>Abad, Patricia</v>
      </c>
      <c r="F93">
        <v>16</v>
      </c>
      <c r="G93">
        <v>19</v>
      </c>
      <c r="H93">
        <v>18</v>
      </c>
      <c r="I93">
        <v>19</v>
      </c>
      <c r="J93">
        <v>17</v>
      </c>
      <c r="K93">
        <f t="shared" si="30"/>
        <v>89</v>
      </c>
      <c r="L93">
        <f t="shared" si="31"/>
        <v>89</v>
      </c>
      <c r="M93">
        <f t="shared" si="32"/>
        <v>17.8</v>
      </c>
      <c r="N93">
        <v>42</v>
      </c>
      <c r="O93">
        <v>41</v>
      </c>
      <c r="P93">
        <v>45</v>
      </c>
      <c r="Q93">
        <f t="shared" si="33"/>
        <v>128</v>
      </c>
      <c r="R93">
        <f t="shared" si="34"/>
        <v>85.33</v>
      </c>
      <c r="S93">
        <f t="shared" si="35"/>
        <v>42.67</v>
      </c>
      <c r="T93">
        <v>33</v>
      </c>
      <c r="U93">
        <v>35</v>
      </c>
      <c r="V93">
        <v>32</v>
      </c>
      <c r="W93">
        <f t="shared" si="36"/>
        <v>100</v>
      </c>
      <c r="X93">
        <f t="shared" si="37"/>
        <v>83.33</v>
      </c>
      <c r="Y93">
        <f t="shared" si="38"/>
        <v>25</v>
      </c>
      <c r="Z93">
        <f t="shared" si="39"/>
        <v>85.47</v>
      </c>
      <c r="AA93">
        <f t="shared" si="40"/>
        <v>87</v>
      </c>
      <c r="AB93" t="str">
        <f t="shared" si="41"/>
        <v>Benchmarking</v>
      </c>
      <c r="AV93">
        <f t="shared" si="42"/>
        <v>82.5</v>
      </c>
      <c r="AW93">
        <f t="shared" si="43"/>
        <v>87.5</v>
      </c>
      <c r="AX93">
        <f t="shared" si="44"/>
        <v>80</v>
      </c>
    </row>
    <row r="94" spans="1:50" ht="15.6" x14ac:dyDescent="0.3">
      <c r="A94">
        <v>32</v>
      </c>
      <c r="B94" t="str">
        <f>INPUT!B94</f>
        <v>Agustin, Rachel</v>
      </c>
      <c r="F94">
        <v>19</v>
      </c>
      <c r="G94">
        <v>18</v>
      </c>
      <c r="H94">
        <v>18</v>
      </c>
      <c r="I94">
        <v>19</v>
      </c>
      <c r="J94">
        <v>19</v>
      </c>
      <c r="K94">
        <f t="shared" si="30"/>
        <v>93</v>
      </c>
      <c r="L94">
        <f t="shared" si="31"/>
        <v>93</v>
      </c>
      <c r="M94">
        <f t="shared" si="32"/>
        <v>18.600000000000001</v>
      </c>
      <c r="N94">
        <v>50</v>
      </c>
      <c r="O94">
        <v>50</v>
      </c>
      <c r="P94">
        <v>50</v>
      </c>
      <c r="Q94">
        <f t="shared" si="33"/>
        <v>150</v>
      </c>
      <c r="R94">
        <f t="shared" si="34"/>
        <v>100</v>
      </c>
      <c r="S94">
        <f t="shared" si="35"/>
        <v>50</v>
      </c>
      <c r="T94">
        <v>36</v>
      </c>
      <c r="U94">
        <v>37</v>
      </c>
      <c r="V94">
        <v>33</v>
      </c>
      <c r="W94">
        <f t="shared" si="36"/>
        <v>106</v>
      </c>
      <c r="X94">
        <f t="shared" si="37"/>
        <v>88.33</v>
      </c>
      <c r="Y94">
        <f t="shared" si="38"/>
        <v>26.5</v>
      </c>
      <c r="Z94">
        <f t="shared" si="39"/>
        <v>95.1</v>
      </c>
      <c r="AA94">
        <f t="shared" si="40"/>
        <v>97</v>
      </c>
      <c r="AB94" t="str">
        <f t="shared" si="41"/>
        <v>Advancing</v>
      </c>
      <c r="AV94">
        <f t="shared" si="42"/>
        <v>90</v>
      </c>
      <c r="AW94">
        <f t="shared" si="43"/>
        <v>92.5</v>
      </c>
      <c r="AX94">
        <f t="shared" si="44"/>
        <v>82.5</v>
      </c>
    </row>
    <row r="95" spans="1:50" ht="15.6" x14ac:dyDescent="0.3">
      <c r="A95">
        <v>33</v>
      </c>
      <c r="B95" t="str">
        <f>INPUT!B95</f>
        <v>Alvarez, Rebecca</v>
      </c>
      <c r="F95">
        <v>18</v>
      </c>
      <c r="G95">
        <v>18</v>
      </c>
      <c r="H95">
        <v>17</v>
      </c>
      <c r="I95">
        <v>16</v>
      </c>
      <c r="J95">
        <v>17</v>
      </c>
      <c r="K95">
        <f t="shared" ref="K95:K112" si="45">IF(COUNT($F95:$J95)=0,"",SUM($F95:$J95))</f>
        <v>86</v>
      </c>
      <c r="L95">
        <f t="shared" ref="L95:L112" si="46">IF(ISERROR(IF($K95="","",ROUND(($K95/$K$10)*$L$10,2))),"",IF($K95="","",ROUND(($K95/$K$10)*$L$10,2)))</f>
        <v>86</v>
      </c>
      <c r="M95">
        <f t="shared" ref="M95:M112" si="47">IF($L95="","",ROUND($L95*$M$10,2))</f>
        <v>17.2</v>
      </c>
      <c r="N95">
        <v>48</v>
      </c>
      <c r="O95">
        <v>43</v>
      </c>
      <c r="P95">
        <v>41</v>
      </c>
      <c r="Q95">
        <f t="shared" ref="Q95:Q112" si="48">IF(COUNT($N95:$P95)=0,"",SUM($N95:$P95))</f>
        <v>132</v>
      </c>
      <c r="R95">
        <f t="shared" ref="R95:R112" si="49">IF(ISERROR(IF($Q95="","",ROUND(($Q95/$Q$10)*$R$10,2))),"",IF($Q95="","",ROUND(($Q95/$Q$10)*$R$10,2)))</f>
        <v>88</v>
      </c>
      <c r="S95">
        <f t="shared" ref="S95:S112" si="50">IF($R95="","",ROUND($R95*$S$10,2))</f>
        <v>44</v>
      </c>
      <c r="T95">
        <v>32</v>
      </c>
      <c r="U95">
        <v>31</v>
      </c>
      <c r="V95">
        <v>31</v>
      </c>
      <c r="W95">
        <f t="shared" ref="W95:W112" si="51">IF(COUNT($T95:$V95)=0,"",SUM($T95:$V95))</f>
        <v>94</v>
      </c>
      <c r="X95">
        <f t="shared" ref="X95:X112" si="52">IF(ISERROR(IF($W95="","",ROUND(($W95/$W$10)*$X$10,2))),"",IF($W95="","",ROUND(($W95/$W$10)*$X$10,2)))</f>
        <v>78.33</v>
      </c>
      <c r="Y95">
        <f t="shared" ref="Y95:Y112" si="53">IF($X95="","",ROUND($X95*$Y$10,2))</f>
        <v>23.5</v>
      </c>
      <c r="Z95">
        <f t="shared" ref="Z95:Z112" si="54">IF(ISERROR(IF($V95="","",ROUND(SUM($M95,$S95,$Y95),2))),"",IF($V95="","",ROUND(SUM($M95,$S95,$Y95),2)))</f>
        <v>84.7</v>
      </c>
      <c r="AA95">
        <f t="shared" ref="AA95:AA126" si="55">IF(ISERROR(IF($V95="","",VLOOKUP(Z95,NewTransmu,4,TRUE))),"",IF($V95="","",VLOOKUP(Z95,NewTransmu,4,TRUE)))</f>
        <v>86</v>
      </c>
      <c r="AB95" t="str">
        <f t="shared" ref="AB95:AB126" si="56">IF(ISERROR(IF(AA95="","",VLOOKUP(AA95,DESCRIPTORS,4,TRUE))),"",IF(AA95="","",VLOOKUP(AA95,DESCRIPTORS,4,TRUE)))</f>
        <v>Benchmarking</v>
      </c>
      <c r="AV95">
        <f t="shared" si="42"/>
        <v>80</v>
      </c>
      <c r="AW95">
        <f t="shared" si="43"/>
        <v>77.5</v>
      </c>
      <c r="AX95">
        <f t="shared" si="44"/>
        <v>77.5</v>
      </c>
    </row>
    <row r="96" spans="1:50" ht="15.6" x14ac:dyDescent="0.3">
      <c r="A96">
        <v>34</v>
      </c>
      <c r="B96" t="str">
        <f>INPUT!B96</f>
        <v>Aquino, Rhea</v>
      </c>
      <c r="F96">
        <v>16</v>
      </c>
      <c r="G96">
        <v>16</v>
      </c>
      <c r="H96">
        <v>15</v>
      </c>
      <c r="I96">
        <v>16</v>
      </c>
      <c r="J96">
        <v>15</v>
      </c>
      <c r="K96">
        <f t="shared" si="45"/>
        <v>78</v>
      </c>
      <c r="L96">
        <f t="shared" si="46"/>
        <v>78</v>
      </c>
      <c r="M96">
        <f t="shared" si="47"/>
        <v>15.6</v>
      </c>
      <c r="N96">
        <v>38</v>
      </c>
      <c r="O96">
        <v>44</v>
      </c>
      <c r="P96">
        <v>41</v>
      </c>
      <c r="Q96">
        <f t="shared" si="48"/>
        <v>123</v>
      </c>
      <c r="R96">
        <f t="shared" si="49"/>
        <v>82</v>
      </c>
      <c r="S96">
        <f t="shared" si="50"/>
        <v>41</v>
      </c>
      <c r="T96">
        <v>30</v>
      </c>
      <c r="U96">
        <v>32</v>
      </c>
      <c r="V96">
        <v>29</v>
      </c>
      <c r="W96">
        <f t="shared" si="51"/>
        <v>91</v>
      </c>
      <c r="X96">
        <f t="shared" si="52"/>
        <v>75.83</v>
      </c>
      <c r="Y96">
        <f t="shared" si="53"/>
        <v>22.75</v>
      </c>
      <c r="Z96">
        <f t="shared" si="54"/>
        <v>79.349999999999994</v>
      </c>
      <c r="AA96">
        <f t="shared" si="55"/>
        <v>81</v>
      </c>
      <c r="AB96" t="str">
        <f t="shared" si="56"/>
        <v>Benchmarking</v>
      </c>
      <c r="AV96">
        <f t="shared" si="42"/>
        <v>75</v>
      </c>
      <c r="AW96">
        <f t="shared" si="43"/>
        <v>80</v>
      </c>
      <c r="AX96">
        <f t="shared" si="44"/>
        <v>72.5</v>
      </c>
    </row>
    <row r="97" spans="1:50" ht="15.6" x14ac:dyDescent="0.3">
      <c r="A97">
        <v>35</v>
      </c>
      <c r="B97" t="str">
        <f>INPUT!B97</f>
        <v>Arceo, Samantha</v>
      </c>
      <c r="F97">
        <v>18</v>
      </c>
      <c r="G97">
        <v>20</v>
      </c>
      <c r="H97">
        <v>19</v>
      </c>
      <c r="I97">
        <v>19</v>
      </c>
      <c r="J97">
        <v>19</v>
      </c>
      <c r="K97">
        <f t="shared" si="45"/>
        <v>95</v>
      </c>
      <c r="L97">
        <f t="shared" si="46"/>
        <v>95</v>
      </c>
      <c r="M97">
        <f t="shared" si="47"/>
        <v>19</v>
      </c>
      <c r="N97">
        <v>50</v>
      </c>
      <c r="O97">
        <v>50</v>
      </c>
      <c r="P97">
        <v>49</v>
      </c>
      <c r="Q97">
        <f t="shared" si="48"/>
        <v>149</v>
      </c>
      <c r="R97">
        <f t="shared" si="49"/>
        <v>99.33</v>
      </c>
      <c r="S97">
        <f t="shared" si="50"/>
        <v>49.67</v>
      </c>
      <c r="T97">
        <v>35</v>
      </c>
      <c r="U97">
        <v>33</v>
      </c>
      <c r="V97">
        <v>35</v>
      </c>
      <c r="W97">
        <f t="shared" si="51"/>
        <v>103</v>
      </c>
      <c r="X97">
        <f t="shared" si="52"/>
        <v>85.83</v>
      </c>
      <c r="Y97">
        <f t="shared" si="53"/>
        <v>25.75</v>
      </c>
      <c r="Z97">
        <f t="shared" si="54"/>
        <v>94.42</v>
      </c>
      <c r="AA97">
        <f t="shared" si="55"/>
        <v>96</v>
      </c>
      <c r="AB97" t="str">
        <f t="shared" si="56"/>
        <v>Advancing</v>
      </c>
      <c r="AV97">
        <f t="shared" si="42"/>
        <v>87.5</v>
      </c>
      <c r="AW97">
        <f t="shared" si="43"/>
        <v>82.5</v>
      </c>
      <c r="AX97">
        <f t="shared" si="44"/>
        <v>87.5</v>
      </c>
    </row>
    <row r="98" spans="1:50" ht="15.6" x14ac:dyDescent="0.3">
      <c r="A98">
        <v>36</v>
      </c>
      <c r="B98" t="str">
        <f>INPUT!B98</f>
        <v>Arellano, Sofia</v>
      </c>
      <c r="F98">
        <v>9</v>
      </c>
      <c r="G98">
        <v>10</v>
      </c>
      <c r="H98">
        <v>11</v>
      </c>
      <c r="I98">
        <v>10</v>
      </c>
      <c r="J98">
        <v>9</v>
      </c>
      <c r="K98">
        <f t="shared" si="45"/>
        <v>49</v>
      </c>
      <c r="L98">
        <f t="shared" si="46"/>
        <v>49</v>
      </c>
      <c r="M98">
        <f t="shared" si="47"/>
        <v>9.8000000000000007</v>
      </c>
      <c r="N98">
        <v>30</v>
      </c>
      <c r="O98">
        <v>29</v>
      </c>
      <c r="P98">
        <v>28</v>
      </c>
      <c r="Q98">
        <f t="shared" si="48"/>
        <v>87</v>
      </c>
      <c r="R98">
        <f t="shared" si="49"/>
        <v>58</v>
      </c>
      <c r="S98">
        <f t="shared" si="50"/>
        <v>29</v>
      </c>
      <c r="T98">
        <v>21</v>
      </c>
      <c r="U98">
        <v>19</v>
      </c>
      <c r="V98">
        <v>20</v>
      </c>
      <c r="W98">
        <f t="shared" si="51"/>
        <v>60</v>
      </c>
      <c r="X98">
        <f t="shared" si="52"/>
        <v>50</v>
      </c>
      <c r="Y98">
        <f t="shared" si="53"/>
        <v>15</v>
      </c>
      <c r="Z98">
        <f t="shared" si="54"/>
        <v>53.8</v>
      </c>
      <c r="AA98">
        <f t="shared" si="55"/>
        <v>66</v>
      </c>
      <c r="AB98" t="str">
        <f t="shared" si="56"/>
        <v xml:space="preserve">Developing </v>
      </c>
      <c r="AV98">
        <f t="shared" si="42"/>
        <v>52.5</v>
      </c>
      <c r="AW98">
        <f t="shared" si="43"/>
        <v>47.5</v>
      </c>
      <c r="AX98">
        <f t="shared" si="44"/>
        <v>50</v>
      </c>
    </row>
    <row r="99" spans="1:50" ht="15.6" x14ac:dyDescent="0.3">
      <c r="A99">
        <v>37</v>
      </c>
      <c r="B99" t="str">
        <f>INPUT!B99</f>
        <v>Barrera, Sophia</v>
      </c>
      <c r="F99">
        <v>15</v>
      </c>
      <c r="G99">
        <v>16</v>
      </c>
      <c r="H99">
        <v>15</v>
      </c>
      <c r="I99">
        <v>15</v>
      </c>
      <c r="J99">
        <v>17</v>
      </c>
      <c r="K99">
        <f t="shared" si="45"/>
        <v>78</v>
      </c>
      <c r="L99">
        <f t="shared" si="46"/>
        <v>78</v>
      </c>
      <c r="M99">
        <f t="shared" si="47"/>
        <v>15.6</v>
      </c>
      <c r="N99">
        <v>41</v>
      </c>
      <c r="O99">
        <v>45</v>
      </c>
      <c r="P99">
        <v>43</v>
      </c>
      <c r="Q99">
        <f t="shared" si="48"/>
        <v>129</v>
      </c>
      <c r="R99">
        <f t="shared" si="49"/>
        <v>86</v>
      </c>
      <c r="S99">
        <f t="shared" si="50"/>
        <v>43</v>
      </c>
      <c r="T99">
        <v>31</v>
      </c>
      <c r="U99">
        <v>30</v>
      </c>
      <c r="V99">
        <v>29</v>
      </c>
      <c r="W99">
        <f t="shared" si="51"/>
        <v>90</v>
      </c>
      <c r="X99">
        <f t="shared" si="52"/>
        <v>75</v>
      </c>
      <c r="Y99">
        <f t="shared" si="53"/>
        <v>22.5</v>
      </c>
      <c r="Z99">
        <f t="shared" si="54"/>
        <v>81.099999999999994</v>
      </c>
      <c r="AA99">
        <f t="shared" si="55"/>
        <v>83</v>
      </c>
      <c r="AB99" t="str">
        <f t="shared" si="56"/>
        <v>Benchmarking</v>
      </c>
      <c r="AV99">
        <f t="shared" si="42"/>
        <v>77.5</v>
      </c>
      <c r="AW99">
        <f t="shared" si="43"/>
        <v>75</v>
      </c>
      <c r="AX99">
        <f t="shared" si="44"/>
        <v>72.5</v>
      </c>
    </row>
    <row r="100" spans="1:50" ht="15.6" x14ac:dyDescent="0.3">
      <c r="A100">
        <v>38</v>
      </c>
      <c r="B100" t="str">
        <f>INPUT!B100</f>
        <v>Cabral, Therese</v>
      </c>
      <c r="F100">
        <v>17</v>
      </c>
      <c r="G100">
        <v>16</v>
      </c>
      <c r="H100">
        <v>16</v>
      </c>
      <c r="I100">
        <v>18</v>
      </c>
      <c r="J100">
        <v>18</v>
      </c>
      <c r="K100">
        <f t="shared" si="45"/>
        <v>85</v>
      </c>
      <c r="L100">
        <f t="shared" si="46"/>
        <v>85</v>
      </c>
      <c r="M100">
        <f t="shared" si="47"/>
        <v>17</v>
      </c>
      <c r="N100">
        <v>41</v>
      </c>
      <c r="O100">
        <v>43</v>
      </c>
      <c r="P100">
        <v>47</v>
      </c>
      <c r="Q100">
        <f t="shared" si="48"/>
        <v>131</v>
      </c>
      <c r="R100">
        <f t="shared" si="49"/>
        <v>87.33</v>
      </c>
      <c r="S100">
        <f t="shared" si="50"/>
        <v>43.67</v>
      </c>
      <c r="T100">
        <v>32</v>
      </c>
      <c r="U100">
        <v>35</v>
      </c>
      <c r="V100">
        <v>35</v>
      </c>
      <c r="W100">
        <f t="shared" si="51"/>
        <v>102</v>
      </c>
      <c r="X100">
        <f t="shared" si="52"/>
        <v>85</v>
      </c>
      <c r="Y100">
        <f t="shared" si="53"/>
        <v>25.5</v>
      </c>
      <c r="Z100">
        <f t="shared" si="54"/>
        <v>86.17</v>
      </c>
      <c r="AA100">
        <f t="shared" si="55"/>
        <v>88</v>
      </c>
      <c r="AB100" t="str">
        <f t="shared" si="56"/>
        <v>Benchmarking</v>
      </c>
      <c r="AV100">
        <f t="shared" si="42"/>
        <v>80</v>
      </c>
      <c r="AW100">
        <f t="shared" si="43"/>
        <v>87.5</v>
      </c>
      <c r="AX100">
        <f t="shared" si="44"/>
        <v>87.5</v>
      </c>
    </row>
    <row r="101" spans="1:50" ht="15.6" x14ac:dyDescent="0.3">
      <c r="A101">
        <v>39</v>
      </c>
      <c r="B101" t="str">
        <f>INPUT!B101</f>
        <v>David, Trisha</v>
      </c>
      <c r="F101">
        <v>19</v>
      </c>
      <c r="G101">
        <v>19</v>
      </c>
      <c r="H101">
        <v>20</v>
      </c>
      <c r="I101">
        <v>18</v>
      </c>
      <c r="J101">
        <v>18</v>
      </c>
      <c r="K101">
        <f t="shared" si="45"/>
        <v>94</v>
      </c>
      <c r="L101">
        <f t="shared" si="46"/>
        <v>94</v>
      </c>
      <c r="M101">
        <f t="shared" si="47"/>
        <v>18.8</v>
      </c>
      <c r="N101">
        <v>45</v>
      </c>
      <c r="O101">
        <v>47</v>
      </c>
      <c r="P101">
        <v>47</v>
      </c>
      <c r="Q101">
        <f t="shared" si="48"/>
        <v>139</v>
      </c>
      <c r="R101">
        <f t="shared" si="49"/>
        <v>92.67</v>
      </c>
      <c r="S101">
        <f t="shared" si="50"/>
        <v>46.34</v>
      </c>
      <c r="T101">
        <v>35</v>
      </c>
      <c r="U101">
        <v>37</v>
      </c>
      <c r="V101">
        <v>33</v>
      </c>
      <c r="W101">
        <f t="shared" si="51"/>
        <v>105</v>
      </c>
      <c r="X101">
        <f t="shared" si="52"/>
        <v>87.5</v>
      </c>
      <c r="Y101">
        <f t="shared" si="53"/>
        <v>26.25</v>
      </c>
      <c r="Z101">
        <f t="shared" si="54"/>
        <v>91.39</v>
      </c>
      <c r="AA101">
        <f t="shared" si="55"/>
        <v>93</v>
      </c>
      <c r="AB101" t="str">
        <f t="shared" si="56"/>
        <v>Advancing</v>
      </c>
      <c r="AV101">
        <f t="shared" si="42"/>
        <v>87.5</v>
      </c>
      <c r="AW101">
        <f t="shared" si="43"/>
        <v>92.5</v>
      </c>
      <c r="AX101">
        <f t="shared" si="44"/>
        <v>82.5</v>
      </c>
    </row>
    <row r="102" spans="1:50" ht="15.6" x14ac:dyDescent="0.3">
      <c r="A102">
        <v>40</v>
      </c>
      <c r="B102" t="str">
        <f>INPUT!B102</f>
        <v>Escobar, Valerie</v>
      </c>
      <c r="F102">
        <v>19</v>
      </c>
      <c r="G102">
        <v>16</v>
      </c>
      <c r="H102">
        <v>19</v>
      </c>
      <c r="I102">
        <v>18</v>
      </c>
      <c r="J102">
        <v>18</v>
      </c>
      <c r="K102">
        <f t="shared" si="45"/>
        <v>90</v>
      </c>
      <c r="L102">
        <f t="shared" si="46"/>
        <v>90</v>
      </c>
      <c r="M102">
        <f t="shared" si="47"/>
        <v>18</v>
      </c>
      <c r="N102">
        <v>42</v>
      </c>
      <c r="O102">
        <v>45</v>
      </c>
      <c r="P102">
        <v>43</v>
      </c>
      <c r="Q102">
        <f t="shared" si="48"/>
        <v>130</v>
      </c>
      <c r="R102">
        <f t="shared" si="49"/>
        <v>86.67</v>
      </c>
      <c r="S102">
        <f t="shared" si="50"/>
        <v>43.34</v>
      </c>
      <c r="T102">
        <v>34</v>
      </c>
      <c r="U102">
        <v>34</v>
      </c>
      <c r="V102">
        <v>33</v>
      </c>
      <c r="W102">
        <f t="shared" si="51"/>
        <v>101</v>
      </c>
      <c r="X102">
        <f t="shared" si="52"/>
        <v>84.17</v>
      </c>
      <c r="Y102">
        <f t="shared" si="53"/>
        <v>25.25</v>
      </c>
      <c r="Z102">
        <f t="shared" si="54"/>
        <v>86.59</v>
      </c>
      <c r="AA102">
        <f t="shared" si="55"/>
        <v>88</v>
      </c>
      <c r="AB102" t="str">
        <f t="shared" si="56"/>
        <v>Benchmarking</v>
      </c>
      <c r="AV102">
        <f t="shared" si="42"/>
        <v>85</v>
      </c>
      <c r="AW102">
        <f t="shared" si="43"/>
        <v>85</v>
      </c>
      <c r="AX102">
        <f t="shared" si="44"/>
        <v>82.5</v>
      </c>
    </row>
    <row r="103" spans="1:50" ht="15.6" x14ac:dyDescent="0.3">
      <c r="A103">
        <v>41</v>
      </c>
      <c r="B103" t="str">
        <f>INPUT!B103</f>
        <v>Aguilar, Vanessa</v>
      </c>
      <c r="F103">
        <v>16</v>
      </c>
      <c r="G103">
        <v>18</v>
      </c>
      <c r="H103">
        <v>18</v>
      </c>
      <c r="I103">
        <v>18</v>
      </c>
      <c r="J103">
        <v>16</v>
      </c>
      <c r="K103">
        <f t="shared" si="45"/>
        <v>86</v>
      </c>
      <c r="L103">
        <f t="shared" si="46"/>
        <v>86</v>
      </c>
      <c r="M103">
        <f t="shared" si="47"/>
        <v>17.2</v>
      </c>
      <c r="N103">
        <v>45</v>
      </c>
      <c r="O103">
        <v>44</v>
      </c>
      <c r="P103">
        <v>42</v>
      </c>
      <c r="Q103">
        <f t="shared" si="48"/>
        <v>131</v>
      </c>
      <c r="R103">
        <f t="shared" si="49"/>
        <v>87.33</v>
      </c>
      <c r="S103">
        <f t="shared" si="50"/>
        <v>43.67</v>
      </c>
      <c r="T103">
        <v>33</v>
      </c>
      <c r="U103">
        <v>31</v>
      </c>
      <c r="V103">
        <v>33</v>
      </c>
      <c r="W103">
        <f t="shared" si="51"/>
        <v>97</v>
      </c>
      <c r="X103">
        <f t="shared" si="52"/>
        <v>80.83</v>
      </c>
      <c r="Y103">
        <f t="shared" si="53"/>
        <v>24.25</v>
      </c>
      <c r="Z103">
        <f t="shared" si="54"/>
        <v>85.12</v>
      </c>
      <c r="AA103">
        <f t="shared" si="55"/>
        <v>87</v>
      </c>
      <c r="AB103" t="str">
        <f t="shared" si="56"/>
        <v>Benchmarking</v>
      </c>
      <c r="AV103">
        <f t="shared" si="42"/>
        <v>82.5</v>
      </c>
      <c r="AW103">
        <f t="shared" si="43"/>
        <v>77.5</v>
      </c>
      <c r="AX103">
        <f t="shared" si="44"/>
        <v>82.5</v>
      </c>
    </row>
    <row r="104" spans="1:50" ht="15.6" x14ac:dyDescent="0.3">
      <c r="A104">
        <v>42</v>
      </c>
      <c r="B104" t="str">
        <f>INPUT!B104</f>
        <v>Alcantara, Veronica</v>
      </c>
      <c r="F104">
        <v>13</v>
      </c>
      <c r="G104">
        <v>16</v>
      </c>
      <c r="H104">
        <v>15</v>
      </c>
      <c r="I104">
        <v>15</v>
      </c>
      <c r="J104">
        <v>14</v>
      </c>
      <c r="K104">
        <f t="shared" si="45"/>
        <v>73</v>
      </c>
      <c r="L104">
        <f t="shared" si="46"/>
        <v>73</v>
      </c>
      <c r="M104">
        <f t="shared" si="47"/>
        <v>14.6</v>
      </c>
      <c r="N104">
        <v>38</v>
      </c>
      <c r="O104">
        <v>38</v>
      </c>
      <c r="P104">
        <v>39</v>
      </c>
      <c r="Q104">
        <f t="shared" si="48"/>
        <v>115</v>
      </c>
      <c r="R104">
        <f t="shared" si="49"/>
        <v>76.67</v>
      </c>
      <c r="S104">
        <f t="shared" si="50"/>
        <v>38.340000000000003</v>
      </c>
      <c r="T104">
        <v>25</v>
      </c>
      <c r="U104">
        <v>25</v>
      </c>
      <c r="V104">
        <v>25</v>
      </c>
      <c r="W104">
        <f t="shared" si="51"/>
        <v>75</v>
      </c>
      <c r="X104">
        <f t="shared" si="52"/>
        <v>62.5</v>
      </c>
      <c r="Y104">
        <f t="shared" si="53"/>
        <v>18.75</v>
      </c>
      <c r="Z104">
        <f t="shared" si="54"/>
        <v>71.69</v>
      </c>
      <c r="AA104">
        <f t="shared" si="55"/>
        <v>75</v>
      </c>
      <c r="AB104" t="str">
        <f t="shared" si="56"/>
        <v>Connecting</v>
      </c>
      <c r="AV104">
        <f t="shared" si="42"/>
        <v>62.5</v>
      </c>
      <c r="AW104">
        <f t="shared" si="43"/>
        <v>62.5</v>
      </c>
      <c r="AX104">
        <f t="shared" si="44"/>
        <v>62.5</v>
      </c>
    </row>
    <row r="105" spans="1:50" ht="15.6" x14ac:dyDescent="0.3">
      <c r="A105">
        <v>43</v>
      </c>
      <c r="B105" t="str">
        <f>INPUT!B105</f>
        <v>Andrada, Victoria</v>
      </c>
      <c r="F105">
        <v>9</v>
      </c>
      <c r="G105">
        <v>10</v>
      </c>
      <c r="H105">
        <v>9</v>
      </c>
      <c r="I105">
        <v>9</v>
      </c>
      <c r="J105">
        <v>10</v>
      </c>
      <c r="K105">
        <f t="shared" si="45"/>
        <v>47</v>
      </c>
      <c r="L105">
        <f t="shared" si="46"/>
        <v>47</v>
      </c>
      <c r="M105">
        <f t="shared" si="47"/>
        <v>9.4</v>
      </c>
      <c r="N105">
        <v>26</v>
      </c>
      <c r="O105">
        <v>26</v>
      </c>
      <c r="P105">
        <v>22</v>
      </c>
      <c r="Q105">
        <f t="shared" si="48"/>
        <v>74</v>
      </c>
      <c r="R105">
        <f t="shared" si="49"/>
        <v>49.33</v>
      </c>
      <c r="S105">
        <f t="shared" si="50"/>
        <v>24.67</v>
      </c>
      <c r="T105">
        <v>19</v>
      </c>
      <c r="U105">
        <v>18</v>
      </c>
      <c r="V105">
        <v>18</v>
      </c>
      <c r="W105">
        <f t="shared" si="51"/>
        <v>55</v>
      </c>
      <c r="X105">
        <f t="shared" si="52"/>
        <v>45.83</v>
      </c>
      <c r="Y105">
        <f t="shared" si="53"/>
        <v>13.75</v>
      </c>
      <c r="Z105">
        <f t="shared" si="54"/>
        <v>47.82</v>
      </c>
      <c r="AA105">
        <f t="shared" si="55"/>
        <v>63</v>
      </c>
      <c r="AB105" t="str">
        <f t="shared" si="56"/>
        <v>Emerging</v>
      </c>
      <c r="AV105">
        <f t="shared" si="42"/>
        <v>47.5</v>
      </c>
      <c r="AW105">
        <f t="shared" si="43"/>
        <v>45</v>
      </c>
      <c r="AX105">
        <f t="shared" si="44"/>
        <v>45</v>
      </c>
    </row>
    <row r="106" spans="1:50" ht="15.6" x14ac:dyDescent="0.3">
      <c r="A106">
        <v>44</v>
      </c>
      <c r="B106" t="str">
        <f>INPUT!B106</f>
        <v>Bautista, Yasmine</v>
      </c>
      <c r="F106">
        <v>16</v>
      </c>
      <c r="G106">
        <v>14</v>
      </c>
      <c r="H106">
        <v>14</v>
      </c>
      <c r="I106">
        <v>15</v>
      </c>
      <c r="J106">
        <v>14</v>
      </c>
      <c r="K106">
        <f t="shared" si="45"/>
        <v>73</v>
      </c>
      <c r="L106">
        <f t="shared" si="46"/>
        <v>73</v>
      </c>
      <c r="M106">
        <f t="shared" si="47"/>
        <v>14.6</v>
      </c>
      <c r="N106">
        <v>39</v>
      </c>
      <c r="O106">
        <v>37</v>
      </c>
      <c r="P106">
        <v>42</v>
      </c>
      <c r="Q106">
        <f t="shared" si="48"/>
        <v>118</v>
      </c>
      <c r="R106">
        <f t="shared" si="49"/>
        <v>78.67</v>
      </c>
      <c r="S106">
        <f t="shared" si="50"/>
        <v>39.340000000000003</v>
      </c>
      <c r="T106">
        <v>28</v>
      </c>
      <c r="U106">
        <v>25</v>
      </c>
      <c r="V106">
        <v>28</v>
      </c>
      <c r="W106">
        <f t="shared" si="51"/>
        <v>81</v>
      </c>
      <c r="X106">
        <f t="shared" si="52"/>
        <v>67.5</v>
      </c>
      <c r="Y106">
        <f t="shared" si="53"/>
        <v>20.25</v>
      </c>
      <c r="Z106">
        <f t="shared" si="54"/>
        <v>74.19</v>
      </c>
      <c r="AA106">
        <f t="shared" si="55"/>
        <v>76</v>
      </c>
      <c r="AB106" t="str">
        <f t="shared" si="56"/>
        <v>Connecting</v>
      </c>
      <c r="AV106">
        <f t="shared" si="42"/>
        <v>70</v>
      </c>
      <c r="AW106">
        <f t="shared" si="43"/>
        <v>62.5</v>
      </c>
      <c r="AX106">
        <f t="shared" si="44"/>
        <v>70</v>
      </c>
    </row>
    <row r="107" spans="1:50" ht="15.6" x14ac:dyDescent="0.3">
      <c r="A107">
        <v>45</v>
      </c>
      <c r="B107" t="str">
        <f>INPUT!B107</f>
        <v>Bernardo, Zoe</v>
      </c>
      <c r="F107">
        <v>18</v>
      </c>
      <c r="G107">
        <v>17</v>
      </c>
      <c r="H107">
        <v>19</v>
      </c>
      <c r="I107">
        <v>18</v>
      </c>
      <c r="J107">
        <v>17</v>
      </c>
      <c r="K107">
        <f t="shared" si="45"/>
        <v>89</v>
      </c>
      <c r="L107">
        <f t="shared" si="46"/>
        <v>89</v>
      </c>
      <c r="M107">
        <f t="shared" si="47"/>
        <v>17.8</v>
      </c>
      <c r="N107">
        <v>45</v>
      </c>
      <c r="O107">
        <v>43</v>
      </c>
      <c r="P107">
        <v>48</v>
      </c>
      <c r="Q107">
        <f t="shared" si="48"/>
        <v>136</v>
      </c>
      <c r="R107">
        <f t="shared" si="49"/>
        <v>90.67</v>
      </c>
      <c r="S107">
        <f t="shared" si="50"/>
        <v>45.34</v>
      </c>
      <c r="T107">
        <v>35</v>
      </c>
      <c r="U107">
        <v>32</v>
      </c>
      <c r="V107">
        <v>32</v>
      </c>
      <c r="W107">
        <f t="shared" si="51"/>
        <v>99</v>
      </c>
      <c r="X107">
        <f t="shared" si="52"/>
        <v>82.5</v>
      </c>
      <c r="Y107">
        <f t="shared" si="53"/>
        <v>24.75</v>
      </c>
      <c r="Z107">
        <f t="shared" si="54"/>
        <v>87.89</v>
      </c>
      <c r="AA107">
        <f t="shared" si="55"/>
        <v>89</v>
      </c>
      <c r="AB107" t="str">
        <f t="shared" si="56"/>
        <v>Benchmarking</v>
      </c>
      <c r="AV107">
        <f t="shared" si="42"/>
        <v>87.5</v>
      </c>
      <c r="AW107">
        <f t="shared" si="43"/>
        <v>80</v>
      </c>
      <c r="AX107">
        <f t="shared" si="44"/>
        <v>80</v>
      </c>
    </row>
    <row r="108" spans="1:50" ht="15.6" x14ac:dyDescent="0.3">
      <c r="A108">
        <v>46</v>
      </c>
      <c r="B108" t="str">
        <f>INPUT!B108</f>
        <v>Castillo, Amara</v>
      </c>
      <c r="F108">
        <v>17</v>
      </c>
      <c r="G108">
        <v>18</v>
      </c>
      <c r="H108">
        <v>18</v>
      </c>
      <c r="I108">
        <v>18</v>
      </c>
      <c r="J108">
        <v>17</v>
      </c>
      <c r="K108">
        <f t="shared" si="45"/>
        <v>88</v>
      </c>
      <c r="L108">
        <f t="shared" si="46"/>
        <v>88</v>
      </c>
      <c r="M108">
        <f t="shared" si="47"/>
        <v>17.600000000000001</v>
      </c>
      <c r="N108">
        <v>43</v>
      </c>
      <c r="O108">
        <v>43</v>
      </c>
      <c r="P108">
        <v>46</v>
      </c>
      <c r="Q108">
        <f t="shared" si="48"/>
        <v>132</v>
      </c>
      <c r="R108">
        <f t="shared" si="49"/>
        <v>88</v>
      </c>
      <c r="S108">
        <f t="shared" si="50"/>
        <v>44</v>
      </c>
      <c r="T108">
        <v>30</v>
      </c>
      <c r="U108">
        <v>35</v>
      </c>
      <c r="V108">
        <v>32</v>
      </c>
      <c r="W108">
        <f t="shared" si="51"/>
        <v>97</v>
      </c>
      <c r="X108">
        <f t="shared" si="52"/>
        <v>80.83</v>
      </c>
      <c r="Y108">
        <f t="shared" si="53"/>
        <v>24.25</v>
      </c>
      <c r="Z108">
        <f t="shared" si="54"/>
        <v>85.85</v>
      </c>
      <c r="AA108">
        <f t="shared" si="55"/>
        <v>87</v>
      </c>
      <c r="AB108" t="str">
        <f t="shared" si="56"/>
        <v>Benchmarking</v>
      </c>
      <c r="AV108">
        <f t="shared" si="42"/>
        <v>75</v>
      </c>
      <c r="AW108">
        <f t="shared" si="43"/>
        <v>87.5</v>
      </c>
      <c r="AX108">
        <f t="shared" si="44"/>
        <v>80</v>
      </c>
    </row>
    <row r="109" spans="1:50" ht="15.6" x14ac:dyDescent="0.3">
      <c r="A109">
        <v>47</v>
      </c>
      <c r="B109" t="str">
        <f>INPUT!B109</f>
        <v>Cruz, Andrea</v>
      </c>
      <c r="F109">
        <v>18</v>
      </c>
      <c r="G109">
        <v>17</v>
      </c>
      <c r="H109">
        <v>16</v>
      </c>
      <c r="I109">
        <v>15</v>
      </c>
      <c r="J109">
        <v>17</v>
      </c>
      <c r="K109">
        <f t="shared" si="45"/>
        <v>83</v>
      </c>
      <c r="L109">
        <f t="shared" si="46"/>
        <v>83</v>
      </c>
      <c r="M109">
        <f t="shared" si="47"/>
        <v>16.600000000000001</v>
      </c>
      <c r="N109">
        <v>44</v>
      </c>
      <c r="O109">
        <v>40</v>
      </c>
      <c r="P109">
        <v>41</v>
      </c>
      <c r="Q109">
        <f t="shared" si="48"/>
        <v>125</v>
      </c>
      <c r="R109">
        <f t="shared" si="49"/>
        <v>83.33</v>
      </c>
      <c r="S109">
        <f t="shared" si="50"/>
        <v>41.67</v>
      </c>
      <c r="T109">
        <v>32</v>
      </c>
      <c r="U109">
        <v>29</v>
      </c>
      <c r="V109">
        <v>30</v>
      </c>
      <c r="W109">
        <f t="shared" si="51"/>
        <v>91</v>
      </c>
      <c r="X109">
        <f t="shared" si="52"/>
        <v>75.83</v>
      </c>
      <c r="Y109">
        <f t="shared" si="53"/>
        <v>22.75</v>
      </c>
      <c r="Z109">
        <f t="shared" si="54"/>
        <v>81.02</v>
      </c>
      <c r="AA109">
        <f t="shared" si="55"/>
        <v>83</v>
      </c>
      <c r="AB109" t="str">
        <f t="shared" si="56"/>
        <v>Benchmarking</v>
      </c>
      <c r="AV109">
        <f t="shared" si="42"/>
        <v>80</v>
      </c>
      <c r="AW109">
        <f t="shared" si="43"/>
        <v>72.5</v>
      </c>
      <c r="AX109">
        <f t="shared" si="44"/>
        <v>75</v>
      </c>
    </row>
    <row r="110" spans="1:50" ht="15.6" x14ac:dyDescent="0.3">
      <c r="A110">
        <v>48</v>
      </c>
      <c r="B110" t="str">
        <f>INPUT!B110</f>
        <v>Dela Cruz, Beatriz</v>
      </c>
      <c r="F110">
        <v>10</v>
      </c>
      <c r="G110">
        <v>11</v>
      </c>
      <c r="H110">
        <v>10</v>
      </c>
      <c r="I110">
        <v>11</v>
      </c>
      <c r="J110">
        <v>9</v>
      </c>
      <c r="K110">
        <f t="shared" si="45"/>
        <v>51</v>
      </c>
      <c r="L110">
        <f t="shared" si="46"/>
        <v>51</v>
      </c>
      <c r="M110">
        <f t="shared" si="47"/>
        <v>10.199999999999999</v>
      </c>
      <c r="N110">
        <v>25</v>
      </c>
      <c r="O110">
        <v>27</v>
      </c>
      <c r="P110">
        <v>28</v>
      </c>
      <c r="Q110">
        <f t="shared" si="48"/>
        <v>80</v>
      </c>
      <c r="R110">
        <f t="shared" si="49"/>
        <v>53.33</v>
      </c>
      <c r="S110">
        <f t="shared" si="50"/>
        <v>26.67</v>
      </c>
      <c r="T110">
        <v>16</v>
      </c>
      <c r="U110">
        <v>19</v>
      </c>
      <c r="V110">
        <v>19</v>
      </c>
      <c r="W110">
        <f t="shared" si="51"/>
        <v>54</v>
      </c>
      <c r="X110">
        <f t="shared" si="52"/>
        <v>45</v>
      </c>
      <c r="Y110">
        <f t="shared" si="53"/>
        <v>13.5</v>
      </c>
      <c r="Z110">
        <f t="shared" si="54"/>
        <v>50.37</v>
      </c>
      <c r="AA110">
        <f t="shared" si="55"/>
        <v>65</v>
      </c>
      <c r="AB110" t="str">
        <f t="shared" si="56"/>
        <v xml:space="preserve">Developing </v>
      </c>
      <c r="AV110">
        <f t="shared" si="42"/>
        <v>40</v>
      </c>
      <c r="AW110">
        <f t="shared" si="43"/>
        <v>47.5</v>
      </c>
      <c r="AX110">
        <f t="shared" si="44"/>
        <v>47.5</v>
      </c>
    </row>
    <row r="111" spans="1:50" ht="15.6" x14ac:dyDescent="0.3">
      <c r="A111">
        <v>49</v>
      </c>
      <c r="B111" t="str">
        <f>INPUT!B111</f>
        <v>Diaz, Celine</v>
      </c>
      <c r="F111">
        <v>14</v>
      </c>
      <c r="G111">
        <v>14</v>
      </c>
      <c r="H111">
        <v>16</v>
      </c>
      <c r="I111">
        <v>14</v>
      </c>
      <c r="J111">
        <v>14</v>
      </c>
      <c r="K111">
        <f t="shared" si="45"/>
        <v>72</v>
      </c>
      <c r="L111">
        <f t="shared" si="46"/>
        <v>72</v>
      </c>
      <c r="M111">
        <f t="shared" si="47"/>
        <v>14.4</v>
      </c>
      <c r="N111">
        <v>39</v>
      </c>
      <c r="O111">
        <v>40</v>
      </c>
      <c r="P111">
        <v>35</v>
      </c>
      <c r="Q111">
        <f t="shared" si="48"/>
        <v>114</v>
      </c>
      <c r="R111">
        <f t="shared" si="49"/>
        <v>76</v>
      </c>
      <c r="S111">
        <f t="shared" si="50"/>
        <v>38</v>
      </c>
      <c r="T111">
        <v>30</v>
      </c>
      <c r="U111">
        <v>29</v>
      </c>
      <c r="V111">
        <v>25</v>
      </c>
      <c r="W111">
        <f t="shared" si="51"/>
        <v>84</v>
      </c>
      <c r="X111">
        <f t="shared" si="52"/>
        <v>70</v>
      </c>
      <c r="Y111">
        <f t="shared" si="53"/>
        <v>21</v>
      </c>
      <c r="Z111">
        <f t="shared" si="54"/>
        <v>73.400000000000006</v>
      </c>
      <c r="AA111">
        <f t="shared" si="55"/>
        <v>76</v>
      </c>
      <c r="AB111" t="str">
        <f t="shared" si="56"/>
        <v>Connecting</v>
      </c>
      <c r="AV111">
        <f t="shared" si="42"/>
        <v>75</v>
      </c>
      <c r="AW111">
        <f t="shared" si="43"/>
        <v>72.5</v>
      </c>
      <c r="AX111">
        <f t="shared" si="44"/>
        <v>62.5</v>
      </c>
    </row>
    <row r="112" spans="1:50" ht="15.6" x14ac:dyDescent="0.3">
      <c r="A112">
        <v>50</v>
      </c>
      <c r="B112" t="str">
        <f>INPUT!B112</f>
        <v>Evangelista, Danielle</v>
      </c>
      <c r="F112">
        <v>15</v>
      </c>
      <c r="G112">
        <v>16</v>
      </c>
      <c r="H112">
        <v>17</v>
      </c>
      <c r="I112">
        <v>17</v>
      </c>
      <c r="J112">
        <v>16</v>
      </c>
      <c r="K112">
        <f t="shared" si="45"/>
        <v>81</v>
      </c>
      <c r="L112">
        <f t="shared" si="46"/>
        <v>81</v>
      </c>
      <c r="M112">
        <f t="shared" si="47"/>
        <v>16.2</v>
      </c>
      <c r="N112">
        <v>40</v>
      </c>
      <c r="O112">
        <v>42</v>
      </c>
      <c r="P112">
        <v>44</v>
      </c>
      <c r="Q112">
        <f t="shared" si="48"/>
        <v>126</v>
      </c>
      <c r="R112">
        <f t="shared" si="49"/>
        <v>84</v>
      </c>
      <c r="S112">
        <f t="shared" si="50"/>
        <v>42</v>
      </c>
      <c r="T112">
        <v>32</v>
      </c>
      <c r="U112">
        <v>30</v>
      </c>
      <c r="V112">
        <v>32</v>
      </c>
      <c r="W112">
        <f t="shared" si="51"/>
        <v>94</v>
      </c>
      <c r="X112">
        <f t="shared" si="52"/>
        <v>78.33</v>
      </c>
      <c r="Y112">
        <f t="shared" si="53"/>
        <v>23.5</v>
      </c>
      <c r="Z112">
        <f t="shared" si="54"/>
        <v>81.7</v>
      </c>
      <c r="AA112">
        <f t="shared" si="55"/>
        <v>83</v>
      </c>
      <c r="AB112" t="str">
        <f t="shared" si="56"/>
        <v>Benchmarking</v>
      </c>
      <c r="AV112">
        <f t="shared" si="42"/>
        <v>80</v>
      </c>
      <c r="AW112">
        <f t="shared" si="43"/>
        <v>75</v>
      </c>
      <c r="AX112">
        <f t="shared" si="44"/>
        <v>80</v>
      </c>
    </row>
  </sheetData>
  <autoFilter ref="B11:B112" xr:uid="{00000000-0009-0000-0000-000003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3"/>
  <sheetViews>
    <sheetView workbookViewId="0"/>
  </sheetViews>
  <sheetFormatPr defaultRowHeight="14.4" x14ac:dyDescent="0.3"/>
  <sheetData>
    <row r="1" spans="1:28" ht="15.6" x14ac:dyDescent="0.3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6" x14ac:dyDescent="0.3">
      <c r="A3" t="s">
        <v>155</v>
      </c>
    </row>
    <row r="5" spans="1:28" ht="15.6" x14ac:dyDescent="0.3">
      <c r="B5" s="1" t="s">
        <v>2</v>
      </c>
      <c r="C5" s="1"/>
      <c r="D5" s="1"/>
      <c r="E5" s="1"/>
      <c r="F5" s="1"/>
      <c r="G5" s="1" t="str">
        <f>INPUT!G4</f>
        <v>Region IV-A CALABARZON</v>
      </c>
      <c r="H5" s="1"/>
      <c r="I5" s="1"/>
      <c r="J5" s="1"/>
      <c r="L5" s="1" t="s">
        <v>4</v>
      </c>
      <c r="M5" s="1"/>
      <c r="N5" s="1"/>
      <c r="O5" s="1" t="str">
        <f>INPUT!L4</f>
        <v>Division of Quezon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6" x14ac:dyDescent="0.3">
      <c r="B6" s="1" t="s">
        <v>6</v>
      </c>
      <c r="C6" s="1"/>
      <c r="D6" s="1"/>
      <c r="E6" s="1"/>
      <c r="F6" s="1"/>
      <c r="G6" s="1" t="str">
        <f>INPUT!G5</f>
        <v>San Isidro Elementary School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8</v>
      </c>
      <c r="T6" s="1"/>
      <c r="U6" s="1"/>
      <c r="V6" s="1"/>
      <c r="W6" s="1" t="str">
        <f>INPUT!S5</f>
        <v>107845</v>
      </c>
      <c r="X6" s="1"/>
      <c r="Y6" s="1"/>
      <c r="Z6" s="1"/>
      <c r="AA6" s="1"/>
      <c r="AB6" s="1"/>
    </row>
    <row r="8" spans="1:28" ht="15.6" x14ac:dyDescent="0.3">
      <c r="A8" s="1"/>
      <c r="B8" s="1" t="s">
        <v>18</v>
      </c>
      <c r="C8" s="1"/>
      <c r="D8" s="1"/>
      <c r="E8" s="1"/>
      <c r="F8" s="1" t="s">
        <v>12</v>
      </c>
      <c r="G8" s="1"/>
      <c r="H8" s="1"/>
      <c r="I8" s="1"/>
      <c r="J8" s="1"/>
      <c r="K8" s="1" t="str">
        <f>INPUT!J7</f>
        <v>Grade 6 - Rizal</v>
      </c>
      <c r="L8" s="1"/>
      <c r="M8" s="1"/>
      <c r="N8" s="1"/>
      <c r="O8" s="1"/>
      <c r="P8" s="1"/>
      <c r="Q8" s="1"/>
      <c r="R8" s="1"/>
      <c r="S8" s="1" t="s">
        <v>156</v>
      </c>
      <c r="T8" s="1"/>
      <c r="U8" s="1"/>
      <c r="V8" s="1"/>
      <c r="W8" s="1" t="str">
        <f>INPUT!Y5</f>
        <v>2025-2026</v>
      </c>
      <c r="X8" s="1"/>
      <c r="Y8" s="1"/>
      <c r="Z8" s="1"/>
      <c r="AA8" s="1"/>
      <c r="AB8" s="1"/>
    </row>
    <row r="9" spans="1:28" ht="15.6" x14ac:dyDescent="0.3">
      <c r="A9" s="1"/>
      <c r="B9" s="1"/>
      <c r="C9" s="1"/>
      <c r="D9" s="1"/>
      <c r="E9" s="1"/>
      <c r="F9" s="1" t="s">
        <v>14</v>
      </c>
      <c r="G9" s="1"/>
      <c r="H9" s="1"/>
      <c r="I9" s="1"/>
      <c r="J9" s="1"/>
      <c r="K9" s="1" t="str">
        <f>INPUT!Q7</f>
        <v>Vilma Jordan Pines</v>
      </c>
      <c r="L9" s="1"/>
      <c r="M9" s="1"/>
      <c r="N9" s="1"/>
      <c r="O9" s="1"/>
      <c r="P9" s="1"/>
      <c r="Q9" s="1"/>
      <c r="R9" s="1"/>
      <c r="S9" s="1" t="s">
        <v>16</v>
      </c>
      <c r="T9" s="1"/>
      <c r="U9" s="1"/>
      <c r="V9" s="1"/>
      <c r="W9" s="1" t="str">
        <f>INPUT!Y7</f>
        <v>Science</v>
      </c>
      <c r="X9" s="1"/>
      <c r="Y9" s="1"/>
      <c r="Z9" s="1"/>
      <c r="AA9" s="1"/>
      <c r="AB9" s="1"/>
    </row>
    <row r="10" spans="1:28" ht="15.6" x14ac:dyDescent="0.3">
      <c r="A10" s="1"/>
      <c r="B10" s="1"/>
      <c r="C10" s="1"/>
      <c r="D10" s="1"/>
      <c r="E10" s="1"/>
      <c r="F10" s="1" t="s">
        <v>122</v>
      </c>
      <c r="G10" s="1"/>
      <c r="H10" s="1"/>
      <c r="I10" s="1"/>
      <c r="J10" s="1" t="s">
        <v>151</v>
      </c>
      <c r="K10" s="1"/>
      <c r="L10" s="1"/>
      <c r="M10" s="1"/>
      <c r="N10" s="1" t="s">
        <v>154</v>
      </c>
      <c r="O10" s="1"/>
      <c r="P10" s="1"/>
      <c r="Q10" s="1"/>
      <c r="R10" s="1" t="s">
        <v>157</v>
      </c>
      <c r="S10" s="1"/>
      <c r="T10" s="1"/>
      <c r="U10" s="1"/>
      <c r="V10" s="1" t="s">
        <v>128</v>
      </c>
      <c r="W10" s="1"/>
      <c r="X10" s="1"/>
      <c r="Y10" s="1"/>
      <c r="Z10" s="1" t="s">
        <v>158</v>
      </c>
      <c r="AA10" s="1"/>
      <c r="AB10" s="1"/>
    </row>
    <row r="11" spans="1:28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6" x14ac:dyDescent="0.3">
      <c r="B12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6" x14ac:dyDescent="0.3">
      <c r="A13">
        <v>1</v>
      </c>
      <c r="B13" t="str">
        <f>INPUT!B12</f>
        <v>Aguilar, Adrian</v>
      </c>
      <c r="F13" s="1">
        <f>TERM1!AA12</f>
        <v>92</v>
      </c>
      <c r="G13" s="1"/>
      <c r="H13" s="1"/>
      <c r="I13" s="1"/>
      <c r="J13" s="1">
        <f>TERM2!AA12</f>
        <v>93</v>
      </c>
      <c r="K13" s="1"/>
      <c r="L13" s="1"/>
      <c r="M13" s="1"/>
      <c r="N13" s="1">
        <f>TERM3!AA12</f>
        <v>91</v>
      </c>
      <c r="O13" s="1"/>
      <c r="P13" s="1"/>
      <c r="Q13" s="1"/>
      <c r="R13" s="1">
        <f t="shared" ref="R13:R44" si="0">IF(OR(F13="",J13="",N13=""),"",IF(ISERROR(ROUND(AVERAGE(F13,J13,N13),0)),"",ROUND(AVERAGE(F13,J13,N13),0)))</f>
        <v>92</v>
      </c>
      <c r="S13" s="1"/>
      <c r="T13" s="1"/>
      <c r="U13" s="1"/>
      <c r="V13" s="1" t="str">
        <f t="shared" ref="V13:V44" si="1">IF(ISERROR(IF(R13="","",VLOOKUP(R13,DESCRIPTORS,4,TRUE))),"",IF(R13="","",VLOOKUP(R13,DESCRIPTORS,4,TRUE)))</f>
        <v>Advancing</v>
      </c>
      <c r="W13" s="1"/>
      <c r="X13" s="1"/>
      <c r="Y13" s="1"/>
      <c r="Z13" s="1" t="str">
        <f t="shared" ref="Z13:Z44" si="2">IF(OR($F13="",$J13="",$N13="",$R13=""),"",IF($R13&gt;=75,"PASSED","FAILED"))</f>
        <v>PASSED</v>
      </c>
      <c r="AA13" s="1"/>
      <c r="AB13" s="1"/>
    </row>
    <row r="14" spans="1:28" ht="15.6" x14ac:dyDescent="0.3">
      <c r="A14">
        <v>2</v>
      </c>
      <c r="B14" t="str">
        <f>INPUT!B13</f>
        <v>Alcantara, Angelo</v>
      </c>
      <c r="F14" s="1">
        <f>TERM1!AA13</f>
        <v>93</v>
      </c>
      <c r="G14" s="1"/>
      <c r="H14" s="1"/>
      <c r="I14" s="1"/>
      <c r="J14" s="1">
        <f>TERM2!AA13</f>
        <v>98</v>
      </c>
      <c r="K14" s="1"/>
      <c r="L14" s="1"/>
      <c r="M14" s="1"/>
      <c r="N14" s="1">
        <f>TERM3!AA13</f>
        <v>97</v>
      </c>
      <c r="O14" s="1"/>
      <c r="P14" s="1"/>
      <c r="Q14" s="1"/>
      <c r="R14" s="1">
        <f t="shared" si="0"/>
        <v>96</v>
      </c>
      <c r="S14" s="1"/>
      <c r="T14" s="1"/>
      <c r="U14" s="1"/>
      <c r="V14" s="1" t="str">
        <f t="shared" si="1"/>
        <v>Advancing</v>
      </c>
      <c r="W14" s="1"/>
      <c r="X14" s="1"/>
      <c r="Y14" s="1"/>
      <c r="Z14" s="1" t="str">
        <f t="shared" si="2"/>
        <v>PASSED</v>
      </c>
      <c r="AA14" s="1"/>
      <c r="AB14" s="1"/>
    </row>
    <row r="15" spans="1:28" ht="15.6" x14ac:dyDescent="0.3">
      <c r="A15">
        <v>3</v>
      </c>
      <c r="B15" t="str">
        <f>INPUT!B14</f>
        <v>Andrada, Anton</v>
      </c>
      <c r="F15" s="1">
        <f>TERM1!AA14</f>
        <v>76</v>
      </c>
      <c r="G15" s="1"/>
      <c r="H15" s="1"/>
      <c r="I15" s="1"/>
      <c r="J15" s="1">
        <f>TERM2!AA14</f>
        <v>79</v>
      </c>
      <c r="K15" s="1"/>
      <c r="L15" s="1"/>
      <c r="M15" s="1"/>
      <c r="N15" s="1">
        <f>TERM3!AA14</f>
        <v>76</v>
      </c>
      <c r="O15" s="1"/>
      <c r="P15" s="1"/>
      <c r="Q15" s="1"/>
      <c r="R15" s="1">
        <f t="shared" si="0"/>
        <v>77</v>
      </c>
      <c r="S15" s="1"/>
      <c r="T15" s="1"/>
      <c r="U15" s="1"/>
      <c r="V15" s="1" t="str">
        <f t="shared" si="1"/>
        <v>Connecting</v>
      </c>
      <c r="W15" s="1"/>
      <c r="X15" s="1"/>
      <c r="Y15" s="1"/>
      <c r="Z15" s="1" t="str">
        <f t="shared" si="2"/>
        <v>PASSED</v>
      </c>
      <c r="AA15" s="1"/>
      <c r="AB15" s="1"/>
    </row>
    <row r="16" spans="1:28" ht="15.6" x14ac:dyDescent="0.3">
      <c r="A16">
        <v>4</v>
      </c>
      <c r="B16" t="str">
        <f>INPUT!B15</f>
        <v>Bautista, Bryan</v>
      </c>
      <c r="F16" s="1">
        <f>TERM1!AA15</f>
        <v>75</v>
      </c>
      <c r="G16" s="1"/>
      <c r="H16" s="1"/>
      <c r="I16" s="1"/>
      <c r="J16" s="1">
        <f>TERM2!AA15</f>
        <v>73</v>
      </c>
      <c r="K16" s="1"/>
      <c r="L16" s="1"/>
      <c r="M16" s="1"/>
      <c r="N16" s="1">
        <f>TERM3!AA15</f>
        <v>72</v>
      </c>
      <c r="O16" s="1"/>
      <c r="P16" s="1"/>
      <c r="Q16" s="1"/>
      <c r="R16" s="1">
        <f t="shared" si="0"/>
        <v>73</v>
      </c>
      <c r="S16" s="1"/>
      <c r="T16" s="1"/>
      <c r="U16" s="1"/>
      <c r="V16" s="1" t="str">
        <f t="shared" si="1"/>
        <v xml:space="preserve">Developing </v>
      </c>
      <c r="W16" s="1"/>
      <c r="X16" s="1"/>
      <c r="Y16" s="1"/>
      <c r="Z16" s="1" t="str">
        <f t="shared" si="2"/>
        <v>FAILED</v>
      </c>
      <c r="AA16" s="1"/>
      <c r="AB16" s="1"/>
    </row>
    <row r="17" spans="1:28" ht="15.6" x14ac:dyDescent="0.3">
      <c r="A17">
        <v>5</v>
      </c>
      <c r="B17" t="str">
        <f>INPUT!B16</f>
        <v>Bernardo, Caleb</v>
      </c>
      <c r="F17" s="1">
        <f>TERM1!AA16</f>
        <v>97</v>
      </c>
      <c r="G17" s="1"/>
      <c r="H17" s="1"/>
      <c r="I17" s="1"/>
      <c r="J17" s="1">
        <f>TERM2!AA16</f>
        <v>91</v>
      </c>
      <c r="K17" s="1"/>
      <c r="L17" s="1"/>
      <c r="M17" s="1"/>
      <c r="N17" s="1">
        <f>TERM3!AA16</f>
        <v>97</v>
      </c>
      <c r="O17" s="1"/>
      <c r="P17" s="1"/>
      <c r="Q17" s="1"/>
      <c r="R17" s="1">
        <f t="shared" si="0"/>
        <v>95</v>
      </c>
      <c r="S17" s="1"/>
      <c r="T17" s="1"/>
      <c r="U17" s="1"/>
      <c r="V17" s="1" t="str">
        <f t="shared" si="1"/>
        <v>Advancing</v>
      </c>
      <c r="W17" s="1"/>
      <c r="X17" s="1"/>
      <c r="Y17" s="1"/>
      <c r="Z17" s="1" t="str">
        <f t="shared" si="2"/>
        <v>PASSED</v>
      </c>
      <c r="AA17" s="1"/>
      <c r="AB17" s="1"/>
    </row>
    <row r="18" spans="1:28" ht="15.6" x14ac:dyDescent="0.3">
      <c r="A18">
        <v>6</v>
      </c>
      <c r="B18" t="str">
        <f>INPUT!B17</f>
        <v>Castillo, Carlo</v>
      </c>
      <c r="F18" s="1">
        <f>TERM1!AA17</f>
        <v>90</v>
      </c>
      <c r="G18" s="1"/>
      <c r="H18" s="1"/>
      <c r="I18" s="1"/>
      <c r="J18" s="1">
        <f>TERM2!AA17</f>
        <v>87</v>
      </c>
      <c r="K18" s="1"/>
      <c r="L18" s="1"/>
      <c r="M18" s="1"/>
      <c r="N18" s="1">
        <f>TERM3!AA17</f>
        <v>93</v>
      </c>
      <c r="O18" s="1"/>
      <c r="P18" s="1"/>
      <c r="Q18" s="1"/>
      <c r="R18" s="1">
        <f t="shared" si="0"/>
        <v>90</v>
      </c>
      <c r="S18" s="1"/>
      <c r="T18" s="1"/>
      <c r="U18" s="1"/>
      <c r="V18" s="1" t="str">
        <f t="shared" si="1"/>
        <v>Advancing</v>
      </c>
      <c r="W18" s="1"/>
      <c r="X18" s="1"/>
      <c r="Y18" s="1"/>
      <c r="Z18" s="1" t="str">
        <f t="shared" si="2"/>
        <v>PASSED</v>
      </c>
      <c r="AA18" s="1"/>
      <c r="AB18" s="1"/>
    </row>
    <row r="19" spans="1:28" ht="15.6" x14ac:dyDescent="0.3">
      <c r="A19">
        <v>7</v>
      </c>
      <c r="B19" t="str">
        <f>INPUT!B18</f>
        <v>Cruz, Christian</v>
      </c>
      <c r="F19" s="1">
        <f>TERM1!AA18</f>
        <v>87</v>
      </c>
      <c r="G19" s="1"/>
      <c r="H19" s="1"/>
      <c r="I19" s="1"/>
      <c r="J19" s="1">
        <f>TERM2!AA18</f>
        <v>88</v>
      </c>
      <c r="K19" s="1"/>
      <c r="L19" s="1"/>
      <c r="M19" s="1"/>
      <c r="N19" s="1">
        <f>TERM3!AA18</f>
        <v>87</v>
      </c>
      <c r="O19" s="1"/>
      <c r="P19" s="1"/>
      <c r="Q19" s="1"/>
      <c r="R19" s="1">
        <f t="shared" si="0"/>
        <v>87</v>
      </c>
      <c r="S19" s="1"/>
      <c r="T19" s="1"/>
      <c r="U19" s="1"/>
      <c r="V19" s="1" t="str">
        <f t="shared" si="1"/>
        <v>Benchmarking</v>
      </c>
      <c r="W19" s="1"/>
      <c r="X19" s="1"/>
      <c r="Y19" s="1"/>
      <c r="Z19" s="1" t="str">
        <f t="shared" si="2"/>
        <v>PASSED</v>
      </c>
      <c r="AA19" s="1"/>
      <c r="AB19" s="1"/>
    </row>
    <row r="20" spans="1:28" ht="15.6" x14ac:dyDescent="0.3">
      <c r="A20">
        <v>8</v>
      </c>
      <c r="B20" t="str">
        <f>INPUT!B19</f>
        <v>Dela Cruz, Daniel</v>
      </c>
      <c r="D20">
        <v>0</v>
      </c>
      <c r="F20" s="1">
        <f>TERM1!AA19</f>
        <v>97</v>
      </c>
      <c r="G20" s="1"/>
      <c r="H20" s="1"/>
      <c r="I20" s="1"/>
      <c r="J20" s="1">
        <f>TERM2!AA19</f>
        <v>95</v>
      </c>
      <c r="K20" s="1"/>
      <c r="L20" s="1"/>
      <c r="M20" s="1"/>
      <c r="N20" s="1">
        <f>TERM3!AA19</f>
        <v>90</v>
      </c>
      <c r="O20" s="1"/>
      <c r="P20" s="1"/>
      <c r="Q20" s="1"/>
      <c r="R20" s="1">
        <f t="shared" si="0"/>
        <v>94</v>
      </c>
      <c r="S20" s="1"/>
      <c r="T20" s="1"/>
      <c r="U20" s="1"/>
      <c r="V20" s="1" t="str">
        <f t="shared" si="1"/>
        <v>Advancing</v>
      </c>
      <c r="W20" s="1"/>
      <c r="X20" s="1"/>
      <c r="Y20" s="1"/>
      <c r="Z20" s="1" t="str">
        <f t="shared" si="2"/>
        <v>PASSED</v>
      </c>
      <c r="AA20" s="1"/>
      <c r="AB20" s="1"/>
    </row>
    <row r="21" spans="1:28" ht="15.6" x14ac:dyDescent="0.3">
      <c r="A21">
        <v>9</v>
      </c>
      <c r="B21" t="str">
        <f>INPUT!B20</f>
        <v>Diaz, Darren</v>
      </c>
      <c r="F21" s="1">
        <f>TERM1!AA20</f>
        <v>91</v>
      </c>
      <c r="G21" s="1"/>
      <c r="H21" s="1"/>
      <c r="I21" s="1"/>
      <c r="J21" s="1">
        <f>TERM2!AA20</f>
        <v>83</v>
      </c>
      <c r="K21" s="1"/>
      <c r="L21" s="1"/>
      <c r="M21" s="1"/>
      <c r="N21" s="1">
        <f>TERM3!AA20</f>
        <v>90</v>
      </c>
      <c r="O21" s="1"/>
      <c r="P21" s="1"/>
      <c r="Q21" s="1"/>
      <c r="R21" s="1">
        <f t="shared" si="0"/>
        <v>88</v>
      </c>
      <c r="S21" s="1"/>
      <c r="T21" s="1"/>
      <c r="U21" s="1"/>
      <c r="V21" s="1" t="str">
        <f t="shared" si="1"/>
        <v>Benchmarking</v>
      </c>
      <c r="W21" s="1"/>
      <c r="X21" s="1"/>
      <c r="Y21" s="1"/>
      <c r="Z21" s="1" t="str">
        <f t="shared" si="2"/>
        <v>PASSED</v>
      </c>
      <c r="AA21" s="1"/>
      <c r="AB21" s="1"/>
    </row>
    <row r="22" spans="1:28" ht="15.6" x14ac:dyDescent="0.3">
      <c r="A22">
        <v>10</v>
      </c>
      <c r="B22" t="str">
        <f>INPUT!B21</f>
        <v>Evangelista, Diego</v>
      </c>
      <c r="F22" s="1">
        <f>TERM1!AA21</f>
        <v>86</v>
      </c>
      <c r="G22" s="1"/>
      <c r="H22" s="1"/>
      <c r="I22" s="1"/>
      <c r="J22" s="1">
        <f>TERM2!AA21</f>
        <v>81</v>
      </c>
      <c r="K22" s="1"/>
      <c r="L22" s="1"/>
      <c r="M22" s="1"/>
      <c r="N22" s="1">
        <f>TERM3!AA21</f>
        <v>78</v>
      </c>
      <c r="O22" s="1"/>
      <c r="P22" s="1"/>
      <c r="Q22" s="1"/>
      <c r="R22" s="1">
        <f t="shared" si="0"/>
        <v>82</v>
      </c>
      <c r="S22" s="1"/>
      <c r="T22" s="1"/>
      <c r="U22" s="1"/>
      <c r="V22" s="1" t="str">
        <f t="shared" si="1"/>
        <v>Benchmarking</v>
      </c>
      <c r="W22" s="1"/>
      <c r="X22" s="1"/>
      <c r="Y22" s="1"/>
      <c r="Z22" s="1" t="str">
        <f t="shared" si="2"/>
        <v>PASSED</v>
      </c>
      <c r="AA22" s="1"/>
      <c r="AB22" s="1"/>
    </row>
    <row r="23" spans="1:28" ht="15.6" x14ac:dyDescent="0.3">
      <c r="A23">
        <v>11</v>
      </c>
      <c r="B23" t="str">
        <f>INPUT!B22</f>
        <v>Fernandez, Ethan</v>
      </c>
      <c r="D23">
        <v>0</v>
      </c>
      <c r="F23" s="1">
        <f>TERM1!AA22</f>
        <v>73</v>
      </c>
      <c r="G23" s="1"/>
      <c r="H23" s="1"/>
      <c r="I23" s="1"/>
      <c r="J23" s="1">
        <f>TERM2!AA22</f>
        <v>73</v>
      </c>
      <c r="K23" s="1"/>
      <c r="L23" s="1"/>
      <c r="M23" s="1"/>
      <c r="N23" s="1">
        <f>TERM3!AA22</f>
        <v>74</v>
      </c>
      <c r="O23" s="1"/>
      <c r="P23" s="1"/>
      <c r="Q23" s="1"/>
      <c r="R23" s="1">
        <f t="shared" si="0"/>
        <v>73</v>
      </c>
      <c r="S23" s="1"/>
      <c r="T23" s="1"/>
      <c r="U23" s="1"/>
      <c r="V23" s="1" t="str">
        <f t="shared" si="1"/>
        <v xml:space="preserve">Developing </v>
      </c>
      <c r="W23" s="1"/>
      <c r="X23" s="1"/>
      <c r="Y23" s="1"/>
      <c r="Z23" s="1" t="str">
        <f t="shared" si="2"/>
        <v>FAILED</v>
      </c>
      <c r="AA23" s="1"/>
      <c r="AB23" s="1"/>
    </row>
    <row r="24" spans="1:28" ht="15.6" x14ac:dyDescent="0.3">
      <c r="A24">
        <v>12</v>
      </c>
      <c r="B24" t="str">
        <f>INPUT!B23</f>
        <v>Garcia, Gabriel</v>
      </c>
      <c r="F24" s="1">
        <f>TERM1!AA23</f>
        <v>73</v>
      </c>
      <c r="G24" s="1"/>
      <c r="H24" s="1"/>
      <c r="I24" s="1"/>
      <c r="J24" s="1">
        <f>TERM2!AA23</f>
        <v>74</v>
      </c>
      <c r="K24" s="1"/>
      <c r="L24" s="1"/>
      <c r="M24" s="1"/>
      <c r="N24" s="1">
        <f>TERM3!AA23</f>
        <v>75</v>
      </c>
      <c r="O24" s="1"/>
      <c r="P24" s="1"/>
      <c r="Q24" s="1"/>
      <c r="R24" s="1">
        <f t="shared" si="0"/>
        <v>74</v>
      </c>
      <c r="S24" s="1"/>
      <c r="T24" s="1"/>
      <c r="U24" s="1"/>
      <c r="V24" s="1" t="str">
        <f t="shared" si="1"/>
        <v xml:space="preserve">Developing </v>
      </c>
      <c r="W24" s="1"/>
      <c r="X24" s="1"/>
      <c r="Y24" s="1"/>
      <c r="Z24" s="1" t="str">
        <f t="shared" si="2"/>
        <v>FAILED</v>
      </c>
      <c r="AA24" s="1"/>
      <c r="AB24" s="1"/>
    </row>
    <row r="25" spans="1:28" ht="15.6" x14ac:dyDescent="0.3">
      <c r="A25">
        <v>13</v>
      </c>
      <c r="B25" t="str">
        <f>INPUT!B24</f>
        <v>Gonzales, Harold</v>
      </c>
      <c r="F25" s="1">
        <f>TERM1!AA24</f>
        <v>93</v>
      </c>
      <c r="G25" s="1"/>
      <c r="H25" s="1"/>
      <c r="I25" s="1"/>
      <c r="J25" s="1">
        <f>TERM2!AA24</f>
        <v>92</v>
      </c>
      <c r="K25" s="1"/>
      <c r="L25" s="1"/>
      <c r="M25" s="1"/>
      <c r="N25" s="1">
        <f>TERM3!AA24</f>
        <v>92</v>
      </c>
      <c r="O25" s="1"/>
      <c r="P25" s="1"/>
      <c r="Q25" s="1"/>
      <c r="R25" s="1">
        <f t="shared" si="0"/>
        <v>92</v>
      </c>
      <c r="S25" s="1"/>
      <c r="T25" s="1"/>
      <c r="U25" s="1"/>
      <c r="V25" s="1" t="str">
        <f t="shared" si="1"/>
        <v>Advancing</v>
      </c>
      <c r="W25" s="1"/>
      <c r="X25" s="1"/>
      <c r="Y25" s="1"/>
      <c r="Z25" s="1" t="str">
        <f t="shared" si="2"/>
        <v>PASSED</v>
      </c>
      <c r="AA25" s="1"/>
      <c r="AB25" s="1"/>
    </row>
    <row r="26" spans="1:28" ht="15.6" x14ac:dyDescent="0.3">
      <c r="A26">
        <v>14</v>
      </c>
      <c r="B26" t="str">
        <f>INPUT!B25</f>
        <v>Hernandez, Ivan</v>
      </c>
      <c r="F26" s="1">
        <f>TERM1!AA25</f>
        <v>87</v>
      </c>
      <c r="G26" s="1"/>
      <c r="H26" s="1"/>
      <c r="I26" s="1"/>
      <c r="J26" s="1">
        <f>TERM2!AA25</f>
        <v>85</v>
      </c>
      <c r="K26" s="1"/>
      <c r="L26" s="1"/>
      <c r="M26" s="1"/>
      <c r="N26" s="1">
        <f>TERM3!AA25</f>
        <v>89</v>
      </c>
      <c r="O26" s="1"/>
      <c r="P26" s="1"/>
      <c r="Q26" s="1"/>
      <c r="R26" s="1">
        <f t="shared" si="0"/>
        <v>87</v>
      </c>
      <c r="S26" s="1"/>
      <c r="T26" s="1"/>
      <c r="U26" s="1"/>
      <c r="V26" s="1" t="str">
        <f t="shared" si="1"/>
        <v>Benchmarking</v>
      </c>
      <c r="W26" s="1"/>
      <c r="X26" s="1"/>
      <c r="Y26" s="1"/>
      <c r="Z26" s="1" t="str">
        <f t="shared" si="2"/>
        <v>PASSED</v>
      </c>
      <c r="AA26" s="1"/>
      <c r="AB26" s="1"/>
    </row>
    <row r="27" spans="1:28" ht="15.6" x14ac:dyDescent="0.3">
      <c r="A27">
        <v>15</v>
      </c>
      <c r="B27" t="str">
        <f>INPUT!B26</f>
        <v>Ilagan, Jacob</v>
      </c>
      <c r="F27" s="1">
        <f>TERM1!AA26</f>
        <v>61</v>
      </c>
      <c r="G27" s="1"/>
      <c r="H27" s="1"/>
      <c r="I27" s="1"/>
      <c r="J27" s="1">
        <f>TERM2!AA26</f>
        <v>62</v>
      </c>
      <c r="K27" s="1"/>
      <c r="L27" s="1"/>
      <c r="M27" s="1"/>
      <c r="N27" s="1">
        <f>TERM3!AA26</f>
        <v>63</v>
      </c>
      <c r="O27" s="1"/>
      <c r="P27" s="1"/>
      <c r="Q27" s="1"/>
      <c r="R27" s="1">
        <f t="shared" si="0"/>
        <v>62</v>
      </c>
      <c r="S27" s="1"/>
      <c r="T27" s="1"/>
      <c r="U27" s="1"/>
      <c r="V27" s="1" t="str">
        <f t="shared" si="1"/>
        <v>Emerging</v>
      </c>
      <c r="W27" s="1"/>
      <c r="X27" s="1"/>
      <c r="Y27" s="1"/>
      <c r="Z27" s="1" t="str">
        <f t="shared" si="2"/>
        <v>FAILED</v>
      </c>
      <c r="AA27" s="1"/>
      <c r="AB27" s="1"/>
    </row>
    <row r="28" spans="1:28" ht="15.6" x14ac:dyDescent="0.3">
      <c r="A28">
        <v>16</v>
      </c>
      <c r="B28" t="str">
        <f>INPUT!B27</f>
        <v>Jimenez, James</v>
      </c>
      <c r="F28" s="1">
        <f>TERM1!AA27</f>
        <v>86</v>
      </c>
      <c r="G28" s="1"/>
      <c r="H28" s="1"/>
      <c r="I28" s="1"/>
      <c r="J28" s="1">
        <f>TERM2!AA27</f>
        <v>87</v>
      </c>
      <c r="K28" s="1"/>
      <c r="L28" s="1"/>
      <c r="M28" s="1"/>
      <c r="N28" s="1">
        <f>TERM3!AA27</f>
        <v>84</v>
      </c>
      <c r="O28" s="1"/>
      <c r="P28" s="1"/>
      <c r="Q28" s="1"/>
      <c r="R28" s="1">
        <f t="shared" si="0"/>
        <v>86</v>
      </c>
      <c r="S28" s="1"/>
      <c r="T28" s="1"/>
      <c r="U28" s="1"/>
      <c r="V28" s="1" t="str">
        <f t="shared" si="1"/>
        <v>Benchmarking</v>
      </c>
      <c r="W28" s="1"/>
      <c r="X28" s="1"/>
      <c r="Y28" s="1"/>
      <c r="Z28" s="1" t="str">
        <f t="shared" si="2"/>
        <v>PASSED</v>
      </c>
      <c r="AA28" s="1"/>
      <c r="AB28" s="1"/>
    </row>
    <row r="29" spans="1:28" ht="15.6" x14ac:dyDescent="0.3">
      <c r="A29">
        <v>17</v>
      </c>
      <c r="B29" t="str">
        <f>INPUT!B28</f>
        <v>Lacson, Jared</v>
      </c>
      <c r="F29" s="1">
        <f>TERM1!AA28</f>
        <v>85</v>
      </c>
      <c r="G29" s="1"/>
      <c r="H29" s="1"/>
      <c r="I29" s="1"/>
      <c r="J29" s="1">
        <f>TERM2!AA28</f>
        <v>89</v>
      </c>
      <c r="K29" s="1"/>
      <c r="L29" s="1"/>
      <c r="M29" s="1"/>
      <c r="N29" s="1">
        <f>TERM3!AA28</f>
        <v>91</v>
      </c>
      <c r="O29" s="1"/>
      <c r="P29" s="1"/>
      <c r="Q29" s="1"/>
      <c r="R29" s="1">
        <f t="shared" si="0"/>
        <v>88</v>
      </c>
      <c r="S29" s="1"/>
      <c r="T29" s="1"/>
      <c r="U29" s="1"/>
      <c r="V29" s="1" t="str">
        <f t="shared" si="1"/>
        <v>Benchmarking</v>
      </c>
      <c r="W29" s="1"/>
      <c r="X29" s="1"/>
      <c r="Y29" s="1"/>
      <c r="Z29" s="1" t="str">
        <f t="shared" si="2"/>
        <v>PASSED</v>
      </c>
      <c r="AA29" s="1"/>
      <c r="AB29" s="1"/>
    </row>
    <row r="30" spans="1:28" ht="15.6" x14ac:dyDescent="0.3">
      <c r="A30">
        <v>18</v>
      </c>
      <c r="B30" t="str">
        <f>INPUT!B29</f>
        <v>Lim, Jericho</v>
      </c>
      <c r="F30" s="1">
        <f>TERM1!AA29</f>
        <v>92</v>
      </c>
      <c r="G30" s="1"/>
      <c r="H30" s="1"/>
      <c r="I30" s="1"/>
      <c r="J30" s="1">
        <f>TERM2!AA29</f>
        <v>90</v>
      </c>
      <c r="K30" s="1"/>
      <c r="L30" s="1"/>
      <c r="M30" s="1"/>
      <c r="N30" s="1">
        <f>TERM3!AA29</f>
        <v>90</v>
      </c>
      <c r="O30" s="1"/>
      <c r="P30" s="1"/>
      <c r="Q30" s="1"/>
      <c r="R30" s="1">
        <f t="shared" si="0"/>
        <v>91</v>
      </c>
      <c r="S30" s="1"/>
      <c r="T30" s="1"/>
      <c r="U30" s="1"/>
      <c r="V30" s="1" t="str">
        <f t="shared" si="1"/>
        <v>Advancing</v>
      </c>
      <c r="W30" s="1"/>
      <c r="X30" s="1"/>
      <c r="Y30" s="1"/>
      <c r="Z30" s="1" t="str">
        <f t="shared" si="2"/>
        <v>PASSED</v>
      </c>
      <c r="AA30" s="1"/>
      <c r="AB30" s="1"/>
    </row>
    <row r="31" spans="1:28" ht="15.6" x14ac:dyDescent="0.3">
      <c r="A31">
        <v>19</v>
      </c>
      <c r="B31" t="str">
        <f>INPUT!B30</f>
        <v>Manalo, Joaquin</v>
      </c>
      <c r="F31" s="1">
        <f>TERM1!AA30</f>
        <v>91</v>
      </c>
      <c r="G31" s="1"/>
      <c r="H31" s="1"/>
      <c r="I31" s="1"/>
      <c r="J31" s="1">
        <f>TERM2!AA30</f>
        <v>83</v>
      </c>
      <c r="K31" s="1"/>
      <c r="L31" s="1"/>
      <c r="M31" s="1"/>
      <c r="N31" s="1">
        <f>TERM3!AA30</f>
        <v>87</v>
      </c>
      <c r="O31" s="1"/>
      <c r="P31" s="1"/>
      <c r="Q31" s="1"/>
      <c r="R31" s="1">
        <f t="shared" si="0"/>
        <v>87</v>
      </c>
      <c r="S31" s="1"/>
      <c r="T31" s="1"/>
      <c r="U31" s="1"/>
      <c r="V31" s="1" t="str">
        <f t="shared" si="1"/>
        <v>Benchmarking</v>
      </c>
      <c r="W31" s="1"/>
      <c r="X31" s="1"/>
      <c r="Y31" s="1"/>
      <c r="Z31" s="1" t="str">
        <f t="shared" si="2"/>
        <v>PASSED</v>
      </c>
      <c r="AA31" s="1"/>
      <c r="AB31" s="1"/>
    </row>
    <row r="32" spans="1:28" ht="15.6" x14ac:dyDescent="0.3">
      <c r="A32">
        <v>20</v>
      </c>
      <c r="B32" t="str">
        <f>INPUT!B31</f>
        <v>Mendoza, Joshua</v>
      </c>
      <c r="F32" s="1">
        <f>TERM1!AA31</f>
        <v>84</v>
      </c>
      <c r="G32" s="1"/>
      <c r="H32" s="1"/>
      <c r="I32" s="1"/>
      <c r="J32" s="1">
        <f>TERM2!AA31</f>
        <v>83</v>
      </c>
      <c r="K32" s="1"/>
      <c r="L32" s="1"/>
      <c r="M32" s="1"/>
      <c r="N32" s="1">
        <f>TERM3!AA31</f>
        <v>79</v>
      </c>
      <c r="O32" s="1"/>
      <c r="P32" s="1"/>
      <c r="Q32" s="1"/>
      <c r="R32" s="1">
        <f t="shared" si="0"/>
        <v>82</v>
      </c>
      <c r="S32" s="1"/>
      <c r="T32" s="1"/>
      <c r="U32" s="1"/>
      <c r="V32" s="1" t="str">
        <f t="shared" si="1"/>
        <v>Benchmarking</v>
      </c>
      <c r="W32" s="1"/>
      <c r="X32" s="1"/>
      <c r="Y32" s="1"/>
      <c r="Z32" s="1" t="str">
        <f t="shared" si="2"/>
        <v>PASSED</v>
      </c>
      <c r="AA32" s="1"/>
      <c r="AB32" s="1"/>
    </row>
    <row r="33" spans="1:28" ht="15.6" x14ac:dyDescent="0.3">
      <c r="A33">
        <v>21</v>
      </c>
      <c r="B33" t="str">
        <f>INPUT!B32</f>
        <v>Navarro, Lance</v>
      </c>
      <c r="F33" s="1">
        <f>TERM1!AA32</f>
        <v>96</v>
      </c>
      <c r="G33" s="1"/>
      <c r="H33" s="1"/>
      <c r="I33" s="1"/>
      <c r="J33" s="1">
        <f>TERM2!AA32</f>
        <v>94</v>
      </c>
      <c r="K33" s="1"/>
      <c r="L33" s="1"/>
      <c r="M33" s="1"/>
      <c r="N33" s="1">
        <f>TERM3!AA32</f>
        <v>97</v>
      </c>
      <c r="O33" s="1"/>
      <c r="P33" s="1"/>
      <c r="Q33" s="1"/>
      <c r="R33" s="1">
        <f t="shared" si="0"/>
        <v>96</v>
      </c>
      <c r="S33" s="1"/>
      <c r="T33" s="1"/>
      <c r="U33" s="1"/>
      <c r="V33" s="1" t="str">
        <f t="shared" si="1"/>
        <v>Advancing</v>
      </c>
      <c r="W33" s="1"/>
      <c r="X33" s="1"/>
      <c r="Y33" s="1"/>
      <c r="Z33" s="1" t="str">
        <f t="shared" si="2"/>
        <v>PASSED</v>
      </c>
      <c r="AA33" s="1"/>
      <c r="AB33" s="1"/>
    </row>
    <row r="34" spans="1:28" ht="15.6" x14ac:dyDescent="0.3">
      <c r="A34">
        <v>22</v>
      </c>
      <c r="B34" t="str">
        <f>INPUT!B33</f>
        <v>Ocampo, Luis</v>
      </c>
      <c r="F34" s="1">
        <f>TERM1!AA33</f>
        <v>75</v>
      </c>
      <c r="G34" s="1"/>
      <c r="H34" s="1"/>
      <c r="I34" s="1"/>
      <c r="J34" s="1">
        <f>TERM2!AA33</f>
        <v>76</v>
      </c>
      <c r="K34" s="1"/>
      <c r="L34" s="1"/>
      <c r="M34" s="1"/>
      <c r="N34" s="1">
        <f>TERM3!AA33</f>
        <v>79</v>
      </c>
      <c r="O34" s="1"/>
      <c r="P34" s="1"/>
      <c r="Q34" s="1"/>
      <c r="R34" s="1">
        <f t="shared" si="0"/>
        <v>77</v>
      </c>
      <c r="S34" s="1"/>
      <c r="T34" s="1"/>
      <c r="U34" s="1"/>
      <c r="V34" s="1" t="str">
        <f t="shared" si="1"/>
        <v>Connecting</v>
      </c>
      <c r="W34" s="1"/>
      <c r="X34" s="1"/>
      <c r="Y34" s="1"/>
      <c r="Z34" s="1" t="str">
        <f t="shared" si="2"/>
        <v>PASSED</v>
      </c>
      <c r="AA34" s="1"/>
      <c r="AB34" s="1"/>
    </row>
    <row r="35" spans="1:28" ht="15.6" x14ac:dyDescent="0.3">
      <c r="A35">
        <v>23</v>
      </c>
      <c r="B35" t="str">
        <f>INPUT!B34</f>
        <v>Ortega, Marco</v>
      </c>
      <c r="F35" s="1">
        <f>TERM1!AA34</f>
        <v>91</v>
      </c>
      <c r="G35" s="1"/>
      <c r="H35" s="1"/>
      <c r="I35" s="1"/>
      <c r="J35" s="1">
        <f>TERM2!AA34</f>
        <v>86</v>
      </c>
      <c r="K35" s="1"/>
      <c r="L35" s="1"/>
      <c r="M35" s="1"/>
      <c r="N35" s="1">
        <f>TERM3!AA34</f>
        <v>91</v>
      </c>
      <c r="O35" s="1"/>
      <c r="P35" s="1"/>
      <c r="Q35" s="1"/>
      <c r="R35" s="1">
        <f t="shared" si="0"/>
        <v>89</v>
      </c>
      <c r="S35" s="1"/>
      <c r="T35" s="1"/>
      <c r="U35" s="1"/>
      <c r="V35" s="1" t="str">
        <f t="shared" si="1"/>
        <v>Benchmarking</v>
      </c>
      <c r="W35" s="1"/>
      <c r="X35" s="1"/>
      <c r="Y35" s="1"/>
      <c r="Z35" s="1" t="str">
        <f t="shared" si="2"/>
        <v>PASSED</v>
      </c>
      <c r="AA35" s="1"/>
      <c r="AB35" s="1"/>
    </row>
    <row r="36" spans="1:28" ht="15.6" x14ac:dyDescent="0.3">
      <c r="A36">
        <v>24</v>
      </c>
      <c r="B36" t="str">
        <f>INPUT!B35</f>
        <v>Pascual, Martin</v>
      </c>
      <c r="F36" s="1">
        <f>TERM1!AA35</f>
        <v>82</v>
      </c>
      <c r="G36" s="1"/>
      <c r="H36" s="1"/>
      <c r="I36" s="1"/>
      <c r="J36" s="1">
        <f>TERM2!AA35</f>
        <v>85</v>
      </c>
      <c r="K36" s="1"/>
      <c r="L36" s="1"/>
      <c r="M36" s="1"/>
      <c r="N36" s="1">
        <f>TERM3!AA35</f>
        <v>78</v>
      </c>
      <c r="O36" s="1"/>
      <c r="P36" s="1"/>
      <c r="Q36" s="1"/>
      <c r="R36" s="1">
        <f t="shared" si="0"/>
        <v>82</v>
      </c>
      <c r="S36" s="1"/>
      <c r="T36" s="1"/>
      <c r="U36" s="1"/>
      <c r="V36" s="1" t="str">
        <f t="shared" si="1"/>
        <v>Benchmarking</v>
      </c>
      <c r="W36" s="1"/>
      <c r="X36" s="1"/>
      <c r="Y36" s="1"/>
      <c r="Z36" s="1" t="str">
        <f t="shared" si="2"/>
        <v>PASSED</v>
      </c>
      <c r="AA36" s="1"/>
      <c r="AB36" s="1"/>
    </row>
    <row r="37" spans="1:28" ht="15.6" x14ac:dyDescent="0.3">
      <c r="A37">
        <v>25</v>
      </c>
      <c r="B37" t="str">
        <f>INPUT!B36</f>
        <v>Quizon, Matthew</v>
      </c>
      <c r="F37" s="1">
        <f>TERM1!AA36</f>
        <v>75</v>
      </c>
      <c r="G37" s="1"/>
      <c r="H37" s="1"/>
      <c r="I37" s="1"/>
      <c r="J37" s="1">
        <f>TERM2!AA36</f>
        <v>75</v>
      </c>
      <c r="K37" s="1"/>
      <c r="L37" s="1"/>
      <c r="M37" s="1"/>
      <c r="N37" s="1">
        <f>TERM3!AA36</f>
        <v>75</v>
      </c>
      <c r="O37" s="1"/>
      <c r="P37" s="1"/>
      <c r="Q37" s="1"/>
      <c r="R37" s="1">
        <f t="shared" si="0"/>
        <v>75</v>
      </c>
      <c r="S37" s="1"/>
      <c r="T37" s="1"/>
      <c r="U37" s="1"/>
      <c r="V37" s="1" t="str">
        <f t="shared" si="1"/>
        <v>Connecting</v>
      </c>
      <c r="W37" s="1"/>
      <c r="X37" s="1"/>
      <c r="Y37" s="1"/>
      <c r="Z37" s="1" t="str">
        <f t="shared" si="2"/>
        <v>PASSED</v>
      </c>
      <c r="AA37" s="1"/>
      <c r="AB37" s="1"/>
    </row>
    <row r="38" spans="1:28" ht="15.6" x14ac:dyDescent="0.3">
      <c r="A38">
        <v>26</v>
      </c>
      <c r="B38" t="str">
        <f>INPUT!B37</f>
        <v>Ramos, Miguel</v>
      </c>
      <c r="F38" s="1">
        <f>TERM1!AA37</f>
        <v>78</v>
      </c>
      <c r="G38" s="1"/>
      <c r="H38" s="1"/>
      <c r="I38" s="1"/>
      <c r="J38" s="1">
        <f>TERM2!AA37</f>
        <v>79</v>
      </c>
      <c r="K38" s="1"/>
      <c r="L38" s="1"/>
      <c r="M38" s="1"/>
      <c r="N38" s="1">
        <f>TERM3!AA37</f>
        <v>77</v>
      </c>
      <c r="O38" s="1"/>
      <c r="P38" s="1"/>
      <c r="Q38" s="1"/>
      <c r="R38" s="1">
        <f t="shared" si="0"/>
        <v>78</v>
      </c>
      <c r="S38" s="1"/>
      <c r="T38" s="1"/>
      <c r="U38" s="1"/>
      <c r="V38" s="1" t="str">
        <f t="shared" si="1"/>
        <v>Connecting</v>
      </c>
      <c r="W38" s="1"/>
      <c r="X38" s="1"/>
      <c r="Y38" s="1"/>
      <c r="Z38" s="1" t="str">
        <f t="shared" si="2"/>
        <v>PASSED</v>
      </c>
      <c r="AA38" s="1"/>
      <c r="AB38" s="1"/>
    </row>
    <row r="39" spans="1:28" ht="15.6" x14ac:dyDescent="0.3">
      <c r="A39">
        <v>27</v>
      </c>
      <c r="B39" t="str">
        <f>INPUT!B38</f>
        <v>Reyes, Nathan</v>
      </c>
      <c r="F39" s="1">
        <f>TERM1!AA38</f>
        <v>86</v>
      </c>
      <c r="G39" s="1"/>
      <c r="H39" s="1"/>
      <c r="I39" s="1"/>
      <c r="J39" s="1">
        <f>TERM2!AA38</f>
        <v>90</v>
      </c>
      <c r="K39" s="1"/>
      <c r="L39" s="1"/>
      <c r="M39" s="1"/>
      <c r="N39" s="1">
        <f>TERM3!AA38</f>
        <v>91</v>
      </c>
      <c r="O39" s="1"/>
      <c r="P39" s="1"/>
      <c r="Q39" s="1"/>
      <c r="R39" s="1">
        <f t="shared" si="0"/>
        <v>89</v>
      </c>
      <c r="S39" s="1"/>
      <c r="T39" s="1"/>
      <c r="U39" s="1"/>
      <c r="V39" s="1" t="str">
        <f t="shared" si="1"/>
        <v>Benchmarking</v>
      </c>
      <c r="W39" s="1"/>
      <c r="X39" s="1"/>
      <c r="Y39" s="1"/>
      <c r="Z39" s="1" t="str">
        <f t="shared" si="2"/>
        <v>PASSED</v>
      </c>
      <c r="AA39" s="1"/>
      <c r="AB39" s="1"/>
    </row>
    <row r="40" spans="1:28" ht="15.6" x14ac:dyDescent="0.3">
      <c r="A40">
        <v>28</v>
      </c>
      <c r="B40" t="str">
        <f>INPUT!B39</f>
        <v>Rivera, Noah</v>
      </c>
      <c r="F40" s="1">
        <f>TERM1!AA39</f>
        <v>62</v>
      </c>
      <c r="G40" s="1"/>
      <c r="H40" s="1"/>
      <c r="I40" s="1"/>
      <c r="J40" s="1">
        <f>TERM2!AA39</f>
        <v>62</v>
      </c>
      <c r="K40" s="1"/>
      <c r="L40" s="1"/>
      <c r="M40" s="1"/>
      <c r="N40" s="1">
        <f>TERM3!AA39</f>
        <v>62</v>
      </c>
      <c r="O40" s="1"/>
      <c r="P40" s="1"/>
      <c r="Q40" s="1"/>
      <c r="R40" s="1">
        <f t="shared" si="0"/>
        <v>62</v>
      </c>
      <c r="S40" s="1"/>
      <c r="T40" s="1"/>
      <c r="U40" s="1"/>
      <c r="V40" s="1" t="str">
        <f t="shared" si="1"/>
        <v>Emerging</v>
      </c>
      <c r="W40" s="1"/>
      <c r="X40" s="1"/>
      <c r="Y40" s="1"/>
      <c r="Z40" s="1" t="str">
        <f t="shared" si="2"/>
        <v>FAILED</v>
      </c>
      <c r="AA40" s="1"/>
      <c r="AB40" s="1"/>
    </row>
    <row r="41" spans="1:28" ht="15.6" x14ac:dyDescent="0.3">
      <c r="A41">
        <v>29</v>
      </c>
      <c r="B41" t="str">
        <f>INPUT!B40</f>
        <v>Rosales, Oliver</v>
      </c>
      <c r="F41" s="1">
        <f>TERM1!AA40</f>
        <v>79</v>
      </c>
      <c r="G41" s="1"/>
      <c r="H41" s="1"/>
      <c r="I41" s="1"/>
      <c r="J41" s="1">
        <f>TERM2!AA40</f>
        <v>82</v>
      </c>
      <c r="K41" s="1"/>
      <c r="L41" s="1"/>
      <c r="M41" s="1"/>
      <c r="N41" s="1">
        <f>TERM3!AA40</f>
        <v>85</v>
      </c>
      <c r="O41" s="1"/>
      <c r="P41" s="1"/>
      <c r="Q41" s="1"/>
      <c r="R41" s="1">
        <f t="shared" si="0"/>
        <v>82</v>
      </c>
      <c r="S41" s="1"/>
      <c r="T41" s="1"/>
      <c r="U41" s="1"/>
      <c r="V41" s="1" t="str">
        <f t="shared" si="1"/>
        <v>Benchmarking</v>
      </c>
      <c r="W41" s="1"/>
      <c r="X41" s="1"/>
      <c r="Y41" s="1"/>
      <c r="Z41" s="1" t="str">
        <f t="shared" si="2"/>
        <v>PASSED</v>
      </c>
      <c r="AA41" s="1"/>
      <c r="AB41" s="1"/>
    </row>
    <row r="42" spans="1:28" ht="15.6" x14ac:dyDescent="0.3">
      <c r="A42">
        <v>30</v>
      </c>
      <c r="B42" t="str">
        <f>INPUT!B41</f>
        <v>Salazar, Paolo</v>
      </c>
      <c r="F42" s="1">
        <f>TERM1!AA41</f>
        <v>87</v>
      </c>
      <c r="G42" s="1"/>
      <c r="H42" s="1"/>
      <c r="I42" s="1"/>
      <c r="J42" s="1">
        <f>TERM2!AA41</f>
        <v>85</v>
      </c>
      <c r="K42" s="1"/>
      <c r="L42" s="1"/>
      <c r="M42" s="1"/>
      <c r="N42" s="1">
        <f>TERM3!AA41</f>
        <v>77</v>
      </c>
      <c r="O42" s="1"/>
      <c r="P42" s="1"/>
      <c r="Q42" s="1"/>
      <c r="R42" s="1">
        <f t="shared" si="0"/>
        <v>83</v>
      </c>
      <c r="S42" s="1"/>
      <c r="T42" s="1"/>
      <c r="U42" s="1"/>
      <c r="V42" s="1" t="str">
        <f t="shared" si="1"/>
        <v>Benchmarking</v>
      </c>
      <c r="W42" s="1"/>
      <c r="X42" s="1"/>
      <c r="Y42" s="1"/>
      <c r="Z42" s="1" t="str">
        <f t="shared" si="2"/>
        <v>PASSED</v>
      </c>
      <c r="AA42" s="1"/>
      <c r="AB42" s="1"/>
    </row>
    <row r="43" spans="1:28" ht="15.6" x14ac:dyDescent="0.3">
      <c r="A43">
        <v>31</v>
      </c>
      <c r="B43" t="str">
        <f>INPUT!B42</f>
        <v>Santiago, Patrick</v>
      </c>
      <c r="F43" s="1">
        <f>TERM1!AA42</f>
        <v>93</v>
      </c>
      <c r="G43" s="1"/>
      <c r="H43" s="1"/>
      <c r="I43" s="1"/>
      <c r="J43" s="1">
        <f>TERM2!AA42</f>
        <v>92</v>
      </c>
      <c r="K43" s="1"/>
      <c r="L43" s="1"/>
      <c r="M43" s="1"/>
      <c r="N43" s="1">
        <f>TERM3!AA42</f>
        <v>92</v>
      </c>
      <c r="O43" s="1"/>
      <c r="P43" s="1"/>
      <c r="Q43" s="1"/>
      <c r="R43" s="1">
        <f t="shared" si="0"/>
        <v>92</v>
      </c>
      <c r="S43" s="1"/>
      <c r="T43" s="1"/>
      <c r="U43" s="1"/>
      <c r="V43" s="1" t="str">
        <f t="shared" si="1"/>
        <v>Advancing</v>
      </c>
      <c r="W43" s="1"/>
      <c r="X43" s="1"/>
      <c r="Y43" s="1"/>
      <c r="Z43" s="1" t="str">
        <f t="shared" si="2"/>
        <v>PASSED</v>
      </c>
      <c r="AA43" s="1"/>
      <c r="AB43" s="1"/>
    </row>
    <row r="44" spans="1:28" ht="15.6" x14ac:dyDescent="0.3">
      <c r="A44">
        <v>32</v>
      </c>
      <c r="B44" t="str">
        <f>INPUT!B43</f>
        <v>Santos, Rafael</v>
      </c>
      <c r="F44" s="1">
        <f>TERM1!AA43</f>
        <v>88</v>
      </c>
      <c r="G44" s="1"/>
      <c r="H44" s="1"/>
      <c r="I44" s="1"/>
      <c r="J44" s="1">
        <f>TERM2!AA43</f>
        <v>91</v>
      </c>
      <c r="K44" s="1"/>
      <c r="L44" s="1"/>
      <c r="M44" s="1"/>
      <c r="N44" s="1">
        <f>TERM3!AA43</f>
        <v>98</v>
      </c>
      <c r="O44" s="1"/>
      <c r="P44" s="1"/>
      <c r="Q44" s="1"/>
      <c r="R44" s="1">
        <f t="shared" si="0"/>
        <v>92</v>
      </c>
      <c r="S44" s="1"/>
      <c r="T44" s="1"/>
      <c r="U44" s="1"/>
      <c r="V44" s="1" t="str">
        <f t="shared" si="1"/>
        <v>Advancing</v>
      </c>
      <c r="W44" s="1"/>
      <c r="X44" s="1"/>
      <c r="Y44" s="1"/>
      <c r="Z44" s="1" t="str">
        <f t="shared" si="2"/>
        <v>PASSED</v>
      </c>
      <c r="AA44" s="1"/>
      <c r="AB44" s="1"/>
    </row>
    <row r="45" spans="1:28" ht="15.6" x14ac:dyDescent="0.3">
      <c r="A45">
        <v>33</v>
      </c>
      <c r="B45" t="str">
        <f>INPUT!B44</f>
        <v>Soriano, Raymond</v>
      </c>
      <c r="F45" s="1">
        <f>TERM1!AA44</f>
        <v>89</v>
      </c>
      <c r="G45" s="1"/>
      <c r="H45" s="1"/>
      <c r="I45" s="1"/>
      <c r="J45" s="1">
        <f>TERM2!AA44</f>
        <v>94</v>
      </c>
      <c r="K45" s="1"/>
      <c r="L45" s="1"/>
      <c r="M45" s="1"/>
      <c r="N45" s="1">
        <f>TERM3!AA44</f>
        <v>91</v>
      </c>
      <c r="O45" s="1"/>
      <c r="P45" s="1"/>
      <c r="Q45" s="1"/>
      <c r="R45" s="1">
        <f t="shared" ref="R45:R62" si="3">IF(OR(F45="",J45="",N45=""),"",IF(ISERROR(ROUND(AVERAGE(F45,J45,N45),0)),"",ROUND(AVERAGE(F45,J45,N45),0)))</f>
        <v>91</v>
      </c>
      <c r="S45" s="1"/>
      <c r="T45" s="1"/>
      <c r="U45" s="1"/>
      <c r="V45" s="1" t="str">
        <f t="shared" ref="V45:V62" si="4">IF(ISERROR(IF(R45="","",VLOOKUP(R45,DESCRIPTORS,4,TRUE))),"",IF(R45="","",VLOOKUP(R45,DESCRIPTORS,4,TRUE)))</f>
        <v>Advancing</v>
      </c>
      <c r="W45" s="1"/>
      <c r="X45" s="1"/>
      <c r="Y45" s="1"/>
      <c r="Z45" s="1" t="str">
        <f t="shared" ref="Z45:Z62" si="5">IF(OR($F45="",$J45="",$N45="",$R45=""),"",IF($R45&gt;=75,"PASSED","FAILED"))</f>
        <v>PASSED</v>
      </c>
      <c r="AA45" s="1"/>
      <c r="AB45" s="1"/>
    </row>
    <row r="46" spans="1:28" ht="15.6" x14ac:dyDescent="0.3">
      <c r="A46">
        <v>34</v>
      </c>
      <c r="B46" t="str">
        <f>INPUT!B45</f>
        <v>Torres, Rico</v>
      </c>
      <c r="F46" s="1">
        <f>TERM1!AA45</f>
        <v>78</v>
      </c>
      <c r="G46" s="1"/>
      <c r="H46" s="1"/>
      <c r="I46" s="1"/>
      <c r="J46" s="1">
        <f>TERM2!AA45</f>
        <v>80</v>
      </c>
      <c r="K46" s="1"/>
      <c r="L46" s="1"/>
      <c r="M46" s="1"/>
      <c r="N46" s="1">
        <f>TERM3!AA45</f>
        <v>79</v>
      </c>
      <c r="O46" s="1"/>
      <c r="P46" s="1"/>
      <c r="Q46" s="1"/>
      <c r="R46" s="1">
        <f t="shared" si="3"/>
        <v>79</v>
      </c>
      <c r="S46" s="1"/>
      <c r="T46" s="1"/>
      <c r="U46" s="1"/>
      <c r="V46" s="1" t="str">
        <f t="shared" si="4"/>
        <v>Connecting</v>
      </c>
      <c r="W46" s="1"/>
      <c r="X46" s="1"/>
      <c r="Y46" s="1"/>
      <c r="Z46" s="1" t="str">
        <f t="shared" si="5"/>
        <v>PASSED</v>
      </c>
      <c r="AA46" s="1"/>
      <c r="AB46" s="1"/>
    </row>
    <row r="47" spans="1:28" ht="15.6" x14ac:dyDescent="0.3">
      <c r="A47">
        <v>35</v>
      </c>
      <c r="B47" t="str">
        <f>INPUT!B46</f>
        <v>Valdez, Samuel</v>
      </c>
      <c r="F47" s="1">
        <f>TERM1!AA46</f>
        <v>94</v>
      </c>
      <c r="G47" s="1"/>
      <c r="H47" s="1"/>
      <c r="I47" s="1"/>
      <c r="J47" s="1">
        <f>TERM2!AA46</f>
        <v>97</v>
      </c>
      <c r="K47" s="1"/>
      <c r="L47" s="1"/>
      <c r="M47" s="1"/>
      <c r="N47" s="1">
        <f>TERM3!AA46</f>
        <v>90</v>
      </c>
      <c r="O47" s="1"/>
      <c r="P47" s="1"/>
      <c r="Q47" s="1"/>
      <c r="R47" s="1">
        <f t="shared" si="3"/>
        <v>94</v>
      </c>
      <c r="S47" s="1"/>
      <c r="T47" s="1"/>
      <c r="U47" s="1"/>
      <c r="V47" s="1" t="str">
        <f t="shared" si="4"/>
        <v>Advancing</v>
      </c>
      <c r="W47" s="1"/>
      <c r="X47" s="1"/>
      <c r="Y47" s="1"/>
      <c r="Z47" s="1" t="str">
        <f t="shared" si="5"/>
        <v>PASSED</v>
      </c>
      <c r="AA47" s="1"/>
      <c r="AB47" s="1"/>
    </row>
    <row r="48" spans="1:28" ht="15.6" x14ac:dyDescent="0.3">
      <c r="A48">
        <v>36</v>
      </c>
      <c r="B48" t="str">
        <f>INPUT!B47</f>
        <v>Velasco, Sebastian</v>
      </c>
      <c r="F48" s="1">
        <f>TERM1!AA47</f>
        <v>63</v>
      </c>
      <c r="G48" s="1"/>
      <c r="H48" s="1"/>
      <c r="I48" s="1"/>
      <c r="J48" s="1">
        <f>TERM2!AA47</f>
        <v>62</v>
      </c>
      <c r="K48" s="1"/>
      <c r="L48" s="1"/>
      <c r="M48" s="1"/>
      <c r="N48" s="1">
        <f>TERM3!AA47</f>
        <v>61</v>
      </c>
      <c r="O48" s="1"/>
      <c r="P48" s="1"/>
      <c r="Q48" s="1"/>
      <c r="R48" s="1">
        <f t="shared" si="3"/>
        <v>62</v>
      </c>
      <c r="S48" s="1"/>
      <c r="T48" s="1"/>
      <c r="U48" s="1"/>
      <c r="V48" s="1" t="str">
        <f t="shared" si="4"/>
        <v>Emerging</v>
      </c>
      <c r="W48" s="1"/>
      <c r="X48" s="1"/>
      <c r="Y48" s="1"/>
      <c r="Z48" s="1" t="str">
        <f t="shared" si="5"/>
        <v>FAILED</v>
      </c>
      <c r="AA48" s="1"/>
      <c r="AB48" s="1"/>
    </row>
    <row r="49" spans="1:28" ht="15.6" x14ac:dyDescent="0.3">
      <c r="A49">
        <v>37</v>
      </c>
      <c r="B49" t="str">
        <f>INPUT!B48</f>
        <v>Villanueva, Simon</v>
      </c>
      <c r="F49" s="1">
        <f>TERM1!AA48</f>
        <v>80</v>
      </c>
      <c r="G49" s="1"/>
      <c r="H49" s="1"/>
      <c r="I49" s="1"/>
      <c r="J49" s="1">
        <f>TERM2!AA48</f>
        <v>83</v>
      </c>
      <c r="K49" s="1"/>
      <c r="L49" s="1"/>
      <c r="M49" s="1"/>
      <c r="N49" s="1">
        <f>TERM3!AA48</f>
        <v>81</v>
      </c>
      <c r="O49" s="1"/>
      <c r="P49" s="1"/>
      <c r="Q49" s="1"/>
      <c r="R49" s="1">
        <f t="shared" si="3"/>
        <v>81</v>
      </c>
      <c r="S49" s="1"/>
      <c r="T49" s="1"/>
      <c r="U49" s="1"/>
      <c r="V49" s="1" t="str">
        <f t="shared" si="4"/>
        <v>Benchmarking</v>
      </c>
      <c r="W49" s="1"/>
      <c r="X49" s="1"/>
      <c r="Y49" s="1"/>
      <c r="Z49" s="1" t="str">
        <f t="shared" si="5"/>
        <v>PASSED</v>
      </c>
      <c r="AA49" s="1"/>
      <c r="AB49" s="1"/>
    </row>
    <row r="50" spans="1:28" ht="15.6" x14ac:dyDescent="0.3">
      <c r="A50">
        <v>38</v>
      </c>
      <c r="B50" t="str">
        <f>INPUT!B49</f>
        <v>Yap, Stephen</v>
      </c>
      <c r="F50" s="1">
        <f>TERM1!AA49</f>
        <v>77</v>
      </c>
      <c r="G50" s="1"/>
      <c r="H50" s="1"/>
      <c r="I50" s="1"/>
      <c r="J50" s="1">
        <f>TERM2!AA49</f>
        <v>75</v>
      </c>
      <c r="K50" s="1"/>
      <c r="L50" s="1"/>
      <c r="M50" s="1"/>
      <c r="N50" s="1">
        <f>TERM3!AA49</f>
        <v>76</v>
      </c>
      <c r="O50" s="1"/>
      <c r="P50" s="1"/>
      <c r="Q50" s="1"/>
      <c r="R50" s="1">
        <f t="shared" si="3"/>
        <v>76</v>
      </c>
      <c r="S50" s="1"/>
      <c r="T50" s="1"/>
      <c r="U50" s="1"/>
      <c r="V50" s="1" t="str">
        <f t="shared" si="4"/>
        <v>Connecting</v>
      </c>
      <c r="W50" s="1"/>
      <c r="X50" s="1"/>
      <c r="Y50" s="1"/>
      <c r="Z50" s="1" t="str">
        <f t="shared" si="5"/>
        <v>PASSED</v>
      </c>
      <c r="AA50" s="1"/>
      <c r="AB50" s="1"/>
    </row>
    <row r="51" spans="1:28" ht="15.6" x14ac:dyDescent="0.3">
      <c r="A51">
        <v>39</v>
      </c>
      <c r="B51" t="str">
        <f>INPUT!B50</f>
        <v>Zamora, Thomas</v>
      </c>
      <c r="F51" s="1">
        <f>TERM1!AA50</f>
        <v>90</v>
      </c>
      <c r="G51" s="1"/>
      <c r="H51" s="1"/>
      <c r="I51" s="1"/>
      <c r="J51" s="1">
        <f>TERM2!AA50</f>
        <v>92</v>
      </c>
      <c r="K51" s="1"/>
      <c r="L51" s="1"/>
      <c r="M51" s="1"/>
      <c r="N51" s="1">
        <f>TERM3!AA50</f>
        <v>84</v>
      </c>
      <c r="O51" s="1"/>
      <c r="P51" s="1"/>
      <c r="Q51" s="1"/>
      <c r="R51" s="1">
        <f t="shared" si="3"/>
        <v>89</v>
      </c>
      <c r="S51" s="1"/>
      <c r="T51" s="1"/>
      <c r="U51" s="1"/>
      <c r="V51" s="1" t="str">
        <f t="shared" si="4"/>
        <v>Benchmarking</v>
      </c>
      <c r="W51" s="1"/>
      <c r="X51" s="1"/>
      <c r="Y51" s="1"/>
      <c r="Z51" s="1" t="str">
        <f t="shared" si="5"/>
        <v>PASSED</v>
      </c>
      <c r="AA51" s="1"/>
      <c r="AB51" s="1"/>
    </row>
    <row r="52" spans="1:28" ht="15.6" x14ac:dyDescent="0.3">
      <c r="A52">
        <v>40</v>
      </c>
      <c r="B52" t="str">
        <f>INPUT!B51</f>
        <v>Zuniga, Vincent</v>
      </c>
      <c r="F52" s="1">
        <f>TERM1!AA51</f>
        <v>77</v>
      </c>
      <c r="G52" s="1"/>
      <c r="H52" s="1"/>
      <c r="I52" s="1"/>
      <c r="J52" s="1">
        <f>TERM2!AA51</f>
        <v>73</v>
      </c>
      <c r="K52" s="1"/>
      <c r="L52" s="1"/>
      <c r="M52" s="1"/>
      <c r="N52" s="1">
        <f>TERM3!AA51</f>
        <v>75</v>
      </c>
      <c r="O52" s="1"/>
      <c r="P52" s="1"/>
      <c r="Q52" s="1"/>
      <c r="R52" s="1">
        <f t="shared" si="3"/>
        <v>75</v>
      </c>
      <c r="S52" s="1"/>
      <c r="T52" s="1"/>
      <c r="U52" s="1"/>
      <c r="V52" s="1" t="str">
        <f t="shared" si="4"/>
        <v>Connecting</v>
      </c>
      <c r="W52" s="1"/>
      <c r="X52" s="1"/>
      <c r="Y52" s="1"/>
      <c r="Z52" s="1" t="str">
        <f t="shared" si="5"/>
        <v>PASSED</v>
      </c>
      <c r="AA52" s="1"/>
      <c r="AB52" s="1"/>
    </row>
    <row r="53" spans="1:28" ht="15.6" x14ac:dyDescent="0.3">
      <c r="A53">
        <v>41</v>
      </c>
      <c r="B53" t="str">
        <f>INPUT!B52</f>
        <v>Abad, Xavier</v>
      </c>
      <c r="F53" s="1">
        <f>TERM1!AA52</f>
        <v>88</v>
      </c>
      <c r="G53" s="1"/>
      <c r="H53" s="1"/>
      <c r="I53" s="1"/>
      <c r="J53" s="1">
        <f>TERM2!AA52</f>
        <v>85</v>
      </c>
      <c r="K53" s="1"/>
      <c r="L53" s="1"/>
      <c r="M53" s="1"/>
      <c r="N53" s="1">
        <f>TERM3!AA52</f>
        <v>89</v>
      </c>
      <c r="O53" s="1"/>
      <c r="P53" s="1"/>
      <c r="Q53" s="1"/>
      <c r="R53" s="1">
        <f t="shared" si="3"/>
        <v>87</v>
      </c>
      <c r="S53" s="1"/>
      <c r="T53" s="1"/>
      <c r="U53" s="1"/>
      <c r="V53" s="1" t="str">
        <f t="shared" si="4"/>
        <v>Benchmarking</v>
      </c>
      <c r="W53" s="1"/>
      <c r="X53" s="1"/>
      <c r="Y53" s="1"/>
      <c r="Z53" s="1" t="str">
        <f t="shared" si="5"/>
        <v>PASSED</v>
      </c>
      <c r="AA53" s="1"/>
      <c r="AB53" s="1"/>
    </row>
    <row r="54" spans="1:28" ht="15.6" x14ac:dyDescent="0.3">
      <c r="A54">
        <v>42</v>
      </c>
      <c r="B54" t="str">
        <f>INPUT!B53</f>
        <v>Agustin, Zachary</v>
      </c>
      <c r="F54" s="1">
        <f>TERM1!AA53</f>
        <v>75</v>
      </c>
      <c r="G54" s="1"/>
      <c r="H54" s="1"/>
      <c r="I54" s="1"/>
      <c r="J54" s="1">
        <f>TERM2!AA53</f>
        <v>75</v>
      </c>
      <c r="K54" s="1"/>
      <c r="L54" s="1"/>
      <c r="M54" s="1"/>
      <c r="N54" s="1">
        <f>TERM3!AA53</f>
        <v>75</v>
      </c>
      <c r="O54" s="1"/>
      <c r="P54" s="1"/>
      <c r="Q54" s="1"/>
      <c r="R54" s="1">
        <f t="shared" si="3"/>
        <v>75</v>
      </c>
      <c r="S54" s="1"/>
      <c r="T54" s="1"/>
      <c r="U54" s="1"/>
      <c r="V54" s="1" t="str">
        <f t="shared" si="4"/>
        <v>Connecting</v>
      </c>
      <c r="W54" s="1"/>
      <c r="X54" s="1"/>
      <c r="Y54" s="1"/>
      <c r="Z54" s="1" t="str">
        <f t="shared" si="5"/>
        <v>PASSED</v>
      </c>
      <c r="AA54" s="1"/>
      <c r="AB54" s="1"/>
    </row>
    <row r="55" spans="1:28" ht="15.6" x14ac:dyDescent="0.3">
      <c r="A55">
        <v>43</v>
      </c>
      <c r="B55" t="str">
        <f>INPUT!B54</f>
        <v>Alvarez, Alvin</v>
      </c>
      <c r="F55" s="1">
        <f>TERM1!AA54</f>
        <v>90</v>
      </c>
      <c r="G55" s="1"/>
      <c r="H55" s="1"/>
      <c r="I55" s="1"/>
      <c r="J55" s="1">
        <f>TERM2!AA54</f>
        <v>84</v>
      </c>
      <c r="K55" s="1"/>
      <c r="L55" s="1"/>
      <c r="M55" s="1"/>
      <c r="N55" s="1">
        <f>TERM3!AA54</f>
        <v>83</v>
      </c>
      <c r="O55" s="1"/>
      <c r="P55" s="1"/>
      <c r="Q55" s="1"/>
      <c r="R55" s="1">
        <f t="shared" si="3"/>
        <v>86</v>
      </c>
      <c r="S55" s="1"/>
      <c r="T55" s="1"/>
      <c r="U55" s="1"/>
      <c r="V55" s="1" t="str">
        <f t="shared" si="4"/>
        <v>Benchmarking</v>
      </c>
      <c r="W55" s="1"/>
      <c r="X55" s="1"/>
      <c r="Y55" s="1"/>
      <c r="Z55" s="1" t="str">
        <f t="shared" si="5"/>
        <v>PASSED</v>
      </c>
      <c r="AA55" s="1"/>
      <c r="AB55" s="1"/>
    </row>
    <row r="56" spans="1:28" ht="15.6" x14ac:dyDescent="0.3">
      <c r="A56">
        <v>44</v>
      </c>
      <c r="B56" t="str">
        <f>INPUT!B55</f>
        <v>Aquino, Andre</v>
      </c>
      <c r="F56" s="1">
        <f>TERM1!AA55</f>
        <v>63</v>
      </c>
      <c r="G56" s="1"/>
      <c r="H56" s="1"/>
      <c r="I56" s="1"/>
      <c r="J56" s="1">
        <f>TERM2!AA55</f>
        <v>63</v>
      </c>
      <c r="K56" s="1"/>
      <c r="L56" s="1"/>
      <c r="M56" s="1"/>
      <c r="N56" s="1">
        <f>TERM3!AA55</f>
        <v>64</v>
      </c>
      <c r="O56" s="1"/>
      <c r="P56" s="1"/>
      <c r="Q56" s="1"/>
      <c r="R56" s="1">
        <f t="shared" si="3"/>
        <v>63</v>
      </c>
      <c r="S56" s="1"/>
      <c r="T56" s="1"/>
      <c r="U56" s="1"/>
      <c r="V56" s="1" t="str">
        <f t="shared" si="4"/>
        <v>Emerging</v>
      </c>
      <c r="W56" s="1"/>
      <c r="X56" s="1"/>
      <c r="Y56" s="1"/>
      <c r="Z56" s="1" t="str">
        <f t="shared" si="5"/>
        <v>FAILED</v>
      </c>
      <c r="AA56" s="1"/>
      <c r="AB56" s="1"/>
    </row>
    <row r="57" spans="1:28" ht="15.6" x14ac:dyDescent="0.3">
      <c r="A57">
        <v>45</v>
      </c>
      <c r="B57" t="str">
        <f>INPUT!B56</f>
        <v>Arceo, Benedict</v>
      </c>
      <c r="F57" s="1">
        <f>TERM1!AA56</f>
        <v>77</v>
      </c>
      <c r="G57" s="1"/>
      <c r="H57" s="1"/>
      <c r="I57" s="1"/>
      <c r="J57" s="1">
        <f>TERM2!AA56</f>
        <v>82</v>
      </c>
      <c r="K57" s="1"/>
      <c r="L57" s="1"/>
      <c r="M57" s="1"/>
      <c r="N57" s="1">
        <f>TERM3!AA56</f>
        <v>78</v>
      </c>
      <c r="O57" s="1"/>
      <c r="P57" s="1"/>
      <c r="Q57" s="1"/>
      <c r="R57" s="1">
        <f t="shared" si="3"/>
        <v>79</v>
      </c>
      <c r="S57" s="1"/>
      <c r="T57" s="1"/>
      <c r="U57" s="1"/>
      <c r="V57" s="1" t="str">
        <f t="shared" si="4"/>
        <v>Connecting</v>
      </c>
      <c r="W57" s="1"/>
      <c r="X57" s="1"/>
      <c r="Y57" s="1"/>
      <c r="Z57" s="1" t="str">
        <f t="shared" si="5"/>
        <v>PASSED</v>
      </c>
      <c r="AA57" s="1"/>
      <c r="AB57" s="1"/>
    </row>
    <row r="58" spans="1:28" ht="15.6" x14ac:dyDescent="0.3">
      <c r="A58">
        <v>46</v>
      </c>
      <c r="B58" t="str">
        <f>INPUT!B57</f>
        <v>Arellano, Cyrus</v>
      </c>
      <c r="F58" s="1">
        <f>TERM1!AA57</f>
        <v>87</v>
      </c>
      <c r="G58" s="1"/>
      <c r="H58" s="1"/>
      <c r="I58" s="1"/>
      <c r="J58" s="1">
        <f>TERM2!AA57</f>
        <v>92</v>
      </c>
      <c r="K58" s="1"/>
      <c r="L58" s="1"/>
      <c r="M58" s="1"/>
      <c r="N58" s="1">
        <f>TERM3!AA57</f>
        <v>87</v>
      </c>
      <c r="O58" s="1"/>
      <c r="P58" s="1"/>
      <c r="Q58" s="1"/>
      <c r="R58" s="1">
        <f t="shared" si="3"/>
        <v>89</v>
      </c>
      <c r="S58" s="1"/>
      <c r="T58" s="1"/>
      <c r="U58" s="1"/>
      <c r="V58" s="1" t="str">
        <f t="shared" si="4"/>
        <v>Benchmarking</v>
      </c>
      <c r="W58" s="1"/>
      <c r="X58" s="1"/>
      <c r="Y58" s="1"/>
      <c r="Z58" s="1" t="str">
        <f t="shared" si="5"/>
        <v>PASSED</v>
      </c>
      <c r="AA58" s="1"/>
      <c r="AB58" s="1"/>
    </row>
    <row r="59" spans="1:28" ht="15.6" x14ac:dyDescent="0.3">
      <c r="A59">
        <v>47</v>
      </c>
      <c r="B59" t="str">
        <f>INPUT!B58</f>
        <v>Barrera, Dominic</v>
      </c>
      <c r="F59" s="1">
        <f>TERM1!AA58</f>
        <v>80</v>
      </c>
      <c r="G59" s="1"/>
      <c r="H59" s="1"/>
      <c r="I59" s="1"/>
      <c r="J59" s="1">
        <f>TERM2!AA58</f>
        <v>84</v>
      </c>
      <c r="K59" s="1"/>
      <c r="L59" s="1"/>
      <c r="M59" s="1"/>
      <c r="N59" s="1">
        <f>TERM3!AA58</f>
        <v>82</v>
      </c>
      <c r="O59" s="1"/>
      <c r="P59" s="1"/>
      <c r="Q59" s="1"/>
      <c r="R59" s="1">
        <f t="shared" si="3"/>
        <v>82</v>
      </c>
      <c r="S59" s="1"/>
      <c r="T59" s="1"/>
      <c r="U59" s="1"/>
      <c r="V59" s="1" t="str">
        <f t="shared" si="4"/>
        <v>Benchmarking</v>
      </c>
      <c r="W59" s="1"/>
      <c r="X59" s="1"/>
      <c r="Y59" s="1"/>
      <c r="Z59" s="1" t="str">
        <f t="shared" si="5"/>
        <v>PASSED</v>
      </c>
      <c r="AA59" s="1"/>
      <c r="AB59" s="1"/>
    </row>
    <row r="60" spans="1:28" ht="15.6" x14ac:dyDescent="0.3">
      <c r="A60">
        <v>48</v>
      </c>
      <c r="B60" t="str">
        <f>INPUT!B59</f>
        <v>Cabral, Emmanuel</v>
      </c>
      <c r="F60" s="1">
        <f>TERM1!AA59</f>
        <v>83</v>
      </c>
      <c r="G60" s="1"/>
      <c r="H60" s="1"/>
      <c r="I60" s="1"/>
      <c r="J60" s="1">
        <f>TERM2!AA59</f>
        <v>78</v>
      </c>
      <c r="K60" s="1"/>
      <c r="L60" s="1"/>
      <c r="M60" s="1"/>
      <c r="N60" s="1">
        <f>TERM3!AA59</f>
        <v>79</v>
      </c>
      <c r="O60" s="1"/>
      <c r="P60" s="1"/>
      <c r="Q60" s="1"/>
      <c r="R60" s="1">
        <f t="shared" si="3"/>
        <v>80</v>
      </c>
      <c r="S60" s="1"/>
      <c r="T60" s="1"/>
      <c r="U60" s="1"/>
      <c r="V60" s="1" t="str">
        <f t="shared" si="4"/>
        <v>Benchmarking</v>
      </c>
      <c r="W60" s="1"/>
      <c r="X60" s="1"/>
      <c r="Y60" s="1"/>
      <c r="Z60" s="1" t="str">
        <f t="shared" si="5"/>
        <v>PASSED</v>
      </c>
      <c r="AA60" s="1"/>
      <c r="AB60" s="1"/>
    </row>
    <row r="61" spans="1:28" ht="15.6" x14ac:dyDescent="0.3">
      <c r="A61">
        <v>49</v>
      </c>
      <c r="B61" t="str">
        <f>INPUT!B60</f>
        <v>David, Francis</v>
      </c>
      <c r="F61" s="1">
        <f>TERM1!AA60</f>
        <v>81</v>
      </c>
      <c r="G61" s="1"/>
      <c r="H61" s="1"/>
      <c r="I61" s="1"/>
      <c r="J61" s="1">
        <f>TERM2!AA60</f>
        <v>83</v>
      </c>
      <c r="K61" s="1"/>
      <c r="L61" s="1"/>
      <c r="M61" s="1"/>
      <c r="N61" s="1">
        <f>TERM3!AA60</f>
        <v>83</v>
      </c>
      <c r="O61" s="1"/>
      <c r="P61" s="1"/>
      <c r="Q61" s="1"/>
      <c r="R61" s="1">
        <f t="shared" si="3"/>
        <v>82</v>
      </c>
      <c r="S61" s="1"/>
      <c r="T61" s="1"/>
      <c r="U61" s="1"/>
      <c r="V61" s="1" t="str">
        <f t="shared" si="4"/>
        <v>Benchmarking</v>
      </c>
      <c r="W61" s="1"/>
      <c r="X61" s="1"/>
      <c r="Y61" s="1"/>
      <c r="Z61" s="1" t="str">
        <f t="shared" si="5"/>
        <v>PASSED</v>
      </c>
      <c r="AA61" s="1"/>
      <c r="AB61" s="1"/>
    </row>
    <row r="62" spans="1:28" ht="15.6" x14ac:dyDescent="0.3">
      <c r="A62">
        <v>50</v>
      </c>
      <c r="B62" t="str">
        <f>INPUT!B61</f>
        <v>Escobar, Gian</v>
      </c>
      <c r="C62">
        <v>0</v>
      </c>
      <c r="F62" s="1">
        <f>TERM1!AA61</f>
        <v>91</v>
      </c>
      <c r="G62" s="1"/>
      <c r="H62" s="1"/>
      <c r="I62" s="1"/>
      <c r="J62" s="1">
        <f>TERM2!AA61</f>
        <v>89</v>
      </c>
      <c r="K62" s="1"/>
      <c r="L62" s="1"/>
      <c r="M62" s="1"/>
      <c r="N62" s="1">
        <f>TERM3!AA61</f>
        <v>89</v>
      </c>
      <c r="O62" s="1"/>
      <c r="P62" s="1"/>
      <c r="Q62" s="1"/>
      <c r="R62" s="1">
        <f t="shared" si="3"/>
        <v>90</v>
      </c>
      <c r="S62" s="1"/>
      <c r="T62" s="1"/>
      <c r="U62" s="1"/>
      <c r="V62" s="1" t="str">
        <f t="shared" si="4"/>
        <v>Advancing</v>
      </c>
      <c r="W62" s="1"/>
      <c r="X62" s="1"/>
      <c r="Y62" s="1"/>
      <c r="Z62" s="1" t="str">
        <f t="shared" si="5"/>
        <v>PASSED</v>
      </c>
      <c r="AA62" s="1"/>
      <c r="AB62" s="1"/>
    </row>
    <row r="63" spans="1:28" ht="15.6" x14ac:dyDescent="0.3">
      <c r="B63" t="s">
        <v>71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tr">
        <f>IF(OR(F63="",J63="",N63="",R63=""),"",IF(ISERROR(ROUND(AVERAGE(F63,J63,N63,R63),0)),"",ROUND(AVERAGE(F63,J63,N63,R63),0)))</f>
        <v/>
      </c>
      <c r="W63" s="1"/>
      <c r="X63" s="1"/>
      <c r="Y63" s="1"/>
      <c r="Z63" s="1" t="str">
        <f>IF(OR($F63="",$J63="",$N63="",$R63="",$V63=""),"",IF($V63&gt;=75,"PASSED","FAILED"))</f>
        <v/>
      </c>
      <c r="AA63" s="1"/>
      <c r="AB63" s="1"/>
    </row>
    <row r="64" spans="1:28" ht="15.6" x14ac:dyDescent="0.3">
      <c r="A64">
        <v>1</v>
      </c>
      <c r="B64" t="str">
        <f>INPUT!B63</f>
        <v>Fernandez, Alyssa</v>
      </c>
      <c r="F64" s="1">
        <f>TERM1!AA63</f>
        <v>92</v>
      </c>
      <c r="G64" s="1"/>
      <c r="H64" s="1"/>
      <c r="I64" s="1"/>
      <c r="J64" s="1">
        <f>TERM2!AA63</f>
        <v>98</v>
      </c>
      <c r="K64" s="1"/>
      <c r="L64" s="1"/>
      <c r="M64" s="1"/>
      <c r="N64" s="1">
        <f>TERM3!AA63</f>
        <v>94</v>
      </c>
      <c r="O64" s="1"/>
      <c r="P64" s="1"/>
      <c r="Q64" s="1"/>
      <c r="R64" s="1">
        <f t="shared" ref="R64:R95" si="6">IF(OR(F64="",J64="",N64=""),"",IF(ISERROR(ROUND(AVERAGE(F64,J64,N64),0)),"",ROUND(AVERAGE(F64,J64,N64),0)))</f>
        <v>95</v>
      </c>
      <c r="S64" s="1"/>
      <c r="T64" s="1"/>
      <c r="U64" s="1"/>
      <c r="V64" s="1" t="str">
        <f t="shared" ref="V64:V95" si="7">IF(ISERROR(IF(R64="","",VLOOKUP(R64,DESCRIPTORS,4,TRUE))),"",IF(R64="","",VLOOKUP(R64,DESCRIPTORS,4,TRUE)))</f>
        <v>Advancing</v>
      </c>
      <c r="W64" s="1"/>
      <c r="X64" s="1"/>
      <c r="Y64" s="1"/>
      <c r="Z64" s="1" t="str">
        <f t="shared" ref="Z64:Z95" si="8">IF(OR($F64="",$J64="",$N64="",$R64=""),"",IF($R64&gt;=75,"PASSED","FAILED"))</f>
        <v>PASSED</v>
      </c>
      <c r="AA64" s="1"/>
      <c r="AB64" s="1"/>
    </row>
    <row r="65" spans="1:28" ht="15.6" x14ac:dyDescent="0.3">
      <c r="A65">
        <v>2</v>
      </c>
      <c r="B65" t="str">
        <f>INPUT!B64</f>
        <v>Garcia, Angela</v>
      </c>
      <c r="F65" s="1">
        <f>TERM1!AA64</f>
        <v>85</v>
      </c>
      <c r="G65" s="1"/>
      <c r="H65" s="1"/>
      <c r="I65" s="1"/>
      <c r="J65" s="1">
        <f>TERM2!AA64</f>
        <v>79</v>
      </c>
      <c r="K65" s="1"/>
      <c r="L65" s="1"/>
      <c r="M65" s="1"/>
      <c r="N65" s="1">
        <f>TERM3!AA64</f>
        <v>79</v>
      </c>
      <c r="O65" s="1"/>
      <c r="P65" s="1"/>
      <c r="Q65" s="1"/>
      <c r="R65" s="1">
        <f t="shared" si="6"/>
        <v>81</v>
      </c>
      <c r="S65" s="1"/>
      <c r="T65" s="1"/>
      <c r="U65" s="1"/>
      <c r="V65" s="1" t="str">
        <f t="shared" si="7"/>
        <v>Benchmarking</v>
      </c>
      <c r="W65" s="1"/>
      <c r="X65" s="1"/>
      <c r="Y65" s="1"/>
      <c r="Z65" s="1" t="str">
        <f t="shared" si="8"/>
        <v>PASSED</v>
      </c>
      <c r="AA65" s="1"/>
      <c r="AB65" s="1"/>
    </row>
    <row r="66" spans="1:28" ht="15.6" x14ac:dyDescent="0.3">
      <c r="A66">
        <v>3</v>
      </c>
      <c r="B66" t="str">
        <f>INPUT!B65</f>
        <v>Gonzales, Bea</v>
      </c>
      <c r="F66" s="1">
        <f>TERM1!AA65</f>
        <v>78</v>
      </c>
      <c r="G66" s="1"/>
      <c r="H66" s="1"/>
      <c r="I66" s="1"/>
      <c r="J66" s="1">
        <f>TERM2!AA65</f>
        <v>77</v>
      </c>
      <c r="K66" s="1"/>
      <c r="L66" s="1"/>
      <c r="M66" s="1"/>
      <c r="N66" s="1">
        <f>TERM3!AA65</f>
        <v>80</v>
      </c>
      <c r="O66" s="1"/>
      <c r="P66" s="1"/>
      <c r="Q66" s="1"/>
      <c r="R66" s="1">
        <f t="shared" si="6"/>
        <v>78</v>
      </c>
      <c r="S66" s="1"/>
      <c r="T66" s="1"/>
      <c r="U66" s="1"/>
      <c r="V66" s="1" t="str">
        <f t="shared" si="7"/>
        <v>Connecting</v>
      </c>
      <c r="W66" s="1"/>
      <c r="X66" s="1"/>
      <c r="Y66" s="1"/>
      <c r="Z66" s="1" t="str">
        <f t="shared" si="8"/>
        <v>PASSED</v>
      </c>
      <c r="AA66" s="1"/>
      <c r="AB66" s="1"/>
    </row>
    <row r="67" spans="1:28" ht="15.6" x14ac:dyDescent="0.3">
      <c r="A67">
        <v>4</v>
      </c>
      <c r="B67" t="str">
        <f>INPUT!B66</f>
        <v>Hernandez, Bianca</v>
      </c>
      <c r="F67" s="1">
        <f>TERM1!AA66</f>
        <v>84</v>
      </c>
      <c r="G67" s="1"/>
      <c r="H67" s="1"/>
      <c r="I67" s="1"/>
      <c r="J67" s="1">
        <f>TERM2!AA66</f>
        <v>84</v>
      </c>
      <c r="K67" s="1"/>
      <c r="L67" s="1"/>
      <c r="M67" s="1"/>
      <c r="N67" s="1">
        <f>TERM3!AA66</f>
        <v>81</v>
      </c>
      <c r="O67" s="1"/>
      <c r="P67" s="1"/>
      <c r="Q67" s="1"/>
      <c r="R67" s="1">
        <f t="shared" si="6"/>
        <v>83</v>
      </c>
      <c r="S67" s="1"/>
      <c r="T67" s="1"/>
      <c r="U67" s="1"/>
      <c r="V67" s="1" t="str">
        <f t="shared" si="7"/>
        <v>Benchmarking</v>
      </c>
      <c r="W67" s="1"/>
      <c r="X67" s="1"/>
      <c r="Y67" s="1"/>
      <c r="Z67" s="1" t="str">
        <f t="shared" si="8"/>
        <v>PASSED</v>
      </c>
      <c r="AA67" s="1"/>
      <c r="AB67" s="1"/>
    </row>
    <row r="68" spans="1:28" ht="15.6" x14ac:dyDescent="0.3">
      <c r="A68">
        <v>5</v>
      </c>
      <c r="B68" t="str">
        <f>INPUT!B67</f>
        <v>Ilagan, Camille</v>
      </c>
      <c r="F68" s="1">
        <f>TERM1!AA67</f>
        <v>93</v>
      </c>
      <c r="G68" s="1"/>
      <c r="H68" s="1"/>
      <c r="I68" s="1"/>
      <c r="J68" s="1">
        <f>TERM2!AA67</f>
        <v>98</v>
      </c>
      <c r="K68" s="1"/>
      <c r="L68" s="1"/>
      <c r="M68" s="1"/>
      <c r="N68" s="1">
        <f>TERM3!AA67</f>
        <v>98</v>
      </c>
      <c r="O68" s="1"/>
      <c r="P68" s="1"/>
      <c r="Q68" s="1"/>
      <c r="R68" s="1">
        <f t="shared" si="6"/>
        <v>96</v>
      </c>
      <c r="S68" s="1"/>
      <c r="T68" s="1"/>
      <c r="U68" s="1"/>
      <c r="V68" s="1" t="str">
        <f t="shared" si="7"/>
        <v>Advancing</v>
      </c>
      <c r="W68" s="1"/>
      <c r="X68" s="1"/>
      <c r="Y68" s="1"/>
      <c r="Z68" s="1" t="str">
        <f t="shared" si="8"/>
        <v>PASSED</v>
      </c>
      <c r="AA68" s="1"/>
      <c r="AB68" s="1"/>
    </row>
    <row r="69" spans="1:28" ht="15.6" x14ac:dyDescent="0.3">
      <c r="A69">
        <v>6</v>
      </c>
      <c r="B69" t="str">
        <f>INPUT!B68</f>
        <v>Jimenez, Carla</v>
      </c>
      <c r="F69" s="1">
        <f>TERM1!AA68</f>
        <v>95</v>
      </c>
      <c r="G69" s="1"/>
      <c r="H69" s="1"/>
      <c r="I69" s="1"/>
      <c r="J69" s="1">
        <f>TERM2!AA68</f>
        <v>92</v>
      </c>
      <c r="K69" s="1"/>
      <c r="L69" s="1"/>
      <c r="M69" s="1"/>
      <c r="N69" s="1">
        <f>TERM3!AA68</f>
        <v>91</v>
      </c>
      <c r="O69" s="1"/>
      <c r="P69" s="1"/>
      <c r="Q69" s="1"/>
      <c r="R69" s="1">
        <f t="shared" si="6"/>
        <v>93</v>
      </c>
      <c r="S69" s="1"/>
      <c r="T69" s="1"/>
      <c r="U69" s="1"/>
      <c r="V69" s="1" t="str">
        <f t="shared" si="7"/>
        <v>Advancing</v>
      </c>
      <c r="W69" s="1"/>
      <c r="X69" s="1"/>
      <c r="Y69" s="1"/>
      <c r="Z69" s="1" t="str">
        <f t="shared" si="8"/>
        <v>PASSED</v>
      </c>
      <c r="AA69" s="1"/>
      <c r="AB69" s="1"/>
    </row>
    <row r="70" spans="1:28" ht="15.6" x14ac:dyDescent="0.3">
      <c r="A70">
        <v>7</v>
      </c>
      <c r="B70" t="str">
        <f>INPUT!B69</f>
        <v>Lacson, Chloe</v>
      </c>
      <c r="F70" s="1">
        <f>TERM1!AA69</f>
        <v>74</v>
      </c>
      <c r="G70" s="1"/>
      <c r="H70" s="1"/>
      <c r="I70" s="1"/>
      <c r="J70" s="1">
        <f>TERM2!AA69</f>
        <v>74</v>
      </c>
      <c r="K70" s="1"/>
      <c r="L70" s="1"/>
      <c r="M70" s="1"/>
      <c r="N70" s="1">
        <f>TERM3!AA69</f>
        <v>79</v>
      </c>
      <c r="O70" s="1"/>
      <c r="P70" s="1"/>
      <c r="Q70" s="1"/>
      <c r="R70" s="1">
        <f t="shared" si="6"/>
        <v>76</v>
      </c>
      <c r="S70" s="1"/>
      <c r="T70" s="1"/>
      <c r="U70" s="1"/>
      <c r="V70" s="1" t="str">
        <f t="shared" si="7"/>
        <v>Connecting</v>
      </c>
      <c r="W70" s="1"/>
      <c r="X70" s="1"/>
      <c r="Y70" s="1"/>
      <c r="Z70" s="1" t="str">
        <f t="shared" si="8"/>
        <v>PASSED</v>
      </c>
      <c r="AA70" s="1"/>
      <c r="AB70" s="1"/>
    </row>
    <row r="71" spans="1:28" ht="15.6" x14ac:dyDescent="0.3">
      <c r="A71">
        <v>8</v>
      </c>
      <c r="B71" t="str">
        <f>INPUT!B70</f>
        <v>Lim, Clarisse</v>
      </c>
      <c r="F71" s="1">
        <f>TERM1!AA70</f>
        <v>91</v>
      </c>
      <c r="G71" s="1"/>
      <c r="H71" s="1"/>
      <c r="I71" s="1"/>
      <c r="J71" s="1">
        <f>TERM2!AA70</f>
        <v>86</v>
      </c>
      <c r="K71" s="1"/>
      <c r="L71" s="1"/>
      <c r="M71" s="1"/>
      <c r="N71" s="1">
        <f>TERM3!AA70</f>
        <v>95</v>
      </c>
      <c r="O71" s="1"/>
      <c r="P71" s="1"/>
      <c r="Q71" s="1"/>
      <c r="R71" s="1">
        <f t="shared" si="6"/>
        <v>91</v>
      </c>
      <c r="S71" s="1"/>
      <c r="T71" s="1"/>
      <c r="U71" s="1"/>
      <c r="V71" s="1" t="str">
        <f t="shared" si="7"/>
        <v>Advancing</v>
      </c>
      <c r="W71" s="1"/>
      <c r="X71" s="1"/>
      <c r="Y71" s="1"/>
      <c r="Z71" s="1" t="str">
        <f t="shared" si="8"/>
        <v>PASSED</v>
      </c>
      <c r="AA71" s="1"/>
      <c r="AB71" s="1"/>
    </row>
    <row r="72" spans="1:28" ht="15.6" x14ac:dyDescent="0.3">
      <c r="A72">
        <v>9</v>
      </c>
      <c r="B72" t="str">
        <f>INPUT!B71</f>
        <v>Manalo, Danica</v>
      </c>
      <c r="F72" s="1">
        <f>TERM1!AA71</f>
        <v>73</v>
      </c>
      <c r="G72" s="1"/>
      <c r="H72" s="1"/>
      <c r="I72" s="1"/>
      <c r="J72" s="1">
        <f>TERM2!AA71</f>
        <v>74</v>
      </c>
      <c r="K72" s="1"/>
      <c r="L72" s="1"/>
      <c r="M72" s="1"/>
      <c r="N72" s="1">
        <f>TERM3!AA71</f>
        <v>73</v>
      </c>
      <c r="O72" s="1"/>
      <c r="P72" s="1"/>
      <c r="Q72" s="1"/>
      <c r="R72" s="1">
        <f t="shared" si="6"/>
        <v>73</v>
      </c>
      <c r="S72" s="1"/>
      <c r="T72" s="1"/>
      <c r="U72" s="1"/>
      <c r="V72" s="1" t="str">
        <f t="shared" si="7"/>
        <v xml:space="preserve">Developing </v>
      </c>
      <c r="W72" s="1"/>
      <c r="X72" s="1"/>
      <c r="Y72" s="1"/>
      <c r="Z72" s="1" t="str">
        <f t="shared" si="8"/>
        <v>FAILED</v>
      </c>
      <c r="AA72" s="1"/>
      <c r="AB72" s="1"/>
    </row>
    <row r="73" spans="1:28" ht="15.6" x14ac:dyDescent="0.3">
      <c r="A73">
        <v>10</v>
      </c>
      <c r="B73" t="str">
        <f>INPUT!B72</f>
        <v>Mendoza, Diana</v>
      </c>
      <c r="F73" s="1">
        <f>TERM1!AA72</f>
        <v>87</v>
      </c>
      <c r="G73" s="1"/>
      <c r="H73" s="1"/>
      <c r="I73" s="1"/>
      <c r="J73" s="1">
        <f>TERM2!AA72</f>
        <v>86</v>
      </c>
      <c r="K73" s="1"/>
      <c r="L73" s="1"/>
      <c r="M73" s="1"/>
      <c r="N73" s="1">
        <f>TERM3!AA72</f>
        <v>92</v>
      </c>
      <c r="O73" s="1"/>
      <c r="P73" s="1"/>
      <c r="Q73" s="1"/>
      <c r="R73" s="1">
        <f t="shared" si="6"/>
        <v>88</v>
      </c>
      <c r="S73" s="1"/>
      <c r="T73" s="1"/>
      <c r="U73" s="1"/>
      <c r="V73" s="1" t="str">
        <f t="shared" si="7"/>
        <v>Benchmarking</v>
      </c>
      <c r="W73" s="1"/>
      <c r="X73" s="1"/>
      <c r="Y73" s="1"/>
      <c r="Z73" s="1" t="str">
        <f t="shared" si="8"/>
        <v>PASSED</v>
      </c>
      <c r="AA73" s="1"/>
      <c r="AB73" s="1"/>
    </row>
    <row r="74" spans="1:28" ht="15.6" x14ac:dyDescent="0.3">
      <c r="A74">
        <v>11</v>
      </c>
      <c r="B74" t="str">
        <f>INPUT!B73</f>
        <v>Navarro, Elena</v>
      </c>
      <c r="F74" s="1">
        <f>TERM1!AA73</f>
        <v>83</v>
      </c>
      <c r="G74" s="1"/>
      <c r="H74" s="1"/>
      <c r="I74" s="1"/>
      <c r="J74" s="1">
        <f>TERM2!AA73</f>
        <v>84</v>
      </c>
      <c r="K74" s="1"/>
      <c r="L74" s="1"/>
      <c r="M74" s="1"/>
      <c r="N74" s="1">
        <f>TERM3!AA73</f>
        <v>86</v>
      </c>
      <c r="O74" s="1"/>
      <c r="P74" s="1"/>
      <c r="Q74" s="1"/>
      <c r="R74" s="1">
        <f t="shared" si="6"/>
        <v>84</v>
      </c>
      <c r="S74" s="1"/>
      <c r="T74" s="1"/>
      <c r="U74" s="1"/>
      <c r="V74" s="1" t="str">
        <f t="shared" si="7"/>
        <v>Benchmarking</v>
      </c>
      <c r="W74" s="1"/>
      <c r="X74" s="1"/>
      <c r="Y74" s="1"/>
      <c r="Z74" s="1" t="str">
        <f t="shared" si="8"/>
        <v>PASSED</v>
      </c>
      <c r="AA74" s="1"/>
      <c r="AB74" s="1"/>
    </row>
    <row r="75" spans="1:28" ht="15.6" x14ac:dyDescent="0.3">
      <c r="A75">
        <v>12</v>
      </c>
      <c r="B75" t="str">
        <f>INPUT!B74</f>
        <v>Ocampo, Ella</v>
      </c>
      <c r="F75" s="1">
        <f>TERM1!AA74</f>
        <v>80</v>
      </c>
      <c r="G75" s="1"/>
      <c r="H75" s="1"/>
      <c r="I75" s="1"/>
      <c r="J75" s="1">
        <f>TERM2!AA74</f>
        <v>81</v>
      </c>
      <c r="K75" s="1"/>
      <c r="L75" s="1"/>
      <c r="M75" s="1"/>
      <c r="N75" s="1">
        <f>TERM3!AA74</f>
        <v>82</v>
      </c>
      <c r="O75" s="1"/>
      <c r="P75" s="1"/>
      <c r="Q75" s="1"/>
      <c r="R75" s="1">
        <f t="shared" si="6"/>
        <v>81</v>
      </c>
      <c r="S75" s="1"/>
      <c r="T75" s="1"/>
      <c r="U75" s="1"/>
      <c r="V75" s="1" t="str">
        <f t="shared" si="7"/>
        <v>Benchmarking</v>
      </c>
      <c r="W75" s="1"/>
      <c r="X75" s="1"/>
      <c r="Y75" s="1"/>
      <c r="Z75" s="1" t="str">
        <f t="shared" si="8"/>
        <v>PASSED</v>
      </c>
      <c r="AA75" s="1"/>
      <c r="AB75" s="1"/>
    </row>
    <row r="76" spans="1:28" ht="15.6" x14ac:dyDescent="0.3">
      <c r="A76">
        <v>13</v>
      </c>
      <c r="B76" t="str">
        <f>INPUT!B75</f>
        <v>Ortega, Erika</v>
      </c>
      <c r="F76" s="1">
        <f>TERM1!AA75</f>
        <v>85</v>
      </c>
      <c r="G76" s="1"/>
      <c r="H76" s="1"/>
      <c r="I76" s="1"/>
      <c r="J76" s="1">
        <f>TERM2!AA75</f>
        <v>83</v>
      </c>
      <c r="K76" s="1"/>
      <c r="L76" s="1"/>
      <c r="M76" s="1"/>
      <c r="N76" s="1">
        <f>TERM3!AA75</f>
        <v>90</v>
      </c>
      <c r="O76" s="1"/>
      <c r="P76" s="1"/>
      <c r="Q76" s="1"/>
      <c r="R76" s="1">
        <f t="shared" si="6"/>
        <v>86</v>
      </c>
      <c r="S76" s="1"/>
      <c r="T76" s="1"/>
      <c r="U76" s="1"/>
      <c r="V76" s="1" t="str">
        <f t="shared" si="7"/>
        <v>Benchmarking</v>
      </c>
      <c r="W76" s="1"/>
      <c r="X76" s="1"/>
      <c r="Y76" s="1"/>
      <c r="Z76" s="1" t="str">
        <f t="shared" si="8"/>
        <v>PASSED</v>
      </c>
      <c r="AA76" s="1"/>
      <c r="AB76" s="1"/>
    </row>
    <row r="77" spans="1:28" ht="15.6" x14ac:dyDescent="0.3">
      <c r="A77">
        <v>14</v>
      </c>
      <c r="B77" t="str">
        <f>INPUT!B76</f>
        <v>Pascual, Faith</v>
      </c>
      <c r="F77" s="1">
        <f>TERM1!AA76</f>
        <v>82</v>
      </c>
      <c r="G77" s="1"/>
      <c r="H77" s="1"/>
      <c r="I77" s="1"/>
      <c r="J77" s="1">
        <f>TERM2!AA76</f>
        <v>83</v>
      </c>
      <c r="K77" s="1"/>
      <c r="L77" s="1"/>
      <c r="M77" s="1"/>
      <c r="N77" s="1">
        <f>TERM3!AA76</f>
        <v>83</v>
      </c>
      <c r="O77" s="1"/>
      <c r="P77" s="1"/>
      <c r="Q77" s="1"/>
      <c r="R77" s="1">
        <f t="shared" si="6"/>
        <v>83</v>
      </c>
      <c r="S77" s="1"/>
      <c r="T77" s="1"/>
      <c r="U77" s="1"/>
      <c r="V77" s="1" t="str">
        <f t="shared" si="7"/>
        <v>Benchmarking</v>
      </c>
      <c r="W77" s="1"/>
      <c r="X77" s="1"/>
      <c r="Y77" s="1"/>
      <c r="Z77" s="1" t="str">
        <f t="shared" si="8"/>
        <v>PASSED</v>
      </c>
      <c r="AA77" s="1"/>
      <c r="AB77" s="1"/>
    </row>
    <row r="78" spans="1:28" ht="15.6" x14ac:dyDescent="0.3">
      <c r="A78">
        <v>15</v>
      </c>
      <c r="B78" t="str">
        <f>INPUT!B77</f>
        <v>Quizon, Gabrielle</v>
      </c>
      <c r="F78" s="1">
        <f>TERM1!AA77</f>
        <v>88</v>
      </c>
      <c r="G78" s="1"/>
      <c r="H78" s="1"/>
      <c r="I78" s="1"/>
      <c r="J78" s="1">
        <f>TERM2!AA77</f>
        <v>85</v>
      </c>
      <c r="K78" s="1"/>
      <c r="L78" s="1"/>
      <c r="M78" s="1"/>
      <c r="N78" s="1">
        <f>TERM3!AA77</f>
        <v>88</v>
      </c>
      <c r="O78" s="1"/>
      <c r="P78" s="1"/>
      <c r="Q78" s="1"/>
      <c r="R78" s="1">
        <f t="shared" si="6"/>
        <v>87</v>
      </c>
      <c r="S78" s="1"/>
      <c r="T78" s="1"/>
      <c r="U78" s="1"/>
      <c r="V78" s="1" t="str">
        <f t="shared" si="7"/>
        <v>Benchmarking</v>
      </c>
      <c r="W78" s="1"/>
      <c r="X78" s="1"/>
      <c r="Y78" s="1"/>
      <c r="Z78" s="1" t="str">
        <f t="shared" si="8"/>
        <v>PASSED</v>
      </c>
      <c r="AA78" s="1"/>
      <c r="AB78" s="1"/>
    </row>
    <row r="79" spans="1:28" ht="15.6" x14ac:dyDescent="0.3">
      <c r="A79">
        <v>16</v>
      </c>
      <c r="B79" t="str">
        <f>INPUT!B78</f>
        <v>Ramos, Hannah</v>
      </c>
      <c r="F79" s="1">
        <f>TERM1!AA78</f>
        <v>81</v>
      </c>
      <c r="G79" s="1"/>
      <c r="H79" s="1"/>
      <c r="I79" s="1"/>
      <c r="J79" s="1">
        <f>TERM2!AA78</f>
        <v>83</v>
      </c>
      <c r="K79" s="1"/>
      <c r="L79" s="1"/>
      <c r="M79" s="1"/>
      <c r="N79" s="1">
        <f>TERM3!AA78</f>
        <v>77</v>
      </c>
      <c r="O79" s="1"/>
      <c r="P79" s="1"/>
      <c r="Q79" s="1"/>
      <c r="R79" s="1">
        <f t="shared" si="6"/>
        <v>80</v>
      </c>
      <c r="S79" s="1"/>
      <c r="T79" s="1"/>
      <c r="U79" s="1"/>
      <c r="V79" s="1" t="str">
        <f t="shared" si="7"/>
        <v>Benchmarking</v>
      </c>
      <c r="W79" s="1"/>
      <c r="X79" s="1"/>
      <c r="Y79" s="1"/>
      <c r="Z79" s="1" t="str">
        <f t="shared" si="8"/>
        <v>PASSED</v>
      </c>
      <c r="AA79" s="1"/>
      <c r="AB79" s="1"/>
    </row>
    <row r="80" spans="1:28" ht="15.6" x14ac:dyDescent="0.3">
      <c r="A80">
        <v>17</v>
      </c>
      <c r="B80" t="str">
        <f>INPUT!B79</f>
        <v>Reyes, Isabelle</v>
      </c>
      <c r="F80" s="1">
        <f>TERM1!AA79</f>
        <v>75</v>
      </c>
      <c r="G80" s="1"/>
      <c r="H80" s="1"/>
      <c r="I80" s="1"/>
      <c r="J80" s="1">
        <f>TERM2!AA79</f>
        <v>75</v>
      </c>
      <c r="K80" s="1"/>
      <c r="L80" s="1"/>
      <c r="M80" s="1"/>
      <c r="N80" s="1">
        <f>TERM3!AA79</f>
        <v>74</v>
      </c>
      <c r="O80" s="1"/>
      <c r="P80" s="1"/>
      <c r="Q80" s="1"/>
      <c r="R80" s="1">
        <f t="shared" si="6"/>
        <v>75</v>
      </c>
      <c r="S80" s="1"/>
      <c r="T80" s="1"/>
      <c r="U80" s="1"/>
      <c r="V80" s="1" t="str">
        <f t="shared" si="7"/>
        <v>Connecting</v>
      </c>
      <c r="W80" s="1"/>
      <c r="X80" s="1"/>
      <c r="Y80" s="1"/>
      <c r="Z80" s="1" t="str">
        <f t="shared" si="8"/>
        <v>PASSED</v>
      </c>
      <c r="AA80" s="1"/>
      <c r="AB80" s="1"/>
    </row>
    <row r="81" spans="1:28" ht="15.6" x14ac:dyDescent="0.3">
      <c r="A81">
        <v>18</v>
      </c>
      <c r="B81" t="str">
        <f>INPUT!B80</f>
        <v>Rivera, Jasmine</v>
      </c>
      <c r="F81" s="1">
        <f>TERM1!AA80</f>
        <v>91</v>
      </c>
      <c r="G81" s="1"/>
      <c r="H81" s="1"/>
      <c r="I81" s="1"/>
      <c r="J81" s="1">
        <f>TERM2!AA80</f>
        <v>87</v>
      </c>
      <c r="K81" s="1"/>
      <c r="L81" s="1"/>
      <c r="M81" s="1"/>
      <c r="N81" s="1">
        <f>TERM3!AA80</f>
        <v>91</v>
      </c>
      <c r="O81" s="1"/>
      <c r="P81" s="1"/>
      <c r="Q81" s="1"/>
      <c r="R81" s="1">
        <f t="shared" si="6"/>
        <v>90</v>
      </c>
      <c r="S81" s="1"/>
      <c r="T81" s="1"/>
      <c r="U81" s="1"/>
      <c r="V81" s="1" t="str">
        <f t="shared" si="7"/>
        <v>Advancing</v>
      </c>
      <c r="W81" s="1"/>
      <c r="X81" s="1"/>
      <c r="Y81" s="1"/>
      <c r="Z81" s="1" t="str">
        <f t="shared" si="8"/>
        <v>PASSED</v>
      </c>
      <c r="AA81" s="1"/>
      <c r="AB81" s="1"/>
    </row>
    <row r="82" spans="1:28" ht="15.6" x14ac:dyDescent="0.3">
      <c r="A82">
        <v>19</v>
      </c>
      <c r="B82" t="str">
        <f>INPUT!B81</f>
        <v>Rosales, Jillian</v>
      </c>
      <c r="F82" s="1">
        <f>TERM1!AA81</f>
        <v>71</v>
      </c>
      <c r="G82" s="1"/>
      <c r="H82" s="1"/>
      <c r="I82" s="1"/>
      <c r="J82" s="1">
        <f>TERM2!AA81</f>
        <v>75</v>
      </c>
      <c r="K82" s="1"/>
      <c r="L82" s="1"/>
      <c r="M82" s="1"/>
      <c r="N82" s="1">
        <f>TERM3!AA81</f>
        <v>75</v>
      </c>
      <c r="O82" s="1"/>
      <c r="P82" s="1"/>
      <c r="Q82" s="1"/>
      <c r="R82" s="1">
        <f t="shared" si="6"/>
        <v>74</v>
      </c>
      <c r="S82" s="1"/>
      <c r="T82" s="1"/>
      <c r="U82" s="1"/>
      <c r="V82" s="1" t="str">
        <f t="shared" si="7"/>
        <v xml:space="preserve">Developing </v>
      </c>
      <c r="W82" s="1"/>
      <c r="X82" s="1"/>
      <c r="Y82" s="1"/>
      <c r="Z82" s="1" t="str">
        <f t="shared" si="8"/>
        <v>FAILED</v>
      </c>
      <c r="AA82" s="1"/>
      <c r="AB82" s="1"/>
    </row>
    <row r="83" spans="1:28" ht="15.6" x14ac:dyDescent="0.3">
      <c r="A83">
        <v>20</v>
      </c>
      <c r="B83" t="str">
        <f>INPUT!B82</f>
        <v>Salazar, Julia</v>
      </c>
      <c r="F83" s="1">
        <f>TERM1!AA82</f>
        <v>79</v>
      </c>
      <c r="G83" s="1"/>
      <c r="H83" s="1"/>
      <c r="I83" s="1"/>
      <c r="J83" s="1">
        <f>TERM2!AA82</f>
        <v>76</v>
      </c>
      <c r="K83" s="1"/>
      <c r="L83" s="1"/>
      <c r="M83" s="1"/>
      <c r="N83" s="1">
        <f>TERM3!AA82</f>
        <v>77</v>
      </c>
      <c r="O83" s="1"/>
      <c r="P83" s="1"/>
      <c r="Q83" s="1"/>
      <c r="R83" s="1">
        <f t="shared" si="6"/>
        <v>77</v>
      </c>
      <c r="S83" s="1"/>
      <c r="T83" s="1"/>
      <c r="U83" s="1"/>
      <c r="V83" s="1" t="str">
        <f t="shared" si="7"/>
        <v>Connecting</v>
      </c>
      <c r="W83" s="1"/>
      <c r="X83" s="1"/>
      <c r="Y83" s="1"/>
      <c r="Z83" s="1" t="str">
        <f t="shared" si="8"/>
        <v>PASSED</v>
      </c>
      <c r="AA83" s="1"/>
      <c r="AB83" s="1"/>
    </row>
    <row r="84" spans="1:28" ht="15.6" x14ac:dyDescent="0.3">
      <c r="A84">
        <v>21</v>
      </c>
      <c r="B84" t="str">
        <f>INPUT!B83</f>
        <v>Santiago, Katrina</v>
      </c>
      <c r="F84" s="1">
        <f>TERM1!AA83</f>
        <v>85</v>
      </c>
      <c r="G84" s="1"/>
      <c r="H84" s="1"/>
      <c r="I84" s="1"/>
      <c r="J84" s="1">
        <f>TERM2!AA83</f>
        <v>83</v>
      </c>
      <c r="K84" s="1"/>
      <c r="L84" s="1"/>
      <c r="M84" s="1"/>
      <c r="N84" s="1">
        <f>TERM3!AA83</f>
        <v>82</v>
      </c>
      <c r="O84" s="1"/>
      <c r="P84" s="1"/>
      <c r="Q84" s="1"/>
      <c r="R84" s="1">
        <f t="shared" si="6"/>
        <v>83</v>
      </c>
      <c r="S84" s="1"/>
      <c r="T84" s="1"/>
      <c r="U84" s="1"/>
      <c r="V84" s="1" t="str">
        <f t="shared" si="7"/>
        <v>Benchmarking</v>
      </c>
      <c r="W84" s="1"/>
      <c r="X84" s="1"/>
      <c r="Y84" s="1"/>
      <c r="Z84" s="1" t="str">
        <f t="shared" si="8"/>
        <v>PASSED</v>
      </c>
      <c r="AA84" s="1"/>
      <c r="AB84" s="1"/>
    </row>
    <row r="85" spans="1:28" ht="15.6" x14ac:dyDescent="0.3">
      <c r="A85">
        <v>22</v>
      </c>
      <c r="B85" t="str">
        <f>INPUT!B84</f>
        <v>Santos, Kayla</v>
      </c>
      <c r="F85" s="1">
        <f>TERM1!AA84</f>
        <v>80</v>
      </c>
      <c r="G85" s="1"/>
      <c r="H85" s="1"/>
      <c r="I85" s="1"/>
      <c r="J85" s="1">
        <f>TERM2!AA84</f>
        <v>85</v>
      </c>
      <c r="K85" s="1"/>
      <c r="L85" s="1"/>
      <c r="M85" s="1"/>
      <c r="N85" s="1">
        <f>TERM3!AA84</f>
        <v>81</v>
      </c>
      <c r="O85" s="1"/>
      <c r="P85" s="1"/>
      <c r="Q85" s="1"/>
      <c r="R85" s="1">
        <f t="shared" si="6"/>
        <v>82</v>
      </c>
      <c r="S85" s="1"/>
      <c r="T85" s="1"/>
      <c r="U85" s="1"/>
      <c r="V85" s="1" t="str">
        <f t="shared" si="7"/>
        <v>Benchmarking</v>
      </c>
      <c r="W85" s="1"/>
      <c r="X85" s="1"/>
      <c r="Y85" s="1"/>
      <c r="Z85" s="1" t="str">
        <f t="shared" si="8"/>
        <v>PASSED</v>
      </c>
      <c r="AA85" s="1"/>
      <c r="AB85" s="1"/>
    </row>
    <row r="86" spans="1:28" ht="15.6" x14ac:dyDescent="0.3">
      <c r="A86">
        <v>23</v>
      </c>
      <c r="B86" t="str">
        <f>INPUT!B85</f>
        <v>Soriano, Kiana</v>
      </c>
      <c r="F86" s="1">
        <f>TERM1!AA85</f>
        <v>81</v>
      </c>
      <c r="G86" s="1"/>
      <c r="H86" s="1"/>
      <c r="I86" s="1"/>
      <c r="J86" s="1">
        <f>TERM2!AA85</f>
        <v>83</v>
      </c>
      <c r="K86" s="1"/>
      <c r="L86" s="1"/>
      <c r="M86" s="1"/>
      <c r="N86" s="1">
        <f>TERM3!AA85</f>
        <v>83</v>
      </c>
      <c r="O86" s="1"/>
      <c r="P86" s="1"/>
      <c r="Q86" s="1"/>
      <c r="R86" s="1">
        <f t="shared" si="6"/>
        <v>82</v>
      </c>
      <c r="S86" s="1"/>
      <c r="T86" s="1"/>
      <c r="U86" s="1"/>
      <c r="V86" s="1" t="str">
        <f t="shared" si="7"/>
        <v>Benchmarking</v>
      </c>
      <c r="W86" s="1"/>
      <c r="X86" s="1"/>
      <c r="Y86" s="1"/>
      <c r="Z86" s="1" t="str">
        <f t="shared" si="8"/>
        <v>PASSED</v>
      </c>
      <c r="AA86" s="1"/>
      <c r="AB86" s="1"/>
    </row>
    <row r="87" spans="1:28" ht="15.6" x14ac:dyDescent="0.3">
      <c r="A87">
        <v>24</v>
      </c>
      <c r="B87" t="str">
        <f>INPUT!B86</f>
        <v>Torres, Leah</v>
      </c>
      <c r="F87" s="1">
        <f>TERM1!AA86</f>
        <v>88</v>
      </c>
      <c r="G87" s="1"/>
      <c r="H87" s="1"/>
      <c r="I87" s="1"/>
      <c r="J87" s="1">
        <f>TERM2!AA86</f>
        <v>94</v>
      </c>
      <c r="K87" s="1"/>
      <c r="L87" s="1"/>
      <c r="M87" s="1"/>
      <c r="N87" s="1">
        <f>TERM3!AA86</f>
        <v>93</v>
      </c>
      <c r="O87" s="1"/>
      <c r="P87" s="1"/>
      <c r="Q87" s="1"/>
      <c r="R87" s="1">
        <f t="shared" si="6"/>
        <v>92</v>
      </c>
      <c r="S87" s="1"/>
      <c r="T87" s="1"/>
      <c r="U87" s="1"/>
      <c r="V87" s="1" t="str">
        <f t="shared" si="7"/>
        <v>Advancing</v>
      </c>
      <c r="W87" s="1"/>
      <c r="X87" s="1"/>
      <c r="Y87" s="1"/>
      <c r="Z87" s="1" t="str">
        <f t="shared" si="8"/>
        <v>PASSED</v>
      </c>
      <c r="AA87" s="1"/>
      <c r="AB87" s="1"/>
    </row>
    <row r="88" spans="1:28" ht="15.6" x14ac:dyDescent="0.3">
      <c r="A88">
        <v>25</v>
      </c>
      <c r="B88" t="str">
        <f>INPUT!B87</f>
        <v>Valdez, Liana</v>
      </c>
      <c r="F88" s="1">
        <f>TERM1!AA87</f>
        <v>85</v>
      </c>
      <c r="G88" s="1"/>
      <c r="H88" s="1"/>
      <c r="I88" s="1"/>
      <c r="J88" s="1">
        <f>TERM2!AA87</f>
        <v>83</v>
      </c>
      <c r="K88" s="1"/>
      <c r="L88" s="1"/>
      <c r="M88" s="1"/>
      <c r="N88" s="1">
        <f>TERM3!AA87</f>
        <v>81</v>
      </c>
      <c r="O88" s="1"/>
      <c r="P88" s="1"/>
      <c r="Q88" s="1"/>
      <c r="R88" s="1">
        <f t="shared" si="6"/>
        <v>83</v>
      </c>
      <c r="S88" s="1"/>
      <c r="T88" s="1"/>
      <c r="U88" s="1"/>
      <c r="V88" s="1" t="str">
        <f t="shared" si="7"/>
        <v>Benchmarking</v>
      </c>
      <c r="W88" s="1"/>
      <c r="X88" s="1"/>
      <c r="Y88" s="1"/>
      <c r="Z88" s="1" t="str">
        <f t="shared" si="8"/>
        <v>PASSED</v>
      </c>
      <c r="AA88" s="1"/>
      <c r="AB88" s="1"/>
    </row>
    <row r="89" spans="1:28" ht="15.6" x14ac:dyDescent="0.3">
      <c r="A89">
        <v>26</v>
      </c>
      <c r="B89" t="str">
        <f>INPUT!B88</f>
        <v>Velasco, Lia</v>
      </c>
      <c r="F89" s="1">
        <f>TERM1!AA88</f>
        <v>90</v>
      </c>
      <c r="G89" s="1"/>
      <c r="H89" s="1"/>
      <c r="I89" s="1"/>
      <c r="J89" s="1">
        <f>TERM2!AA88</f>
        <v>94</v>
      </c>
      <c r="K89" s="1"/>
      <c r="L89" s="1"/>
      <c r="M89" s="1"/>
      <c r="N89" s="1">
        <f>TERM3!AA88</f>
        <v>94</v>
      </c>
      <c r="O89" s="1"/>
      <c r="P89" s="1"/>
      <c r="Q89" s="1"/>
      <c r="R89" s="1">
        <f t="shared" si="6"/>
        <v>93</v>
      </c>
      <c r="S89" s="1"/>
      <c r="T89" s="1"/>
      <c r="U89" s="1"/>
      <c r="V89" s="1" t="str">
        <f t="shared" si="7"/>
        <v>Advancing</v>
      </c>
      <c r="W89" s="1"/>
      <c r="X89" s="1"/>
      <c r="Y89" s="1"/>
      <c r="Z89" s="1" t="str">
        <f t="shared" si="8"/>
        <v>PASSED</v>
      </c>
      <c r="AA89" s="1"/>
      <c r="AB89" s="1"/>
    </row>
    <row r="90" spans="1:28" ht="15.6" x14ac:dyDescent="0.3">
      <c r="A90">
        <v>27</v>
      </c>
      <c r="B90" t="str">
        <f>INPUT!B89</f>
        <v>Villanueva, Mara</v>
      </c>
      <c r="F90" s="1">
        <f>TERM1!AA89</f>
        <v>96</v>
      </c>
      <c r="G90" s="1"/>
      <c r="H90" s="1"/>
      <c r="I90" s="1"/>
      <c r="J90" s="1">
        <f>TERM2!AA89</f>
        <v>97</v>
      </c>
      <c r="K90" s="1"/>
      <c r="L90" s="1"/>
      <c r="M90" s="1"/>
      <c r="N90" s="1">
        <f>TERM3!AA89</f>
        <v>90</v>
      </c>
      <c r="O90" s="1"/>
      <c r="P90" s="1"/>
      <c r="Q90" s="1"/>
      <c r="R90" s="1">
        <f t="shared" si="6"/>
        <v>94</v>
      </c>
      <c r="S90" s="1"/>
      <c r="T90" s="1"/>
      <c r="U90" s="1"/>
      <c r="V90" s="1" t="str">
        <f t="shared" si="7"/>
        <v>Advancing</v>
      </c>
      <c r="W90" s="1"/>
      <c r="X90" s="1"/>
      <c r="Y90" s="1"/>
      <c r="Z90" s="1" t="str">
        <f t="shared" si="8"/>
        <v>PASSED</v>
      </c>
      <c r="AA90" s="1"/>
      <c r="AB90" s="1"/>
    </row>
    <row r="91" spans="1:28" ht="15.6" x14ac:dyDescent="0.3">
      <c r="A91">
        <v>28</v>
      </c>
      <c r="B91" t="str">
        <f>INPUT!B90</f>
        <v>Yap, Maria</v>
      </c>
      <c r="F91" s="1">
        <f>TERM1!AA90</f>
        <v>78</v>
      </c>
      <c r="G91" s="1"/>
      <c r="H91" s="1"/>
      <c r="I91" s="1"/>
      <c r="J91" s="1">
        <f>TERM2!AA90</f>
        <v>78</v>
      </c>
      <c r="K91" s="1"/>
      <c r="L91" s="1"/>
      <c r="M91" s="1"/>
      <c r="N91" s="1">
        <f>TERM3!AA90</f>
        <v>81</v>
      </c>
      <c r="O91" s="1"/>
      <c r="P91" s="1"/>
      <c r="Q91" s="1"/>
      <c r="R91" s="1">
        <f t="shared" si="6"/>
        <v>79</v>
      </c>
      <c r="S91" s="1"/>
      <c r="T91" s="1"/>
      <c r="U91" s="1"/>
      <c r="V91" s="1" t="str">
        <f t="shared" si="7"/>
        <v>Connecting</v>
      </c>
      <c r="W91" s="1"/>
      <c r="X91" s="1"/>
      <c r="Y91" s="1"/>
      <c r="Z91" s="1" t="str">
        <f t="shared" si="8"/>
        <v>PASSED</v>
      </c>
      <c r="AA91" s="1"/>
      <c r="AB91" s="1"/>
    </row>
    <row r="92" spans="1:28" ht="15.6" x14ac:dyDescent="0.3">
      <c r="A92">
        <v>29</v>
      </c>
      <c r="B92" t="str">
        <f>INPUT!B91</f>
        <v>Zamora, Mika</v>
      </c>
      <c r="F92" s="1">
        <f>TERM1!AA91</f>
        <v>85</v>
      </c>
      <c r="G92" s="1"/>
      <c r="H92" s="1"/>
      <c r="I92" s="1"/>
      <c r="J92" s="1">
        <f>TERM2!AA91</f>
        <v>90</v>
      </c>
      <c r="K92" s="1"/>
      <c r="L92" s="1"/>
      <c r="M92" s="1"/>
      <c r="N92" s="1">
        <f>TERM3!AA91</f>
        <v>83</v>
      </c>
      <c r="O92" s="1"/>
      <c r="P92" s="1"/>
      <c r="Q92" s="1"/>
      <c r="R92" s="1">
        <f t="shared" si="6"/>
        <v>86</v>
      </c>
      <c r="S92" s="1"/>
      <c r="T92" s="1"/>
      <c r="U92" s="1"/>
      <c r="V92" s="1" t="str">
        <f t="shared" si="7"/>
        <v>Benchmarking</v>
      </c>
      <c r="W92" s="1"/>
      <c r="X92" s="1"/>
      <c r="Y92" s="1"/>
      <c r="Z92" s="1" t="str">
        <f t="shared" si="8"/>
        <v>PASSED</v>
      </c>
      <c r="AA92" s="1"/>
      <c r="AB92" s="1"/>
    </row>
    <row r="93" spans="1:28" ht="15.6" x14ac:dyDescent="0.3">
      <c r="A93">
        <v>30</v>
      </c>
      <c r="B93" t="str">
        <f>INPUT!B92</f>
        <v>Zuniga, Nicole</v>
      </c>
      <c r="F93" s="1">
        <f>TERM1!AA92</f>
        <v>96</v>
      </c>
      <c r="G93" s="1"/>
      <c r="H93" s="1"/>
      <c r="I93" s="1"/>
      <c r="J93" s="1">
        <f>TERM2!AA92</f>
        <v>89</v>
      </c>
      <c r="K93" s="1"/>
      <c r="L93" s="1"/>
      <c r="M93" s="1"/>
      <c r="N93" s="1">
        <f>TERM3!AA92</f>
        <v>89</v>
      </c>
      <c r="O93" s="1"/>
      <c r="P93" s="1"/>
      <c r="Q93" s="1"/>
      <c r="R93" s="1">
        <f t="shared" si="6"/>
        <v>91</v>
      </c>
      <c r="S93" s="1"/>
      <c r="T93" s="1"/>
      <c r="U93" s="1"/>
      <c r="V93" s="1" t="str">
        <f t="shared" si="7"/>
        <v>Advancing</v>
      </c>
      <c r="W93" s="1"/>
      <c r="X93" s="1"/>
      <c r="Y93" s="1"/>
      <c r="Z93" s="1" t="str">
        <f t="shared" si="8"/>
        <v>PASSED</v>
      </c>
      <c r="AA93" s="1"/>
      <c r="AB93" s="1"/>
    </row>
    <row r="94" spans="1:28" ht="15.6" x14ac:dyDescent="0.3">
      <c r="A94">
        <v>31</v>
      </c>
      <c r="B94" t="str">
        <f>INPUT!B93</f>
        <v>Abad, Patricia</v>
      </c>
      <c r="F94" s="1">
        <f>TERM1!AA93</f>
        <v>86</v>
      </c>
      <c r="G94" s="1"/>
      <c r="H94" s="1"/>
      <c r="I94" s="1"/>
      <c r="J94" s="1">
        <f>TERM2!AA93</f>
        <v>89</v>
      </c>
      <c r="K94" s="1"/>
      <c r="L94" s="1"/>
      <c r="M94" s="1"/>
      <c r="N94" s="1">
        <f>TERM3!AA93</f>
        <v>87</v>
      </c>
      <c r="O94" s="1"/>
      <c r="P94" s="1"/>
      <c r="Q94" s="1"/>
      <c r="R94" s="1">
        <f t="shared" si="6"/>
        <v>87</v>
      </c>
      <c r="S94" s="1"/>
      <c r="T94" s="1"/>
      <c r="U94" s="1"/>
      <c r="V94" s="1" t="str">
        <f t="shared" si="7"/>
        <v>Benchmarking</v>
      </c>
      <c r="W94" s="1"/>
      <c r="X94" s="1"/>
      <c r="Y94" s="1"/>
      <c r="Z94" s="1" t="str">
        <f t="shared" si="8"/>
        <v>PASSED</v>
      </c>
      <c r="AA94" s="1"/>
      <c r="AB94" s="1"/>
    </row>
    <row r="95" spans="1:28" ht="15.6" x14ac:dyDescent="0.3">
      <c r="A95">
        <v>32</v>
      </c>
      <c r="B95" t="str">
        <f>INPUT!B94</f>
        <v>Agustin, Rachel</v>
      </c>
      <c r="F95" s="1">
        <f>TERM1!AA94</f>
        <v>95</v>
      </c>
      <c r="G95" s="1"/>
      <c r="H95" s="1"/>
      <c r="I95" s="1"/>
      <c r="J95" s="1">
        <f>TERM2!AA94</f>
        <v>94</v>
      </c>
      <c r="K95" s="1"/>
      <c r="L95" s="1"/>
      <c r="M95" s="1"/>
      <c r="N95" s="1">
        <f>TERM3!AA94</f>
        <v>97</v>
      </c>
      <c r="O95" s="1"/>
      <c r="P95" s="1"/>
      <c r="Q95" s="1"/>
      <c r="R95" s="1">
        <f t="shared" si="6"/>
        <v>95</v>
      </c>
      <c r="S95" s="1"/>
      <c r="T95" s="1"/>
      <c r="U95" s="1"/>
      <c r="V95" s="1" t="str">
        <f t="shared" si="7"/>
        <v>Advancing</v>
      </c>
      <c r="W95" s="1"/>
      <c r="X95" s="1"/>
      <c r="Y95" s="1"/>
      <c r="Z95" s="1" t="str">
        <f t="shared" si="8"/>
        <v>PASSED</v>
      </c>
      <c r="AA95" s="1"/>
      <c r="AB95" s="1"/>
    </row>
    <row r="96" spans="1:28" ht="15.6" x14ac:dyDescent="0.3">
      <c r="A96">
        <v>33</v>
      </c>
      <c r="B96" t="str">
        <f>INPUT!B95</f>
        <v>Alvarez, Rebecca</v>
      </c>
      <c r="F96" s="1">
        <f>TERM1!AA95</f>
        <v>83</v>
      </c>
      <c r="G96" s="1"/>
      <c r="H96" s="1"/>
      <c r="I96" s="1"/>
      <c r="J96" s="1">
        <f>TERM2!AA95</f>
        <v>85</v>
      </c>
      <c r="K96" s="1"/>
      <c r="L96" s="1"/>
      <c r="M96" s="1"/>
      <c r="N96" s="1">
        <f>TERM3!AA95</f>
        <v>86</v>
      </c>
      <c r="O96" s="1"/>
      <c r="P96" s="1"/>
      <c r="Q96" s="1"/>
      <c r="R96" s="1">
        <f t="shared" ref="R96:R113" si="9">IF(OR(F96="",J96="",N96=""),"",IF(ISERROR(ROUND(AVERAGE(F96,J96,N96),0)),"",ROUND(AVERAGE(F96,J96,N96),0)))</f>
        <v>85</v>
      </c>
      <c r="S96" s="1"/>
      <c r="T96" s="1"/>
      <c r="U96" s="1"/>
      <c r="V96" s="1" t="str">
        <f t="shared" ref="V96:V113" si="10">IF(ISERROR(IF(R96="","",VLOOKUP(R96,DESCRIPTORS,4,TRUE))),"",IF(R96="","",VLOOKUP(R96,DESCRIPTORS,4,TRUE)))</f>
        <v>Benchmarking</v>
      </c>
      <c r="W96" s="1"/>
      <c r="X96" s="1"/>
      <c r="Y96" s="1"/>
      <c r="Z96" s="1" t="str">
        <f t="shared" ref="Z96:Z113" si="11">IF(OR($F96="",$J96="",$N96="",$R96=""),"",IF($R96&gt;=75,"PASSED","FAILED"))</f>
        <v>PASSED</v>
      </c>
      <c r="AA96" s="1"/>
      <c r="AB96" s="1"/>
    </row>
    <row r="97" spans="1:28" ht="15.6" x14ac:dyDescent="0.3">
      <c r="A97">
        <v>34</v>
      </c>
      <c r="B97" t="str">
        <f>INPUT!B96</f>
        <v>Aquino, Rhea</v>
      </c>
      <c r="F97" s="1">
        <f>TERM1!AA96</f>
        <v>76</v>
      </c>
      <c r="G97" s="1"/>
      <c r="H97" s="1"/>
      <c r="I97" s="1"/>
      <c r="J97" s="1">
        <f>TERM2!AA96</f>
        <v>77</v>
      </c>
      <c r="K97" s="1"/>
      <c r="L97" s="1"/>
      <c r="M97" s="1"/>
      <c r="N97" s="1">
        <f>TERM3!AA96</f>
        <v>81</v>
      </c>
      <c r="O97" s="1"/>
      <c r="P97" s="1"/>
      <c r="Q97" s="1"/>
      <c r="R97" s="1">
        <f t="shared" si="9"/>
        <v>78</v>
      </c>
      <c r="S97" s="1"/>
      <c r="T97" s="1"/>
      <c r="U97" s="1"/>
      <c r="V97" s="1" t="str">
        <f t="shared" si="10"/>
        <v>Connecting</v>
      </c>
      <c r="W97" s="1"/>
      <c r="X97" s="1"/>
      <c r="Y97" s="1"/>
      <c r="Z97" s="1" t="str">
        <f t="shared" si="11"/>
        <v>PASSED</v>
      </c>
      <c r="AA97" s="1"/>
      <c r="AB97" s="1"/>
    </row>
    <row r="98" spans="1:28" ht="15.6" x14ac:dyDescent="0.3">
      <c r="A98">
        <v>35</v>
      </c>
      <c r="B98" t="str">
        <f>INPUT!B97</f>
        <v>Arceo, Samantha</v>
      </c>
      <c r="F98" s="1">
        <f>TERM1!AA97</f>
        <v>97</v>
      </c>
      <c r="G98" s="1"/>
      <c r="H98" s="1"/>
      <c r="I98" s="1"/>
      <c r="J98" s="1">
        <f>TERM2!AA97</f>
        <v>98</v>
      </c>
      <c r="K98" s="1"/>
      <c r="L98" s="1"/>
      <c r="M98" s="1"/>
      <c r="N98" s="1">
        <f>TERM3!AA97</f>
        <v>96</v>
      </c>
      <c r="O98" s="1"/>
      <c r="P98" s="1"/>
      <c r="Q98" s="1"/>
      <c r="R98" s="1">
        <f t="shared" si="9"/>
        <v>97</v>
      </c>
      <c r="S98" s="1"/>
      <c r="T98" s="1"/>
      <c r="U98" s="1"/>
      <c r="V98" s="1" t="str">
        <f t="shared" si="10"/>
        <v>Advancing</v>
      </c>
      <c r="W98" s="1"/>
      <c r="X98" s="1"/>
      <c r="Y98" s="1"/>
      <c r="Z98" s="1" t="str">
        <f t="shared" si="11"/>
        <v>PASSED</v>
      </c>
      <c r="AA98" s="1"/>
      <c r="AB98" s="1"/>
    </row>
    <row r="99" spans="1:28" ht="15.6" x14ac:dyDescent="0.3">
      <c r="A99">
        <v>36</v>
      </c>
      <c r="B99" t="str">
        <f>INPUT!B98</f>
        <v>Arellano, Sofia</v>
      </c>
      <c r="F99" s="1">
        <f>TERM1!AA98</f>
        <v>61</v>
      </c>
      <c r="G99" s="1"/>
      <c r="H99" s="1"/>
      <c r="I99" s="1"/>
      <c r="J99" s="1">
        <f>TERM2!AA98</f>
        <v>64</v>
      </c>
      <c r="K99" s="1"/>
      <c r="L99" s="1"/>
      <c r="M99" s="1"/>
      <c r="N99" s="1">
        <f>TERM3!AA98</f>
        <v>66</v>
      </c>
      <c r="O99" s="1"/>
      <c r="P99" s="1"/>
      <c r="Q99" s="1"/>
      <c r="R99" s="1">
        <f t="shared" si="9"/>
        <v>64</v>
      </c>
      <c r="S99" s="1"/>
      <c r="T99" s="1"/>
      <c r="U99" s="1"/>
      <c r="V99" s="1" t="str">
        <f t="shared" si="10"/>
        <v>Emerging</v>
      </c>
      <c r="W99" s="1"/>
      <c r="X99" s="1"/>
      <c r="Y99" s="1"/>
      <c r="Z99" s="1" t="str">
        <f t="shared" si="11"/>
        <v>FAILED</v>
      </c>
      <c r="AA99" s="1"/>
      <c r="AB99" s="1"/>
    </row>
    <row r="100" spans="1:28" ht="15.6" x14ac:dyDescent="0.3">
      <c r="A100">
        <v>37</v>
      </c>
      <c r="B100" t="str">
        <f>INPUT!B99</f>
        <v>Barrera, Sophia</v>
      </c>
      <c r="F100" s="1">
        <f>TERM1!AA99</f>
        <v>86</v>
      </c>
      <c r="G100" s="1"/>
      <c r="H100" s="1"/>
      <c r="I100" s="1"/>
      <c r="J100" s="1">
        <f>TERM2!AA99</f>
        <v>83</v>
      </c>
      <c r="K100" s="1"/>
      <c r="L100" s="1"/>
      <c r="M100" s="1"/>
      <c r="N100" s="1">
        <f>TERM3!AA99</f>
        <v>83</v>
      </c>
      <c r="O100" s="1"/>
      <c r="P100" s="1"/>
      <c r="Q100" s="1"/>
      <c r="R100" s="1">
        <f t="shared" si="9"/>
        <v>84</v>
      </c>
      <c r="S100" s="1"/>
      <c r="T100" s="1"/>
      <c r="U100" s="1"/>
      <c r="V100" s="1" t="str">
        <f t="shared" si="10"/>
        <v>Benchmarking</v>
      </c>
      <c r="W100" s="1"/>
      <c r="X100" s="1"/>
      <c r="Y100" s="1"/>
      <c r="Z100" s="1" t="str">
        <f t="shared" si="11"/>
        <v>PASSED</v>
      </c>
      <c r="AA100" s="1"/>
      <c r="AB100" s="1"/>
    </row>
    <row r="101" spans="1:28" ht="15.6" x14ac:dyDescent="0.3">
      <c r="A101">
        <v>38</v>
      </c>
      <c r="B101" t="str">
        <f>INPUT!B100</f>
        <v>Cabral, Therese</v>
      </c>
      <c r="F101" s="1">
        <f>TERM1!AA100</f>
        <v>86</v>
      </c>
      <c r="G101" s="1"/>
      <c r="H101" s="1"/>
      <c r="I101" s="1"/>
      <c r="J101" s="1">
        <f>TERM2!AA100</f>
        <v>86</v>
      </c>
      <c r="K101" s="1"/>
      <c r="L101" s="1"/>
      <c r="M101" s="1"/>
      <c r="N101" s="1">
        <f>TERM3!AA100</f>
        <v>88</v>
      </c>
      <c r="O101" s="1"/>
      <c r="P101" s="1"/>
      <c r="Q101" s="1"/>
      <c r="R101" s="1">
        <f t="shared" si="9"/>
        <v>87</v>
      </c>
      <c r="S101" s="1"/>
      <c r="T101" s="1"/>
      <c r="U101" s="1"/>
      <c r="V101" s="1" t="str">
        <f t="shared" si="10"/>
        <v>Benchmarking</v>
      </c>
      <c r="W101" s="1"/>
      <c r="X101" s="1"/>
      <c r="Y101" s="1"/>
      <c r="Z101" s="1" t="str">
        <f t="shared" si="11"/>
        <v>PASSED</v>
      </c>
      <c r="AA101" s="1"/>
      <c r="AB101" s="1"/>
    </row>
    <row r="102" spans="1:28" ht="15.6" x14ac:dyDescent="0.3">
      <c r="A102">
        <v>39</v>
      </c>
      <c r="B102" t="str">
        <f>INPUT!B101</f>
        <v>David, Trisha</v>
      </c>
      <c r="F102" s="1">
        <f>TERM1!AA101</f>
        <v>97</v>
      </c>
      <c r="G102" s="1"/>
      <c r="H102" s="1"/>
      <c r="I102" s="1"/>
      <c r="J102" s="1">
        <f>TERM2!AA101</f>
        <v>98</v>
      </c>
      <c r="K102" s="1"/>
      <c r="L102" s="1"/>
      <c r="M102" s="1"/>
      <c r="N102" s="1">
        <f>TERM3!AA101</f>
        <v>93</v>
      </c>
      <c r="O102" s="1"/>
      <c r="P102" s="1"/>
      <c r="Q102" s="1"/>
      <c r="R102" s="1">
        <f t="shared" si="9"/>
        <v>96</v>
      </c>
      <c r="S102" s="1"/>
      <c r="T102" s="1"/>
      <c r="U102" s="1"/>
      <c r="V102" s="1" t="str">
        <f t="shared" si="10"/>
        <v>Advancing</v>
      </c>
      <c r="W102" s="1"/>
      <c r="X102" s="1"/>
      <c r="Y102" s="1"/>
      <c r="Z102" s="1" t="str">
        <f t="shared" si="11"/>
        <v>PASSED</v>
      </c>
      <c r="AA102" s="1"/>
      <c r="AB102" s="1"/>
    </row>
    <row r="103" spans="1:28" ht="15.6" x14ac:dyDescent="0.3">
      <c r="A103">
        <v>40</v>
      </c>
      <c r="B103" t="str">
        <f>INPUT!B102</f>
        <v>Escobar, Valerie</v>
      </c>
      <c r="F103" s="1">
        <f>TERM1!AA102</f>
        <v>88</v>
      </c>
      <c r="G103" s="1"/>
      <c r="H103" s="1"/>
      <c r="I103" s="1"/>
      <c r="J103" s="1">
        <f>TERM2!AA102</f>
        <v>90</v>
      </c>
      <c r="K103" s="1"/>
      <c r="L103" s="1"/>
      <c r="M103" s="1"/>
      <c r="N103" s="1">
        <f>TERM3!AA102</f>
        <v>88</v>
      </c>
      <c r="O103" s="1"/>
      <c r="P103" s="1"/>
      <c r="Q103" s="1"/>
      <c r="R103" s="1">
        <f t="shared" si="9"/>
        <v>89</v>
      </c>
      <c r="S103" s="1"/>
      <c r="T103" s="1"/>
      <c r="U103" s="1"/>
      <c r="V103" s="1" t="str">
        <f t="shared" si="10"/>
        <v>Benchmarking</v>
      </c>
      <c r="W103" s="1"/>
      <c r="X103" s="1"/>
      <c r="Y103" s="1"/>
      <c r="Z103" s="1" t="str">
        <f t="shared" si="11"/>
        <v>PASSED</v>
      </c>
      <c r="AA103" s="1"/>
      <c r="AB103" s="1"/>
    </row>
    <row r="104" spans="1:28" ht="15.6" x14ac:dyDescent="0.3">
      <c r="A104">
        <v>41</v>
      </c>
      <c r="B104" t="str">
        <f>INPUT!B103</f>
        <v>Aguilar, Vanessa</v>
      </c>
      <c r="F104" s="1">
        <f>TERM1!AA103</f>
        <v>88</v>
      </c>
      <c r="G104" s="1"/>
      <c r="H104" s="1"/>
      <c r="I104" s="1"/>
      <c r="J104" s="1">
        <f>TERM2!AA103</f>
        <v>90</v>
      </c>
      <c r="K104" s="1"/>
      <c r="L104" s="1"/>
      <c r="M104" s="1"/>
      <c r="N104" s="1">
        <f>TERM3!AA103</f>
        <v>87</v>
      </c>
      <c r="O104" s="1"/>
      <c r="P104" s="1"/>
      <c r="Q104" s="1"/>
      <c r="R104" s="1">
        <f t="shared" si="9"/>
        <v>88</v>
      </c>
      <c r="S104" s="1"/>
      <c r="T104" s="1"/>
      <c r="U104" s="1"/>
      <c r="V104" s="1" t="str">
        <f t="shared" si="10"/>
        <v>Benchmarking</v>
      </c>
      <c r="W104" s="1"/>
      <c r="X104" s="1"/>
      <c r="Y104" s="1"/>
      <c r="Z104" s="1" t="str">
        <f t="shared" si="11"/>
        <v>PASSED</v>
      </c>
      <c r="AA104" s="1"/>
      <c r="AB104" s="1"/>
    </row>
    <row r="105" spans="1:28" ht="15.6" x14ac:dyDescent="0.3">
      <c r="A105">
        <v>42</v>
      </c>
      <c r="B105" t="str">
        <f>INPUT!B104</f>
        <v>Alcantara, Veronica</v>
      </c>
      <c r="F105" s="1">
        <f>TERM1!AA104</f>
        <v>74</v>
      </c>
      <c r="G105" s="1"/>
      <c r="H105" s="1"/>
      <c r="I105" s="1"/>
      <c r="J105" s="1">
        <f>TERM2!AA104</f>
        <v>75</v>
      </c>
      <c r="K105" s="1"/>
      <c r="L105" s="1"/>
      <c r="M105" s="1"/>
      <c r="N105" s="1">
        <f>TERM3!AA104</f>
        <v>75</v>
      </c>
      <c r="O105" s="1"/>
      <c r="P105" s="1"/>
      <c r="Q105" s="1"/>
      <c r="R105" s="1">
        <f t="shared" si="9"/>
        <v>75</v>
      </c>
      <c r="S105" s="1"/>
      <c r="T105" s="1"/>
      <c r="U105" s="1"/>
      <c r="V105" s="1" t="str">
        <f t="shared" si="10"/>
        <v>Connecting</v>
      </c>
      <c r="W105" s="1"/>
      <c r="X105" s="1"/>
      <c r="Y105" s="1"/>
      <c r="Z105" s="1" t="str">
        <f t="shared" si="11"/>
        <v>PASSED</v>
      </c>
      <c r="AA105" s="1"/>
      <c r="AB105" s="1"/>
    </row>
    <row r="106" spans="1:28" ht="15.6" x14ac:dyDescent="0.3">
      <c r="A106">
        <v>43</v>
      </c>
      <c r="B106" t="str">
        <f>INPUT!B105</f>
        <v>Andrada, Victoria</v>
      </c>
      <c r="F106" s="1">
        <f>TERM1!AA105</f>
        <v>62</v>
      </c>
      <c r="G106" s="1"/>
      <c r="H106" s="1"/>
      <c r="I106" s="1"/>
      <c r="J106" s="1">
        <f>TERM2!AA105</f>
        <v>62</v>
      </c>
      <c r="K106" s="1"/>
      <c r="L106" s="1"/>
      <c r="M106" s="1"/>
      <c r="N106" s="1">
        <f>TERM3!AA105</f>
        <v>63</v>
      </c>
      <c r="O106" s="1"/>
      <c r="P106" s="1"/>
      <c r="Q106" s="1"/>
      <c r="R106" s="1">
        <f t="shared" si="9"/>
        <v>62</v>
      </c>
      <c r="S106" s="1"/>
      <c r="T106" s="1"/>
      <c r="U106" s="1"/>
      <c r="V106" s="1" t="str">
        <f t="shared" si="10"/>
        <v>Emerging</v>
      </c>
      <c r="W106" s="1"/>
      <c r="X106" s="1"/>
      <c r="Y106" s="1"/>
      <c r="Z106" s="1" t="str">
        <f t="shared" si="11"/>
        <v>FAILED</v>
      </c>
      <c r="AA106" s="1"/>
      <c r="AB106" s="1"/>
    </row>
    <row r="107" spans="1:28" ht="15.6" x14ac:dyDescent="0.3">
      <c r="A107">
        <v>44</v>
      </c>
      <c r="B107" t="str">
        <f>INPUT!B106</f>
        <v>Bautista, Yasmine</v>
      </c>
      <c r="F107" s="1">
        <f>TERM1!AA106</f>
        <v>76</v>
      </c>
      <c r="G107" s="1"/>
      <c r="H107" s="1"/>
      <c r="I107" s="1"/>
      <c r="J107" s="1">
        <f>TERM2!AA106</f>
        <v>75</v>
      </c>
      <c r="K107" s="1"/>
      <c r="L107" s="1"/>
      <c r="M107" s="1"/>
      <c r="N107" s="1">
        <f>TERM3!AA106</f>
        <v>76</v>
      </c>
      <c r="O107" s="1"/>
      <c r="P107" s="1"/>
      <c r="Q107" s="1"/>
      <c r="R107" s="1">
        <f t="shared" si="9"/>
        <v>76</v>
      </c>
      <c r="S107" s="1"/>
      <c r="T107" s="1"/>
      <c r="U107" s="1"/>
      <c r="V107" s="1" t="str">
        <f t="shared" si="10"/>
        <v>Connecting</v>
      </c>
      <c r="W107" s="1"/>
      <c r="X107" s="1"/>
      <c r="Y107" s="1"/>
      <c r="Z107" s="1" t="str">
        <f t="shared" si="11"/>
        <v>PASSED</v>
      </c>
      <c r="AA107" s="1"/>
      <c r="AB107" s="1"/>
    </row>
    <row r="108" spans="1:28" ht="15.6" x14ac:dyDescent="0.3">
      <c r="A108">
        <v>45</v>
      </c>
      <c r="B108" t="str">
        <f>INPUT!B107</f>
        <v>Bernardo, Zoe</v>
      </c>
      <c r="F108" s="1">
        <f>TERM1!AA107</f>
        <v>92</v>
      </c>
      <c r="G108" s="1"/>
      <c r="H108" s="1"/>
      <c r="I108" s="1"/>
      <c r="J108" s="1">
        <f>TERM2!AA107</f>
        <v>89</v>
      </c>
      <c r="K108" s="1"/>
      <c r="L108" s="1"/>
      <c r="M108" s="1"/>
      <c r="N108" s="1">
        <f>TERM3!AA107</f>
        <v>89</v>
      </c>
      <c r="O108" s="1"/>
      <c r="P108" s="1"/>
      <c r="Q108" s="1"/>
      <c r="R108" s="1">
        <f t="shared" si="9"/>
        <v>90</v>
      </c>
      <c r="S108" s="1"/>
      <c r="T108" s="1"/>
      <c r="U108" s="1"/>
      <c r="V108" s="1" t="str">
        <f t="shared" si="10"/>
        <v>Advancing</v>
      </c>
      <c r="W108" s="1"/>
      <c r="X108" s="1"/>
      <c r="Y108" s="1"/>
      <c r="Z108" s="1" t="str">
        <f t="shared" si="11"/>
        <v>PASSED</v>
      </c>
      <c r="AA108" s="1"/>
      <c r="AB108" s="1"/>
    </row>
    <row r="109" spans="1:28" ht="15.6" x14ac:dyDescent="0.3">
      <c r="A109">
        <v>46</v>
      </c>
      <c r="B109" t="str">
        <f>INPUT!B108</f>
        <v>Castillo, Amara</v>
      </c>
      <c r="F109" s="1">
        <f>TERM1!AA108</f>
        <v>85</v>
      </c>
      <c r="G109" s="1"/>
      <c r="H109" s="1"/>
      <c r="I109" s="1"/>
      <c r="J109" s="1">
        <f>TERM2!AA108</f>
        <v>87</v>
      </c>
      <c r="K109" s="1"/>
      <c r="L109" s="1"/>
      <c r="M109" s="1"/>
      <c r="N109" s="1">
        <f>TERM3!AA108</f>
        <v>87</v>
      </c>
      <c r="O109" s="1"/>
      <c r="P109" s="1"/>
      <c r="Q109" s="1"/>
      <c r="R109" s="1">
        <f t="shared" si="9"/>
        <v>86</v>
      </c>
      <c r="S109" s="1"/>
      <c r="T109" s="1"/>
      <c r="U109" s="1"/>
      <c r="V109" s="1" t="str">
        <f t="shared" si="10"/>
        <v>Benchmarking</v>
      </c>
      <c r="W109" s="1"/>
      <c r="X109" s="1"/>
      <c r="Y109" s="1"/>
      <c r="Z109" s="1" t="str">
        <f t="shared" si="11"/>
        <v>PASSED</v>
      </c>
      <c r="AA109" s="1"/>
      <c r="AB109" s="1"/>
    </row>
    <row r="110" spans="1:28" ht="15.6" x14ac:dyDescent="0.3">
      <c r="A110">
        <v>47</v>
      </c>
      <c r="B110" t="str">
        <f>INPUT!B109</f>
        <v>Cruz, Andrea</v>
      </c>
      <c r="F110" s="1">
        <f>TERM1!AA109</f>
        <v>81</v>
      </c>
      <c r="G110" s="1"/>
      <c r="H110" s="1"/>
      <c r="I110" s="1"/>
      <c r="J110" s="1">
        <f>TERM2!AA109</f>
        <v>82</v>
      </c>
      <c r="K110" s="1"/>
      <c r="L110" s="1"/>
      <c r="M110" s="1"/>
      <c r="N110" s="1">
        <f>TERM3!AA109</f>
        <v>83</v>
      </c>
      <c r="O110" s="1"/>
      <c r="P110" s="1"/>
      <c r="Q110" s="1"/>
      <c r="R110" s="1">
        <f t="shared" si="9"/>
        <v>82</v>
      </c>
      <c r="S110" s="1"/>
      <c r="T110" s="1"/>
      <c r="U110" s="1"/>
      <c r="V110" s="1" t="str">
        <f t="shared" si="10"/>
        <v>Benchmarking</v>
      </c>
      <c r="W110" s="1"/>
      <c r="X110" s="1"/>
      <c r="Y110" s="1"/>
      <c r="Z110" s="1" t="str">
        <f t="shared" si="11"/>
        <v>PASSED</v>
      </c>
      <c r="AA110" s="1"/>
      <c r="AB110" s="1"/>
    </row>
    <row r="111" spans="1:28" ht="15.6" x14ac:dyDescent="0.3">
      <c r="A111">
        <v>48</v>
      </c>
      <c r="B111" t="str">
        <f>INPUT!B110</f>
        <v>Dela Cruz, Beatriz</v>
      </c>
      <c r="F111" s="1">
        <f>TERM1!AA110</f>
        <v>65</v>
      </c>
      <c r="G111" s="1"/>
      <c r="H111" s="1"/>
      <c r="I111" s="1"/>
      <c r="J111" s="1">
        <f>TERM2!AA110</f>
        <v>61</v>
      </c>
      <c r="K111" s="1"/>
      <c r="L111" s="1"/>
      <c r="M111" s="1"/>
      <c r="N111" s="1">
        <f>TERM3!AA110</f>
        <v>65</v>
      </c>
      <c r="O111" s="1"/>
      <c r="P111" s="1"/>
      <c r="Q111" s="1"/>
      <c r="R111" s="1">
        <f t="shared" si="9"/>
        <v>64</v>
      </c>
      <c r="S111" s="1"/>
      <c r="T111" s="1"/>
      <c r="U111" s="1"/>
      <c r="V111" s="1" t="str">
        <f t="shared" si="10"/>
        <v>Emerging</v>
      </c>
      <c r="W111" s="1"/>
      <c r="X111" s="1"/>
      <c r="Y111" s="1"/>
      <c r="Z111" s="1" t="str">
        <f t="shared" si="11"/>
        <v>FAILED</v>
      </c>
      <c r="AA111" s="1"/>
      <c r="AB111" s="1"/>
    </row>
    <row r="112" spans="1:28" ht="15.6" x14ac:dyDescent="0.3">
      <c r="A112">
        <v>49</v>
      </c>
      <c r="B112" t="str">
        <f>INPUT!B111</f>
        <v>Diaz, Celine</v>
      </c>
      <c r="F112" s="1">
        <f>TERM1!AA111</f>
        <v>74</v>
      </c>
      <c r="G112" s="1"/>
      <c r="H112" s="1"/>
      <c r="I112" s="1"/>
      <c r="J112" s="1">
        <f>TERM2!AA111</f>
        <v>74</v>
      </c>
      <c r="K112" s="1"/>
      <c r="L112" s="1"/>
      <c r="M112" s="1"/>
      <c r="N112" s="1">
        <f>TERM3!AA111</f>
        <v>76</v>
      </c>
      <c r="O112" s="1"/>
      <c r="P112" s="1"/>
      <c r="Q112" s="1"/>
      <c r="R112" s="1">
        <f t="shared" si="9"/>
        <v>75</v>
      </c>
      <c r="S112" s="1"/>
      <c r="T112" s="1"/>
      <c r="U112" s="1"/>
      <c r="V112" s="1" t="str">
        <f t="shared" si="10"/>
        <v>Connecting</v>
      </c>
      <c r="W112" s="1"/>
      <c r="X112" s="1"/>
      <c r="Y112" s="1"/>
      <c r="Z112" s="1" t="str">
        <f t="shared" si="11"/>
        <v>PASSED</v>
      </c>
      <c r="AA112" s="1"/>
      <c r="AB112" s="1"/>
    </row>
    <row r="113" spans="1:28" ht="15.6" x14ac:dyDescent="0.3">
      <c r="A113">
        <v>50</v>
      </c>
      <c r="B113" t="str">
        <f>INPUT!B112</f>
        <v>Evangelista, Danielle</v>
      </c>
      <c r="F113" s="1">
        <f>TERM1!AA112</f>
        <v>87</v>
      </c>
      <c r="G113" s="1"/>
      <c r="H113" s="1"/>
      <c r="I113" s="1"/>
      <c r="J113" s="1">
        <f>TERM2!AA112</f>
        <v>79</v>
      </c>
      <c r="K113" s="1"/>
      <c r="L113" s="1"/>
      <c r="M113" s="1"/>
      <c r="N113" s="1">
        <f>TERM3!AA112</f>
        <v>83</v>
      </c>
      <c r="O113" s="1"/>
      <c r="P113" s="1"/>
      <c r="Q113" s="1"/>
      <c r="R113" s="1">
        <f t="shared" si="9"/>
        <v>83</v>
      </c>
      <c r="S113" s="1"/>
      <c r="T113" s="1"/>
      <c r="U113" s="1"/>
      <c r="V113" s="1" t="str">
        <f t="shared" si="10"/>
        <v>Benchmarking</v>
      </c>
      <c r="W113" s="1"/>
      <c r="X113" s="1"/>
      <c r="Y113" s="1"/>
      <c r="Z113" s="1" t="str">
        <f t="shared" si="11"/>
        <v>PASSED</v>
      </c>
      <c r="AA113" s="1"/>
      <c r="AB113" s="1"/>
    </row>
  </sheetData>
  <autoFilter ref="B12:B113" xr:uid="{00000000-0009-0000-0000-000004000000}"/>
  <mergeCells count="639"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F30:I30"/>
    <mergeCell ref="Z30:AB30"/>
    <mergeCell ref="J27:M27"/>
    <mergeCell ref="F94:I94"/>
    <mergeCell ref="N65:Q65"/>
    <mergeCell ref="V56:Y56"/>
    <mergeCell ref="V43:Y43"/>
    <mergeCell ref="Z35:AB35"/>
    <mergeCell ref="V91:Y91"/>
    <mergeCell ref="V85:Y85"/>
    <mergeCell ref="N50:Q50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N14:Q14"/>
    <mergeCell ref="R16:U16"/>
    <mergeCell ref="Z34:AB34"/>
    <mergeCell ref="Z36:AB36"/>
    <mergeCell ref="N69:Q69"/>
    <mergeCell ref="N17:Q17"/>
  </mergeCells>
  <pageMargins left="0.4" right="0.4" top="0.5" bottom="0.5" header="0.3" footer="0.3"/>
  <ignoredErrors>
    <ignoredError sqref="A1:BE1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43"/>
  <sheetViews>
    <sheetView workbookViewId="0"/>
  </sheetViews>
  <sheetFormatPr defaultRowHeight="14.4" x14ac:dyDescent="0.3"/>
  <sheetData>
    <row r="2" spans="2:23" ht="15.6" x14ac:dyDescent="0.3">
      <c r="B2" t="s">
        <v>159</v>
      </c>
      <c r="C2" t="s">
        <v>160</v>
      </c>
      <c r="D2" t="s">
        <v>161</v>
      </c>
      <c r="E2" t="s">
        <v>162</v>
      </c>
      <c r="F2" t="s">
        <v>163</v>
      </c>
      <c r="H2" s="1" t="s">
        <v>164</v>
      </c>
      <c r="I2" s="1"/>
      <c r="J2" s="1"/>
      <c r="K2" s="1"/>
      <c r="T2" s="1" t="s">
        <v>165</v>
      </c>
      <c r="U2" s="1"/>
      <c r="V2" s="1"/>
      <c r="W2" s="1"/>
    </row>
    <row r="3" spans="2:23" ht="15.6" x14ac:dyDescent="0.3">
      <c r="B3" t="s">
        <v>166</v>
      </c>
      <c r="C3">
        <v>0.2</v>
      </c>
      <c r="D3">
        <v>0.5</v>
      </c>
      <c r="E3">
        <v>0.3</v>
      </c>
      <c r="F3">
        <f t="shared" ref="F3:F11" si="0">SUM(C3:E3)</f>
        <v>1</v>
      </c>
      <c r="H3">
        <v>0</v>
      </c>
      <c r="I3" t="s">
        <v>167</v>
      </c>
      <c r="J3">
        <v>39.99</v>
      </c>
      <c r="K3">
        <v>60</v>
      </c>
      <c r="T3">
        <v>0</v>
      </c>
      <c r="U3" t="s">
        <v>167</v>
      </c>
      <c r="V3">
        <v>64</v>
      </c>
      <c r="W3" t="s">
        <v>168</v>
      </c>
    </row>
    <row r="4" spans="2:23" ht="15.6" x14ac:dyDescent="0.3">
      <c r="B4" t="s">
        <v>169</v>
      </c>
      <c r="C4">
        <v>0.2</v>
      </c>
      <c r="D4">
        <v>0.5</v>
      </c>
      <c r="E4">
        <v>0.3</v>
      </c>
      <c r="F4">
        <f t="shared" si="0"/>
        <v>1</v>
      </c>
      <c r="H4">
        <v>40</v>
      </c>
      <c r="I4" t="s">
        <v>167</v>
      </c>
      <c r="J4">
        <v>42.99</v>
      </c>
      <c r="K4">
        <v>61</v>
      </c>
      <c r="T4">
        <v>65</v>
      </c>
      <c r="U4" t="s">
        <v>167</v>
      </c>
      <c r="V4">
        <v>74</v>
      </c>
      <c r="W4" t="s">
        <v>170</v>
      </c>
    </row>
    <row r="5" spans="2:23" ht="15.6" x14ac:dyDescent="0.3">
      <c r="B5" t="s">
        <v>171</v>
      </c>
      <c r="C5">
        <v>0.2</v>
      </c>
      <c r="D5">
        <v>0.5</v>
      </c>
      <c r="E5">
        <v>0.3</v>
      </c>
      <c r="F5">
        <f t="shared" si="0"/>
        <v>1</v>
      </c>
      <c r="H5">
        <v>43</v>
      </c>
      <c r="I5" t="s">
        <v>167</v>
      </c>
      <c r="J5">
        <v>45.99</v>
      </c>
      <c r="K5">
        <v>62</v>
      </c>
      <c r="T5">
        <v>75</v>
      </c>
      <c r="U5" t="s">
        <v>167</v>
      </c>
      <c r="V5">
        <v>79</v>
      </c>
      <c r="W5" t="s">
        <v>172</v>
      </c>
    </row>
    <row r="6" spans="2:23" ht="15.6" x14ac:dyDescent="0.3">
      <c r="B6" t="s">
        <v>173</v>
      </c>
      <c r="C6">
        <v>0.2</v>
      </c>
      <c r="D6">
        <v>0.5</v>
      </c>
      <c r="E6">
        <v>0.3</v>
      </c>
      <c r="F6">
        <f t="shared" si="0"/>
        <v>1</v>
      </c>
      <c r="H6">
        <v>46</v>
      </c>
      <c r="I6" t="s">
        <v>167</v>
      </c>
      <c r="J6">
        <v>47.99</v>
      </c>
      <c r="K6">
        <v>63</v>
      </c>
      <c r="T6">
        <v>80</v>
      </c>
      <c r="U6" t="s">
        <v>167</v>
      </c>
      <c r="V6">
        <v>89</v>
      </c>
      <c r="W6" t="s">
        <v>174</v>
      </c>
    </row>
    <row r="7" spans="2:23" ht="15.6" x14ac:dyDescent="0.3">
      <c r="B7" t="s">
        <v>175</v>
      </c>
      <c r="C7">
        <v>0.2</v>
      </c>
      <c r="D7">
        <v>0.5</v>
      </c>
      <c r="E7">
        <v>0.3</v>
      </c>
      <c r="F7">
        <f t="shared" si="0"/>
        <v>1</v>
      </c>
      <c r="H7">
        <v>48</v>
      </c>
      <c r="I7" t="s">
        <v>167</v>
      </c>
      <c r="J7">
        <v>49.99</v>
      </c>
      <c r="K7">
        <v>64</v>
      </c>
      <c r="T7">
        <v>90</v>
      </c>
      <c r="U7" t="s">
        <v>167</v>
      </c>
      <c r="V7">
        <v>100</v>
      </c>
      <c r="W7" t="s">
        <v>176</v>
      </c>
    </row>
    <row r="8" spans="2:23" ht="15.6" x14ac:dyDescent="0.3">
      <c r="B8" t="s">
        <v>177</v>
      </c>
      <c r="C8">
        <v>0.2</v>
      </c>
      <c r="D8">
        <v>0.5</v>
      </c>
      <c r="E8">
        <v>0.3</v>
      </c>
      <c r="F8">
        <f t="shared" si="0"/>
        <v>1</v>
      </c>
      <c r="H8">
        <v>50</v>
      </c>
      <c r="I8" t="s">
        <v>167</v>
      </c>
      <c r="J8">
        <v>51.99</v>
      </c>
      <c r="K8">
        <v>65</v>
      </c>
    </row>
    <row r="9" spans="2:23" ht="15.6" x14ac:dyDescent="0.3">
      <c r="B9" t="s">
        <v>178</v>
      </c>
      <c r="C9">
        <v>0.2</v>
      </c>
      <c r="D9">
        <v>0.6</v>
      </c>
      <c r="E9">
        <v>0.2</v>
      </c>
      <c r="F9">
        <f t="shared" si="0"/>
        <v>1</v>
      </c>
      <c r="H9">
        <v>52</v>
      </c>
      <c r="I9" t="s">
        <v>167</v>
      </c>
      <c r="J9">
        <v>53.99</v>
      </c>
      <c r="K9">
        <v>66</v>
      </c>
    </row>
    <row r="10" spans="2:23" ht="15.6" x14ac:dyDescent="0.3">
      <c r="B10" t="s">
        <v>179</v>
      </c>
      <c r="C10">
        <v>0.2</v>
      </c>
      <c r="D10">
        <v>0.6</v>
      </c>
      <c r="E10">
        <v>0.2</v>
      </c>
      <c r="F10">
        <f t="shared" si="0"/>
        <v>1</v>
      </c>
      <c r="H10">
        <v>54</v>
      </c>
      <c r="I10" t="s">
        <v>167</v>
      </c>
      <c r="J10">
        <v>55.99</v>
      </c>
      <c r="K10">
        <v>67</v>
      </c>
    </row>
    <row r="11" spans="2:23" ht="15.6" x14ac:dyDescent="0.3">
      <c r="B11" t="s">
        <v>180</v>
      </c>
      <c r="C11">
        <v>0.2</v>
      </c>
      <c r="D11">
        <v>0.5</v>
      </c>
      <c r="E11">
        <v>0.3</v>
      </c>
      <c r="F11">
        <f t="shared" si="0"/>
        <v>1</v>
      </c>
      <c r="H11">
        <v>56</v>
      </c>
      <c r="I11" t="s">
        <v>167</v>
      </c>
      <c r="J11">
        <v>57.99</v>
      </c>
      <c r="K11">
        <v>68</v>
      </c>
    </row>
    <row r="12" spans="2:23" ht="15.6" x14ac:dyDescent="0.3">
      <c r="H12">
        <v>58</v>
      </c>
      <c r="I12" t="s">
        <v>167</v>
      </c>
      <c r="J12">
        <v>59.99</v>
      </c>
      <c r="K12">
        <v>69</v>
      </c>
    </row>
    <row r="13" spans="2:23" ht="15.6" x14ac:dyDescent="0.3">
      <c r="H13">
        <v>60</v>
      </c>
      <c r="I13" t="s">
        <v>167</v>
      </c>
      <c r="J13">
        <v>61.99</v>
      </c>
      <c r="K13">
        <v>70</v>
      </c>
    </row>
    <row r="14" spans="2:23" ht="15.6" x14ac:dyDescent="0.3">
      <c r="H14">
        <v>62</v>
      </c>
      <c r="I14" t="s">
        <v>167</v>
      </c>
      <c r="J14">
        <v>63.99</v>
      </c>
      <c r="K14">
        <v>71</v>
      </c>
    </row>
    <row r="15" spans="2:23" ht="15.6" x14ac:dyDescent="0.3">
      <c r="H15">
        <v>64</v>
      </c>
      <c r="I15" t="s">
        <v>167</v>
      </c>
      <c r="J15">
        <v>65.989999999999995</v>
      </c>
      <c r="K15">
        <v>72</v>
      </c>
    </row>
    <row r="16" spans="2:23" ht="15.6" x14ac:dyDescent="0.3">
      <c r="H16">
        <v>66</v>
      </c>
      <c r="I16" t="s">
        <v>167</v>
      </c>
      <c r="J16">
        <v>67.989999999999995</v>
      </c>
      <c r="K16">
        <v>73</v>
      </c>
    </row>
    <row r="17" spans="8:11" ht="15.6" x14ac:dyDescent="0.3">
      <c r="H17">
        <v>68</v>
      </c>
      <c r="I17" t="s">
        <v>167</v>
      </c>
      <c r="J17">
        <v>69.989999999999995</v>
      </c>
      <c r="K17">
        <v>74</v>
      </c>
    </row>
    <row r="18" spans="8:11" ht="15.6" x14ac:dyDescent="0.3">
      <c r="H18">
        <v>70</v>
      </c>
      <c r="I18" t="s">
        <v>167</v>
      </c>
      <c r="J18">
        <v>72.989999999999995</v>
      </c>
      <c r="K18">
        <v>75</v>
      </c>
    </row>
    <row r="19" spans="8:11" ht="15.6" x14ac:dyDescent="0.3">
      <c r="H19">
        <v>73</v>
      </c>
      <c r="I19" t="s">
        <v>167</v>
      </c>
      <c r="J19">
        <v>74.989999999999995</v>
      </c>
      <c r="K19">
        <v>76</v>
      </c>
    </row>
    <row r="20" spans="8:11" ht="15.6" x14ac:dyDescent="0.3">
      <c r="H20">
        <v>75</v>
      </c>
      <c r="I20" t="s">
        <v>167</v>
      </c>
      <c r="J20">
        <v>75.989999999999995</v>
      </c>
      <c r="K20">
        <v>77</v>
      </c>
    </row>
    <row r="21" spans="8:11" ht="15.6" x14ac:dyDescent="0.3">
      <c r="H21">
        <v>76</v>
      </c>
      <c r="I21" t="s">
        <v>167</v>
      </c>
      <c r="J21">
        <v>76.989999999999995</v>
      </c>
      <c r="K21">
        <v>78</v>
      </c>
    </row>
    <row r="22" spans="8:11" ht="15.6" x14ac:dyDescent="0.3">
      <c r="H22">
        <v>77</v>
      </c>
      <c r="I22" t="s">
        <v>167</v>
      </c>
      <c r="J22">
        <v>77.989999999999995</v>
      </c>
      <c r="K22">
        <v>79</v>
      </c>
    </row>
    <row r="23" spans="8:11" ht="15.6" x14ac:dyDescent="0.3">
      <c r="H23">
        <v>78</v>
      </c>
      <c r="I23" t="s">
        <v>167</v>
      </c>
      <c r="J23">
        <v>78.989999999999995</v>
      </c>
      <c r="K23">
        <v>80</v>
      </c>
    </row>
    <row r="24" spans="8:11" ht="15.6" x14ac:dyDescent="0.3">
      <c r="H24">
        <v>79</v>
      </c>
      <c r="I24" t="s">
        <v>167</v>
      </c>
      <c r="J24">
        <v>79.989999999999995</v>
      </c>
      <c r="K24">
        <v>81</v>
      </c>
    </row>
    <row r="25" spans="8:11" ht="15.6" x14ac:dyDescent="0.3">
      <c r="H25">
        <v>80</v>
      </c>
      <c r="I25" t="s">
        <v>167</v>
      </c>
      <c r="J25">
        <v>80.989999999999995</v>
      </c>
      <c r="K25">
        <v>82</v>
      </c>
    </row>
    <row r="26" spans="8:11" ht="15.6" x14ac:dyDescent="0.3">
      <c r="H26">
        <v>81</v>
      </c>
      <c r="I26" t="s">
        <v>167</v>
      </c>
      <c r="J26">
        <v>81.99</v>
      </c>
      <c r="K26">
        <v>83</v>
      </c>
    </row>
    <row r="27" spans="8:11" ht="15.6" x14ac:dyDescent="0.3">
      <c r="H27">
        <v>82</v>
      </c>
      <c r="I27" t="s">
        <v>167</v>
      </c>
      <c r="J27">
        <v>82.99</v>
      </c>
      <c r="K27">
        <v>84</v>
      </c>
    </row>
    <row r="28" spans="8:11" ht="15.6" x14ac:dyDescent="0.3">
      <c r="H28">
        <v>83</v>
      </c>
      <c r="I28" t="s">
        <v>167</v>
      </c>
      <c r="J28">
        <v>83.99</v>
      </c>
      <c r="K28">
        <v>85</v>
      </c>
    </row>
    <row r="29" spans="8:11" ht="15.6" x14ac:dyDescent="0.3">
      <c r="H29">
        <v>84</v>
      </c>
      <c r="I29" t="s">
        <v>167</v>
      </c>
      <c r="J29">
        <v>84.99</v>
      </c>
      <c r="K29">
        <v>86</v>
      </c>
    </row>
    <row r="30" spans="8:11" ht="15.6" x14ac:dyDescent="0.3">
      <c r="H30">
        <v>85</v>
      </c>
      <c r="I30" t="s">
        <v>167</v>
      </c>
      <c r="J30">
        <v>85.99</v>
      </c>
      <c r="K30">
        <v>87</v>
      </c>
    </row>
    <row r="31" spans="8:11" ht="15.6" x14ac:dyDescent="0.3">
      <c r="H31">
        <v>86</v>
      </c>
      <c r="I31" t="s">
        <v>167</v>
      </c>
      <c r="J31">
        <v>86.99</v>
      </c>
      <c r="K31">
        <v>88</v>
      </c>
    </row>
    <row r="32" spans="8:11" ht="15.6" x14ac:dyDescent="0.3">
      <c r="H32">
        <v>87</v>
      </c>
      <c r="I32" t="s">
        <v>167</v>
      </c>
      <c r="J32">
        <v>87.99</v>
      </c>
      <c r="K32">
        <v>89</v>
      </c>
    </row>
    <row r="33" spans="8:11" ht="15.6" x14ac:dyDescent="0.3">
      <c r="H33">
        <v>88</v>
      </c>
      <c r="I33" t="s">
        <v>167</v>
      </c>
      <c r="J33">
        <v>88.99</v>
      </c>
      <c r="K33">
        <v>90</v>
      </c>
    </row>
    <row r="34" spans="8:11" ht="15.6" x14ac:dyDescent="0.3">
      <c r="H34">
        <v>89</v>
      </c>
      <c r="I34" t="s">
        <v>167</v>
      </c>
      <c r="J34">
        <v>89.99</v>
      </c>
      <c r="K34">
        <v>91</v>
      </c>
    </row>
    <row r="35" spans="8:11" ht="15.6" x14ac:dyDescent="0.3">
      <c r="H35">
        <v>90</v>
      </c>
      <c r="I35" t="s">
        <v>167</v>
      </c>
      <c r="J35">
        <v>90.99</v>
      </c>
      <c r="K35">
        <v>92</v>
      </c>
    </row>
    <row r="36" spans="8:11" ht="15.6" x14ac:dyDescent="0.3">
      <c r="H36">
        <v>91</v>
      </c>
      <c r="I36" t="s">
        <v>167</v>
      </c>
      <c r="J36">
        <v>91.99</v>
      </c>
      <c r="K36">
        <v>93</v>
      </c>
    </row>
    <row r="37" spans="8:11" ht="15.6" x14ac:dyDescent="0.3">
      <c r="H37">
        <v>92</v>
      </c>
      <c r="I37" t="s">
        <v>167</v>
      </c>
      <c r="J37">
        <v>92.99</v>
      </c>
      <c r="K37">
        <v>94</v>
      </c>
    </row>
    <row r="38" spans="8:11" ht="15.6" x14ac:dyDescent="0.3">
      <c r="H38">
        <v>93</v>
      </c>
      <c r="I38" t="s">
        <v>167</v>
      </c>
      <c r="J38">
        <v>93.99</v>
      </c>
      <c r="K38">
        <v>95</v>
      </c>
    </row>
    <row r="39" spans="8:11" ht="15.6" x14ac:dyDescent="0.3">
      <c r="H39">
        <v>94</v>
      </c>
      <c r="I39" t="s">
        <v>167</v>
      </c>
      <c r="J39">
        <v>94.99</v>
      </c>
      <c r="K39">
        <v>96</v>
      </c>
    </row>
    <row r="40" spans="8:11" ht="15.6" x14ac:dyDescent="0.3">
      <c r="H40">
        <v>95</v>
      </c>
      <c r="I40" t="s">
        <v>167</v>
      </c>
      <c r="J40">
        <v>95.99</v>
      </c>
      <c r="K40">
        <v>97</v>
      </c>
    </row>
    <row r="41" spans="8:11" ht="15.6" x14ac:dyDescent="0.3">
      <c r="H41">
        <v>96</v>
      </c>
      <c r="I41" t="s">
        <v>167</v>
      </c>
      <c r="J41">
        <v>97.49</v>
      </c>
      <c r="K41">
        <v>98</v>
      </c>
    </row>
    <row r="42" spans="8:11" ht="15.6" x14ac:dyDescent="0.3">
      <c r="H42">
        <v>97.5</v>
      </c>
      <c r="I42" t="s">
        <v>167</v>
      </c>
      <c r="J42">
        <v>99.49</v>
      </c>
      <c r="K42">
        <v>99</v>
      </c>
    </row>
    <row r="43" spans="8:11" ht="15.6" x14ac:dyDescent="0.3">
      <c r="H43">
        <v>99.5</v>
      </c>
      <c r="I43" t="s">
        <v>167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sqref="B1:W4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2"/>
  <sheetViews>
    <sheetView workbookViewId="0"/>
  </sheetViews>
  <sheetFormatPr defaultRowHeight="14.4" x14ac:dyDescent="0.3"/>
  <sheetData>
    <row r="1" spans="1:24" ht="15.6" x14ac:dyDescent="0.3">
      <c r="A1" t="s">
        <v>159</v>
      </c>
      <c r="B1" t="s">
        <v>181</v>
      </c>
      <c r="C1" t="s">
        <v>182</v>
      </c>
      <c r="D1" t="s">
        <v>183</v>
      </c>
      <c r="G1" s="1" t="s">
        <v>164</v>
      </c>
      <c r="H1" s="1"/>
      <c r="I1" s="1"/>
      <c r="J1" s="1"/>
    </row>
    <row r="2" spans="1:24" ht="15.6" x14ac:dyDescent="0.3">
      <c r="A2" t="s">
        <v>166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">
        <v>167</v>
      </c>
      <c r="I2">
        <v>3.99</v>
      </c>
      <c r="J2">
        <v>60</v>
      </c>
    </row>
    <row r="3" spans="1:24" ht="15.6" x14ac:dyDescent="0.3">
      <c r="A3" t="s">
        <v>169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">
        <v>167</v>
      </c>
      <c r="I3">
        <v>7.99</v>
      </c>
      <c r="J3">
        <v>61</v>
      </c>
    </row>
    <row r="4" spans="1:24" ht="15.6" x14ac:dyDescent="0.3">
      <c r="A4" t="s">
        <v>171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">
        <v>167</v>
      </c>
      <c r="I4">
        <v>11.99</v>
      </c>
      <c r="J4">
        <v>62</v>
      </c>
    </row>
    <row r="5" spans="1:24" ht="15.6" x14ac:dyDescent="0.3">
      <c r="A5" t="s">
        <v>173</v>
      </c>
      <c r="G5">
        <v>12</v>
      </c>
      <c r="H5" t="s">
        <v>167</v>
      </c>
      <c r="I5">
        <v>15.99</v>
      </c>
      <c r="J5">
        <v>63</v>
      </c>
      <c r="V5" t="s">
        <v>184</v>
      </c>
      <c r="W5" t="s">
        <v>185</v>
      </c>
      <c r="X5" t="s">
        <v>186</v>
      </c>
    </row>
    <row r="6" spans="1:24" ht="15.6" x14ac:dyDescent="0.3">
      <c r="A6" t="s">
        <v>175</v>
      </c>
      <c r="G6">
        <v>16</v>
      </c>
      <c r="H6" t="s">
        <v>167</v>
      </c>
      <c r="I6">
        <v>19.989999999999998</v>
      </c>
      <c r="J6">
        <v>64</v>
      </c>
      <c r="U6" t="s">
        <v>166</v>
      </c>
      <c r="V6">
        <v>0.3</v>
      </c>
      <c r="W6">
        <v>0.5</v>
      </c>
      <c r="X6">
        <v>0.2</v>
      </c>
    </row>
    <row r="7" spans="1:24" ht="15.6" x14ac:dyDescent="0.3">
      <c r="A7" t="s">
        <v>187</v>
      </c>
      <c r="G7">
        <v>20</v>
      </c>
      <c r="H7" t="s">
        <v>167</v>
      </c>
      <c r="I7">
        <v>23.99</v>
      </c>
      <c r="J7">
        <v>65</v>
      </c>
      <c r="U7" t="s">
        <v>169</v>
      </c>
      <c r="V7">
        <v>0.3</v>
      </c>
      <c r="W7">
        <v>0.5</v>
      </c>
      <c r="X7">
        <v>0.2</v>
      </c>
    </row>
    <row r="8" spans="1:24" ht="15.6" x14ac:dyDescent="0.3">
      <c r="A8" t="s">
        <v>188</v>
      </c>
      <c r="G8">
        <v>24</v>
      </c>
      <c r="H8" t="s">
        <v>167</v>
      </c>
      <c r="I8">
        <v>27.99</v>
      </c>
      <c r="J8">
        <v>66</v>
      </c>
      <c r="U8" t="s">
        <v>171</v>
      </c>
      <c r="V8">
        <v>0.4</v>
      </c>
      <c r="W8">
        <v>0.4</v>
      </c>
      <c r="X8">
        <v>0.2</v>
      </c>
    </row>
    <row r="9" spans="1:24" ht="15.6" x14ac:dyDescent="0.3">
      <c r="A9" t="s">
        <v>189</v>
      </c>
      <c r="C9" t="s">
        <v>190</v>
      </c>
      <c r="G9">
        <v>28</v>
      </c>
      <c r="H9" t="s">
        <v>167</v>
      </c>
      <c r="I9">
        <v>31.99</v>
      </c>
      <c r="J9">
        <v>67</v>
      </c>
      <c r="U9" t="s">
        <v>173</v>
      </c>
      <c r="V9">
        <v>0.4</v>
      </c>
      <c r="W9">
        <v>0.4</v>
      </c>
      <c r="X9">
        <v>0.2</v>
      </c>
    </row>
    <row r="10" spans="1:24" ht="15.6" x14ac:dyDescent="0.3">
      <c r="C10" t="s">
        <v>191</v>
      </c>
      <c r="G10">
        <v>32</v>
      </c>
      <c r="H10" t="s">
        <v>167</v>
      </c>
      <c r="I10">
        <v>35.99</v>
      </c>
      <c r="J10">
        <v>68</v>
      </c>
      <c r="U10" t="s">
        <v>175</v>
      </c>
      <c r="V10">
        <v>0.3</v>
      </c>
      <c r="W10">
        <v>0.5</v>
      </c>
      <c r="X10">
        <v>0.2</v>
      </c>
    </row>
    <row r="11" spans="1:24" ht="15.6" x14ac:dyDescent="0.3">
      <c r="C11" t="s">
        <v>192</v>
      </c>
      <c r="G11">
        <v>36</v>
      </c>
      <c r="H11" t="s">
        <v>167</v>
      </c>
      <c r="I11">
        <v>39.99</v>
      </c>
      <c r="J11">
        <v>69</v>
      </c>
      <c r="U11" t="s">
        <v>187</v>
      </c>
      <c r="V11">
        <v>0.3</v>
      </c>
      <c r="W11">
        <v>0.5</v>
      </c>
      <c r="X11">
        <v>0.2</v>
      </c>
    </row>
    <row r="12" spans="1:24" ht="15.6" x14ac:dyDescent="0.3">
      <c r="C12" t="s">
        <v>193</v>
      </c>
      <c r="G12">
        <v>40</v>
      </c>
      <c r="H12" t="s">
        <v>167</v>
      </c>
      <c r="I12">
        <v>43.99</v>
      </c>
      <c r="J12">
        <v>70</v>
      </c>
      <c r="U12" t="s">
        <v>188</v>
      </c>
      <c r="V12">
        <v>0.2</v>
      </c>
      <c r="W12">
        <v>0.6</v>
      </c>
      <c r="X12">
        <v>0.2</v>
      </c>
    </row>
    <row r="13" spans="1:24" ht="15.6" x14ac:dyDescent="0.3">
      <c r="G13">
        <v>44</v>
      </c>
      <c r="H13" t="s">
        <v>167</v>
      </c>
      <c r="I13">
        <v>47.99</v>
      </c>
      <c r="J13">
        <v>71</v>
      </c>
      <c r="U13" t="s">
        <v>189</v>
      </c>
      <c r="V13">
        <v>0.3</v>
      </c>
      <c r="W13">
        <v>0.5</v>
      </c>
      <c r="X13">
        <v>0.2</v>
      </c>
    </row>
    <row r="14" spans="1:24" ht="15.6" x14ac:dyDescent="0.3">
      <c r="G14">
        <v>48</v>
      </c>
      <c r="H14" t="s">
        <v>167</v>
      </c>
      <c r="I14">
        <v>51.99</v>
      </c>
      <c r="J14">
        <v>72</v>
      </c>
    </row>
    <row r="15" spans="1:24" ht="15.6" x14ac:dyDescent="0.3">
      <c r="G15">
        <v>52</v>
      </c>
      <c r="H15" t="s">
        <v>167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 spans="1:24" ht="15.6" x14ac:dyDescent="0.3">
      <c r="G16">
        <v>56</v>
      </c>
      <c r="H16" t="s">
        <v>167</v>
      </c>
      <c r="I16">
        <v>59.99</v>
      </c>
      <c r="J16">
        <v>74</v>
      </c>
      <c r="U16" t="s">
        <v>194</v>
      </c>
    </row>
    <row r="17" spans="7:10" ht="15.6" x14ac:dyDescent="0.3">
      <c r="G17">
        <v>60</v>
      </c>
      <c r="H17" t="s">
        <v>167</v>
      </c>
      <c r="I17">
        <v>61.59</v>
      </c>
      <c r="J17">
        <v>75</v>
      </c>
    </row>
    <row r="18" spans="7:10" ht="15.6" x14ac:dyDescent="0.3">
      <c r="G18">
        <v>61.6</v>
      </c>
      <c r="H18" t="s">
        <v>167</v>
      </c>
      <c r="I18">
        <v>63.19</v>
      </c>
      <c r="J18">
        <v>76</v>
      </c>
    </row>
    <row r="19" spans="7:10" ht="15.6" x14ac:dyDescent="0.3">
      <c r="G19">
        <v>63.2</v>
      </c>
      <c r="H19" t="s">
        <v>167</v>
      </c>
      <c r="I19">
        <v>64.790000000000006</v>
      </c>
      <c r="J19">
        <v>77</v>
      </c>
    </row>
    <row r="20" spans="7:10" ht="15.6" x14ac:dyDescent="0.3">
      <c r="G20">
        <v>64.8</v>
      </c>
      <c r="H20" t="s">
        <v>167</v>
      </c>
      <c r="I20">
        <v>66.39</v>
      </c>
      <c r="J20">
        <v>78</v>
      </c>
    </row>
    <row r="21" spans="7:10" ht="15.6" x14ac:dyDescent="0.3">
      <c r="G21">
        <v>66.400000000000006</v>
      </c>
      <c r="H21" t="s">
        <v>167</v>
      </c>
      <c r="I21">
        <v>67.990000000000009</v>
      </c>
      <c r="J21">
        <v>79</v>
      </c>
    </row>
    <row r="22" spans="7:10" ht="15.6" x14ac:dyDescent="0.3">
      <c r="G22">
        <v>68</v>
      </c>
      <c r="H22" t="s">
        <v>167</v>
      </c>
      <c r="I22">
        <v>69.59</v>
      </c>
      <c r="J22">
        <v>80</v>
      </c>
    </row>
    <row r="23" spans="7:10" ht="15.6" x14ac:dyDescent="0.3">
      <c r="G23">
        <v>69.599999999999994</v>
      </c>
      <c r="H23" t="s">
        <v>167</v>
      </c>
      <c r="I23">
        <v>71.19</v>
      </c>
      <c r="J23">
        <v>81</v>
      </c>
    </row>
    <row r="24" spans="7:10" ht="15.6" x14ac:dyDescent="0.3">
      <c r="G24">
        <v>71.2</v>
      </c>
      <c r="H24" t="s">
        <v>167</v>
      </c>
      <c r="I24">
        <v>72.790000000000006</v>
      </c>
      <c r="J24">
        <v>82</v>
      </c>
    </row>
    <row r="25" spans="7:10" ht="15.6" x14ac:dyDescent="0.3">
      <c r="G25">
        <v>72.8</v>
      </c>
      <c r="H25" t="s">
        <v>167</v>
      </c>
      <c r="I25">
        <v>74.39</v>
      </c>
      <c r="J25">
        <v>83</v>
      </c>
    </row>
    <row r="26" spans="7:10" ht="15.6" x14ac:dyDescent="0.3">
      <c r="G26">
        <v>74.400000000000006</v>
      </c>
      <c r="H26" t="s">
        <v>167</v>
      </c>
      <c r="I26">
        <v>75.990000000000009</v>
      </c>
      <c r="J26">
        <v>84</v>
      </c>
    </row>
    <row r="27" spans="7:10" ht="15.6" x14ac:dyDescent="0.3">
      <c r="G27">
        <v>76</v>
      </c>
      <c r="H27" t="s">
        <v>167</v>
      </c>
      <c r="I27">
        <v>77.59</v>
      </c>
      <c r="J27">
        <v>85</v>
      </c>
    </row>
    <row r="28" spans="7:10" ht="15.6" x14ac:dyDescent="0.3">
      <c r="G28">
        <v>77.599999999999994</v>
      </c>
      <c r="H28" t="s">
        <v>167</v>
      </c>
      <c r="I28">
        <v>79.19</v>
      </c>
      <c r="J28">
        <v>86</v>
      </c>
    </row>
    <row r="29" spans="7:10" ht="15.6" x14ac:dyDescent="0.3">
      <c r="G29">
        <v>79.2</v>
      </c>
      <c r="H29" t="s">
        <v>167</v>
      </c>
      <c r="I29">
        <v>80.790000000000006</v>
      </c>
      <c r="J29">
        <v>87</v>
      </c>
    </row>
    <row r="30" spans="7:10" ht="15.6" x14ac:dyDescent="0.3">
      <c r="G30">
        <v>80.8</v>
      </c>
      <c r="H30" t="s">
        <v>167</v>
      </c>
      <c r="I30">
        <v>82.39</v>
      </c>
      <c r="J30">
        <v>88</v>
      </c>
    </row>
    <row r="31" spans="7:10" ht="15.6" x14ac:dyDescent="0.3">
      <c r="G31">
        <v>82.4</v>
      </c>
      <c r="H31" t="s">
        <v>167</v>
      </c>
      <c r="I31">
        <v>83.990000000000009</v>
      </c>
      <c r="J31">
        <v>89</v>
      </c>
    </row>
    <row r="32" spans="7:10" ht="15.6" x14ac:dyDescent="0.3">
      <c r="G32">
        <v>84</v>
      </c>
      <c r="H32" t="s">
        <v>167</v>
      </c>
      <c r="I32">
        <v>85.59</v>
      </c>
      <c r="J32">
        <v>90</v>
      </c>
    </row>
    <row r="33" spans="7:10" ht="15.6" x14ac:dyDescent="0.3">
      <c r="G33">
        <v>85.6</v>
      </c>
      <c r="H33" t="s">
        <v>167</v>
      </c>
      <c r="I33">
        <v>87.19</v>
      </c>
      <c r="J33">
        <v>91</v>
      </c>
    </row>
    <row r="34" spans="7:10" ht="15.6" x14ac:dyDescent="0.3">
      <c r="G34">
        <v>87.2</v>
      </c>
      <c r="H34" t="s">
        <v>167</v>
      </c>
      <c r="I34">
        <v>88.79</v>
      </c>
      <c r="J34">
        <v>92</v>
      </c>
    </row>
    <row r="35" spans="7:10" ht="15.6" x14ac:dyDescent="0.3">
      <c r="G35">
        <v>88.8</v>
      </c>
      <c r="H35" t="s">
        <v>167</v>
      </c>
      <c r="I35">
        <v>90.39</v>
      </c>
      <c r="J35">
        <v>93</v>
      </c>
    </row>
    <row r="36" spans="7:10" ht="15.6" x14ac:dyDescent="0.3">
      <c r="G36">
        <v>90.4</v>
      </c>
      <c r="H36" t="s">
        <v>167</v>
      </c>
      <c r="I36">
        <v>91.990000000000009</v>
      </c>
      <c r="J36">
        <v>94</v>
      </c>
    </row>
    <row r="37" spans="7:10" ht="15.6" x14ac:dyDescent="0.3">
      <c r="G37">
        <v>92</v>
      </c>
      <c r="H37" t="s">
        <v>167</v>
      </c>
      <c r="I37">
        <v>93.59</v>
      </c>
      <c r="J37">
        <v>95</v>
      </c>
    </row>
    <row r="38" spans="7:10" ht="15.6" x14ac:dyDescent="0.3">
      <c r="G38">
        <v>93.6</v>
      </c>
      <c r="H38" t="s">
        <v>167</v>
      </c>
      <c r="I38">
        <v>95.19</v>
      </c>
      <c r="J38">
        <v>96</v>
      </c>
    </row>
    <row r="39" spans="7:10" ht="15.6" x14ac:dyDescent="0.3">
      <c r="G39">
        <v>95.2</v>
      </c>
      <c r="H39" t="s">
        <v>167</v>
      </c>
      <c r="I39">
        <v>96.79</v>
      </c>
      <c r="J39">
        <v>97</v>
      </c>
    </row>
    <row r="40" spans="7:10" ht="15.6" x14ac:dyDescent="0.3">
      <c r="G40">
        <v>96.8</v>
      </c>
      <c r="H40" t="s">
        <v>167</v>
      </c>
      <c r="I40">
        <v>98.39</v>
      </c>
      <c r="J40">
        <v>98</v>
      </c>
    </row>
    <row r="41" spans="7:10" ht="15.6" x14ac:dyDescent="0.3">
      <c r="G41">
        <v>98.4</v>
      </c>
      <c r="H41" t="s">
        <v>167</v>
      </c>
      <c r="I41">
        <v>99.990000000000009</v>
      </c>
      <c r="J41">
        <v>99</v>
      </c>
    </row>
    <row r="42" spans="7:10" ht="15.6" x14ac:dyDescent="0.3">
      <c r="G42">
        <v>100</v>
      </c>
      <c r="H42" t="s">
        <v>167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sqref="A1:X4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8:C112"/>
  <sheetViews>
    <sheetView workbookViewId="0"/>
  </sheetViews>
  <sheetFormatPr defaultRowHeight="14.4" x14ac:dyDescent="0.3"/>
  <sheetData>
    <row r="8" spans="1:3" ht="15.6" x14ac:dyDescent="0.3">
      <c r="A8" t="s">
        <v>195</v>
      </c>
      <c r="B8" t="s">
        <v>196</v>
      </c>
      <c r="C8" t="s">
        <v>197</v>
      </c>
    </row>
    <row r="12" spans="1:3" ht="15.6" x14ac:dyDescent="0.3">
      <c r="A12">
        <v>1</v>
      </c>
      <c r="B12" t="s">
        <v>21</v>
      </c>
      <c r="C12" t="s">
        <v>198</v>
      </c>
    </row>
    <row r="13" spans="1:3" ht="15.6" x14ac:dyDescent="0.3">
      <c r="A13">
        <v>2</v>
      </c>
      <c r="B13" t="s">
        <v>22</v>
      </c>
      <c r="C13" t="s">
        <v>199</v>
      </c>
    </row>
    <row r="14" spans="1:3" ht="15.6" x14ac:dyDescent="0.3">
      <c r="A14">
        <v>3</v>
      </c>
      <c r="B14" t="s">
        <v>23</v>
      </c>
      <c r="C14" t="s">
        <v>200</v>
      </c>
    </row>
    <row r="15" spans="1:3" ht="15.6" x14ac:dyDescent="0.3">
      <c r="A15">
        <v>4</v>
      </c>
      <c r="B15" t="s">
        <v>24</v>
      </c>
      <c r="C15" t="s">
        <v>201</v>
      </c>
    </row>
    <row r="16" spans="1:3" ht="15.6" x14ac:dyDescent="0.3">
      <c r="A16">
        <v>5</v>
      </c>
      <c r="B16" t="s">
        <v>25</v>
      </c>
      <c r="C16" t="s">
        <v>202</v>
      </c>
    </row>
    <row r="17" spans="1:3" ht="15.6" x14ac:dyDescent="0.3">
      <c r="A17">
        <v>6</v>
      </c>
      <c r="B17" t="s">
        <v>26</v>
      </c>
      <c r="C17" t="s">
        <v>203</v>
      </c>
    </row>
    <row r="18" spans="1:3" ht="15.6" x14ac:dyDescent="0.3">
      <c r="A18">
        <v>7</v>
      </c>
      <c r="B18" t="s">
        <v>27</v>
      </c>
      <c r="C18" t="s">
        <v>204</v>
      </c>
    </row>
    <row r="19" spans="1:3" ht="15.6" x14ac:dyDescent="0.3">
      <c r="A19">
        <v>8</v>
      </c>
      <c r="B19" t="s">
        <v>28</v>
      </c>
      <c r="C19" t="s">
        <v>205</v>
      </c>
    </row>
    <row r="20" spans="1:3" ht="15.6" x14ac:dyDescent="0.3">
      <c r="A20">
        <v>9</v>
      </c>
      <c r="B20" t="s">
        <v>29</v>
      </c>
      <c r="C20" t="s">
        <v>206</v>
      </c>
    </row>
    <row r="21" spans="1:3" ht="15.6" x14ac:dyDescent="0.3">
      <c r="A21">
        <v>10</v>
      </c>
      <c r="B21" t="s">
        <v>30</v>
      </c>
      <c r="C21" t="s">
        <v>207</v>
      </c>
    </row>
    <row r="22" spans="1:3" ht="15.6" x14ac:dyDescent="0.3">
      <c r="A22">
        <v>11</v>
      </c>
      <c r="B22" t="s">
        <v>31</v>
      </c>
      <c r="C22" t="s">
        <v>208</v>
      </c>
    </row>
    <row r="23" spans="1:3" ht="15.6" x14ac:dyDescent="0.3">
      <c r="A23">
        <v>12</v>
      </c>
      <c r="B23" t="s">
        <v>32</v>
      </c>
      <c r="C23" t="s">
        <v>209</v>
      </c>
    </row>
    <row r="24" spans="1:3" ht="15.6" x14ac:dyDescent="0.3">
      <c r="A24">
        <v>13</v>
      </c>
      <c r="B24" t="s">
        <v>33</v>
      </c>
      <c r="C24" t="s">
        <v>210</v>
      </c>
    </row>
    <row r="25" spans="1:3" ht="15.6" x14ac:dyDescent="0.3">
      <c r="A25">
        <v>14</v>
      </c>
      <c r="B25" t="s">
        <v>34</v>
      </c>
      <c r="C25" t="s">
        <v>211</v>
      </c>
    </row>
    <row r="26" spans="1:3" ht="15.6" x14ac:dyDescent="0.3">
      <c r="A26">
        <v>15</v>
      </c>
      <c r="B26" t="s">
        <v>35</v>
      </c>
      <c r="C26" t="s">
        <v>212</v>
      </c>
    </row>
    <row r="27" spans="1:3" ht="15.6" x14ac:dyDescent="0.3">
      <c r="A27">
        <v>16</v>
      </c>
      <c r="B27" t="s">
        <v>36</v>
      </c>
      <c r="C27" t="s">
        <v>213</v>
      </c>
    </row>
    <row r="28" spans="1:3" ht="15.6" x14ac:dyDescent="0.3">
      <c r="A28">
        <v>17</v>
      </c>
      <c r="B28" t="s">
        <v>37</v>
      </c>
      <c r="C28" t="s">
        <v>214</v>
      </c>
    </row>
    <row r="29" spans="1:3" ht="15.6" x14ac:dyDescent="0.3">
      <c r="A29">
        <v>18</v>
      </c>
      <c r="B29" t="s">
        <v>38</v>
      </c>
      <c r="C29" t="s">
        <v>215</v>
      </c>
    </row>
    <row r="30" spans="1:3" ht="15.6" x14ac:dyDescent="0.3">
      <c r="A30">
        <v>19</v>
      </c>
      <c r="B30" t="s">
        <v>39</v>
      </c>
      <c r="C30" t="s">
        <v>216</v>
      </c>
    </row>
    <row r="31" spans="1:3" ht="15.6" x14ac:dyDescent="0.3">
      <c r="A31">
        <v>20</v>
      </c>
      <c r="B31" t="s">
        <v>40</v>
      </c>
      <c r="C31" t="s">
        <v>217</v>
      </c>
    </row>
    <row r="32" spans="1:3" ht="15.6" x14ac:dyDescent="0.3">
      <c r="A32">
        <v>21</v>
      </c>
      <c r="B32" t="s">
        <v>41</v>
      </c>
      <c r="C32" t="s">
        <v>218</v>
      </c>
    </row>
    <row r="33" spans="1:3" ht="15.6" x14ac:dyDescent="0.3">
      <c r="A33">
        <v>22</v>
      </c>
      <c r="B33" t="s">
        <v>42</v>
      </c>
      <c r="C33" t="s">
        <v>219</v>
      </c>
    </row>
    <row r="34" spans="1:3" ht="15.6" x14ac:dyDescent="0.3">
      <c r="A34">
        <v>23</v>
      </c>
      <c r="B34" t="s">
        <v>43</v>
      </c>
      <c r="C34" t="s">
        <v>220</v>
      </c>
    </row>
    <row r="35" spans="1:3" ht="15.6" x14ac:dyDescent="0.3">
      <c r="A35">
        <v>24</v>
      </c>
      <c r="B35" t="s">
        <v>44</v>
      </c>
      <c r="C35" t="s">
        <v>221</v>
      </c>
    </row>
    <row r="36" spans="1:3" ht="15.6" x14ac:dyDescent="0.3">
      <c r="A36">
        <v>25</v>
      </c>
      <c r="B36" t="s">
        <v>45</v>
      </c>
      <c r="C36" t="s">
        <v>222</v>
      </c>
    </row>
    <row r="37" spans="1:3" ht="15.6" x14ac:dyDescent="0.3">
      <c r="A37">
        <v>26</v>
      </c>
      <c r="B37" t="s">
        <v>46</v>
      </c>
      <c r="C37" t="s">
        <v>223</v>
      </c>
    </row>
    <row r="38" spans="1:3" ht="15.6" x14ac:dyDescent="0.3">
      <c r="A38">
        <v>27</v>
      </c>
      <c r="B38" t="s">
        <v>47</v>
      </c>
      <c r="C38" t="s">
        <v>224</v>
      </c>
    </row>
    <row r="39" spans="1:3" ht="15.6" x14ac:dyDescent="0.3">
      <c r="A39">
        <v>28</v>
      </c>
      <c r="B39" t="s">
        <v>48</v>
      </c>
      <c r="C39" t="s">
        <v>225</v>
      </c>
    </row>
    <row r="40" spans="1:3" ht="15.6" x14ac:dyDescent="0.3">
      <c r="A40">
        <v>29</v>
      </c>
      <c r="B40" t="s">
        <v>49</v>
      </c>
      <c r="C40" t="s">
        <v>226</v>
      </c>
    </row>
    <row r="41" spans="1:3" ht="15.6" x14ac:dyDescent="0.3">
      <c r="A41">
        <v>30</v>
      </c>
      <c r="B41" t="s">
        <v>50</v>
      </c>
      <c r="C41" t="s">
        <v>227</v>
      </c>
    </row>
    <row r="42" spans="1:3" ht="15.6" x14ac:dyDescent="0.3">
      <c r="A42">
        <v>31</v>
      </c>
      <c r="B42" t="s">
        <v>51</v>
      </c>
      <c r="C42" t="s">
        <v>228</v>
      </c>
    </row>
    <row r="43" spans="1:3" ht="15.6" x14ac:dyDescent="0.3">
      <c r="A43">
        <v>32</v>
      </c>
      <c r="B43" t="s">
        <v>52</v>
      </c>
      <c r="C43" t="s">
        <v>229</v>
      </c>
    </row>
    <row r="44" spans="1:3" ht="15.6" x14ac:dyDescent="0.3">
      <c r="A44">
        <v>33</v>
      </c>
      <c r="B44" t="s">
        <v>53</v>
      </c>
      <c r="C44" t="s">
        <v>230</v>
      </c>
    </row>
    <row r="45" spans="1:3" ht="15.6" x14ac:dyDescent="0.3">
      <c r="A45">
        <v>34</v>
      </c>
      <c r="B45" t="s">
        <v>54</v>
      </c>
      <c r="C45" t="s">
        <v>231</v>
      </c>
    </row>
    <row r="46" spans="1:3" ht="15.6" x14ac:dyDescent="0.3">
      <c r="A46">
        <v>35</v>
      </c>
      <c r="B46" t="s">
        <v>55</v>
      </c>
      <c r="C46" t="s">
        <v>232</v>
      </c>
    </row>
    <row r="47" spans="1:3" ht="15.6" x14ac:dyDescent="0.3">
      <c r="A47">
        <v>36</v>
      </c>
      <c r="B47" t="s">
        <v>56</v>
      </c>
      <c r="C47" t="s">
        <v>233</v>
      </c>
    </row>
    <row r="48" spans="1:3" ht="15.6" x14ac:dyDescent="0.3">
      <c r="A48">
        <v>37</v>
      </c>
      <c r="B48" t="s">
        <v>57</v>
      </c>
      <c r="C48" t="s">
        <v>234</v>
      </c>
    </row>
    <row r="49" spans="1:3" ht="15.6" x14ac:dyDescent="0.3">
      <c r="A49">
        <v>38</v>
      </c>
      <c r="B49" t="s">
        <v>58</v>
      </c>
      <c r="C49" t="s">
        <v>235</v>
      </c>
    </row>
    <row r="50" spans="1:3" ht="15.6" x14ac:dyDescent="0.3">
      <c r="A50">
        <v>39</v>
      </c>
      <c r="B50" t="s">
        <v>59</v>
      </c>
      <c r="C50" t="s">
        <v>236</v>
      </c>
    </row>
    <row r="51" spans="1:3" ht="15.6" x14ac:dyDescent="0.3">
      <c r="A51">
        <v>40</v>
      </c>
      <c r="B51" t="s">
        <v>60</v>
      </c>
      <c r="C51" t="s">
        <v>237</v>
      </c>
    </row>
    <row r="52" spans="1:3" ht="15.6" x14ac:dyDescent="0.3">
      <c r="A52">
        <v>41</v>
      </c>
      <c r="B52" t="s">
        <v>61</v>
      </c>
      <c r="C52" t="s">
        <v>238</v>
      </c>
    </row>
    <row r="53" spans="1:3" ht="15.6" x14ac:dyDescent="0.3">
      <c r="A53">
        <v>42</v>
      </c>
      <c r="B53" t="s">
        <v>62</v>
      </c>
      <c r="C53" t="s">
        <v>239</v>
      </c>
    </row>
    <row r="54" spans="1:3" ht="15.6" x14ac:dyDescent="0.3">
      <c r="A54">
        <v>43</v>
      </c>
      <c r="B54" t="s">
        <v>63</v>
      </c>
      <c r="C54" t="s">
        <v>240</v>
      </c>
    </row>
    <row r="55" spans="1:3" ht="15.6" x14ac:dyDescent="0.3">
      <c r="A55">
        <v>44</v>
      </c>
      <c r="B55" t="s">
        <v>64</v>
      </c>
      <c r="C55" t="s">
        <v>241</v>
      </c>
    </row>
    <row r="56" spans="1:3" ht="15.6" x14ac:dyDescent="0.3">
      <c r="A56">
        <v>45</v>
      </c>
      <c r="B56" t="s">
        <v>65</v>
      </c>
      <c r="C56" t="s">
        <v>242</v>
      </c>
    </row>
    <row r="57" spans="1:3" ht="15.6" x14ac:dyDescent="0.3">
      <c r="A57">
        <v>46</v>
      </c>
      <c r="B57" t="s">
        <v>66</v>
      </c>
      <c r="C57" t="s">
        <v>243</v>
      </c>
    </row>
    <row r="58" spans="1:3" ht="15.6" x14ac:dyDescent="0.3">
      <c r="A58">
        <v>47</v>
      </c>
      <c r="B58" t="s">
        <v>67</v>
      </c>
      <c r="C58" t="s">
        <v>244</v>
      </c>
    </row>
    <row r="59" spans="1:3" ht="15.6" x14ac:dyDescent="0.3">
      <c r="A59">
        <v>48</v>
      </c>
      <c r="B59" t="s">
        <v>68</v>
      </c>
      <c r="C59" t="s">
        <v>245</v>
      </c>
    </row>
    <row r="60" spans="1:3" ht="15.6" x14ac:dyDescent="0.3">
      <c r="A60">
        <v>49</v>
      </c>
      <c r="B60" t="s">
        <v>69</v>
      </c>
      <c r="C60" t="s">
        <v>246</v>
      </c>
    </row>
    <row r="61" spans="1:3" ht="15.6" x14ac:dyDescent="0.3">
      <c r="A61">
        <v>50</v>
      </c>
      <c r="B61" t="s">
        <v>70</v>
      </c>
      <c r="C61" t="s">
        <v>247</v>
      </c>
    </row>
    <row r="63" spans="1:3" ht="15.6" x14ac:dyDescent="0.3">
      <c r="A63">
        <v>1</v>
      </c>
      <c r="B63" t="s">
        <v>72</v>
      </c>
      <c r="C63" t="s">
        <v>248</v>
      </c>
    </row>
    <row r="64" spans="1:3" ht="15.6" x14ac:dyDescent="0.3">
      <c r="A64">
        <v>2</v>
      </c>
      <c r="B64" t="s">
        <v>73</v>
      </c>
      <c r="C64" t="s">
        <v>249</v>
      </c>
    </row>
    <row r="65" spans="1:3" ht="15.6" x14ac:dyDescent="0.3">
      <c r="A65">
        <v>3</v>
      </c>
      <c r="B65" t="s">
        <v>74</v>
      </c>
      <c r="C65" t="s">
        <v>250</v>
      </c>
    </row>
    <row r="66" spans="1:3" ht="15.6" x14ac:dyDescent="0.3">
      <c r="A66">
        <v>4</v>
      </c>
      <c r="B66" t="s">
        <v>75</v>
      </c>
      <c r="C66" t="s">
        <v>251</v>
      </c>
    </row>
    <row r="67" spans="1:3" ht="15.6" x14ac:dyDescent="0.3">
      <c r="A67">
        <v>5</v>
      </c>
      <c r="B67" t="s">
        <v>76</v>
      </c>
      <c r="C67" t="s">
        <v>252</v>
      </c>
    </row>
    <row r="68" spans="1:3" ht="15.6" x14ac:dyDescent="0.3">
      <c r="A68">
        <v>6</v>
      </c>
      <c r="B68" t="s">
        <v>77</v>
      </c>
      <c r="C68" t="s">
        <v>253</v>
      </c>
    </row>
    <row r="69" spans="1:3" ht="15.6" x14ac:dyDescent="0.3">
      <c r="A69">
        <v>7</v>
      </c>
      <c r="B69" t="s">
        <v>78</v>
      </c>
      <c r="C69" t="s">
        <v>254</v>
      </c>
    </row>
    <row r="70" spans="1:3" ht="15.6" x14ac:dyDescent="0.3">
      <c r="A70">
        <v>8</v>
      </c>
      <c r="B70" t="s">
        <v>79</v>
      </c>
      <c r="C70" t="s">
        <v>255</v>
      </c>
    </row>
    <row r="71" spans="1:3" ht="15.6" x14ac:dyDescent="0.3">
      <c r="A71">
        <v>9</v>
      </c>
      <c r="B71" t="s">
        <v>80</v>
      </c>
      <c r="C71" t="s">
        <v>256</v>
      </c>
    </row>
    <row r="72" spans="1:3" ht="15.6" x14ac:dyDescent="0.3">
      <c r="A72">
        <v>10</v>
      </c>
      <c r="B72" t="s">
        <v>81</v>
      </c>
      <c r="C72" t="s">
        <v>257</v>
      </c>
    </row>
    <row r="73" spans="1:3" ht="15.6" x14ac:dyDescent="0.3">
      <c r="A73">
        <v>11</v>
      </c>
      <c r="B73" t="s">
        <v>82</v>
      </c>
      <c r="C73" t="s">
        <v>258</v>
      </c>
    </row>
    <row r="74" spans="1:3" ht="15.6" x14ac:dyDescent="0.3">
      <c r="A74">
        <v>12</v>
      </c>
      <c r="B74" t="s">
        <v>83</v>
      </c>
      <c r="C74" t="s">
        <v>259</v>
      </c>
    </row>
    <row r="75" spans="1:3" ht="15.6" x14ac:dyDescent="0.3">
      <c r="A75">
        <v>13</v>
      </c>
      <c r="B75" t="s">
        <v>84</v>
      </c>
      <c r="C75" t="s">
        <v>260</v>
      </c>
    </row>
    <row r="76" spans="1:3" ht="15.6" x14ac:dyDescent="0.3">
      <c r="A76">
        <v>14</v>
      </c>
      <c r="B76" t="s">
        <v>85</v>
      </c>
      <c r="C76" t="s">
        <v>261</v>
      </c>
    </row>
    <row r="77" spans="1:3" ht="15.6" x14ac:dyDescent="0.3">
      <c r="A77">
        <v>15</v>
      </c>
      <c r="B77" t="s">
        <v>86</v>
      </c>
      <c r="C77" t="s">
        <v>262</v>
      </c>
    </row>
    <row r="78" spans="1:3" ht="15.6" x14ac:dyDescent="0.3">
      <c r="A78">
        <v>16</v>
      </c>
      <c r="B78" t="s">
        <v>87</v>
      </c>
      <c r="C78" t="s">
        <v>263</v>
      </c>
    </row>
    <row r="79" spans="1:3" ht="15.6" x14ac:dyDescent="0.3">
      <c r="A79">
        <v>17</v>
      </c>
      <c r="B79" t="s">
        <v>88</v>
      </c>
      <c r="C79" t="s">
        <v>264</v>
      </c>
    </row>
    <row r="80" spans="1:3" ht="15.6" x14ac:dyDescent="0.3">
      <c r="A80">
        <v>18</v>
      </c>
      <c r="B80" t="s">
        <v>89</v>
      </c>
      <c r="C80" t="s">
        <v>265</v>
      </c>
    </row>
    <row r="81" spans="1:3" ht="15.6" x14ac:dyDescent="0.3">
      <c r="A81">
        <v>19</v>
      </c>
      <c r="B81" t="s">
        <v>90</v>
      </c>
      <c r="C81" t="s">
        <v>266</v>
      </c>
    </row>
    <row r="82" spans="1:3" ht="15.6" x14ac:dyDescent="0.3">
      <c r="A82">
        <v>20</v>
      </c>
      <c r="B82" t="s">
        <v>91</v>
      </c>
      <c r="C82" t="s">
        <v>267</v>
      </c>
    </row>
    <row r="83" spans="1:3" ht="15.6" x14ac:dyDescent="0.3">
      <c r="A83">
        <v>21</v>
      </c>
      <c r="B83" t="s">
        <v>92</v>
      </c>
      <c r="C83" t="s">
        <v>268</v>
      </c>
    </row>
    <row r="84" spans="1:3" ht="15.6" x14ac:dyDescent="0.3">
      <c r="A84">
        <v>22</v>
      </c>
      <c r="B84" t="s">
        <v>93</v>
      </c>
      <c r="C84" t="s">
        <v>269</v>
      </c>
    </row>
    <row r="85" spans="1:3" ht="15.6" x14ac:dyDescent="0.3">
      <c r="A85">
        <v>23</v>
      </c>
      <c r="B85" t="s">
        <v>94</v>
      </c>
      <c r="C85" t="s">
        <v>270</v>
      </c>
    </row>
    <row r="86" spans="1:3" ht="15.6" x14ac:dyDescent="0.3">
      <c r="A86">
        <v>24</v>
      </c>
      <c r="B86" t="s">
        <v>95</v>
      </c>
      <c r="C86" t="s">
        <v>271</v>
      </c>
    </row>
    <row r="87" spans="1:3" ht="15.6" x14ac:dyDescent="0.3">
      <c r="A87">
        <v>25</v>
      </c>
      <c r="B87" t="s">
        <v>96</v>
      </c>
      <c r="C87" t="s">
        <v>272</v>
      </c>
    </row>
    <row r="88" spans="1:3" ht="15.6" x14ac:dyDescent="0.3">
      <c r="A88">
        <v>26</v>
      </c>
      <c r="B88" t="s">
        <v>97</v>
      </c>
      <c r="C88" t="s">
        <v>273</v>
      </c>
    </row>
    <row r="89" spans="1:3" ht="15.6" x14ac:dyDescent="0.3">
      <c r="A89">
        <v>27</v>
      </c>
      <c r="B89" t="s">
        <v>98</v>
      </c>
      <c r="C89" t="s">
        <v>274</v>
      </c>
    </row>
    <row r="90" spans="1:3" ht="15.6" x14ac:dyDescent="0.3">
      <c r="A90">
        <v>28</v>
      </c>
      <c r="B90" t="s">
        <v>99</v>
      </c>
      <c r="C90" t="s">
        <v>275</v>
      </c>
    </row>
    <row r="91" spans="1:3" ht="15.6" x14ac:dyDescent="0.3">
      <c r="A91">
        <v>29</v>
      </c>
      <c r="B91" t="s">
        <v>100</v>
      </c>
      <c r="C91" t="s">
        <v>276</v>
      </c>
    </row>
    <row r="92" spans="1:3" ht="15.6" x14ac:dyDescent="0.3">
      <c r="A92">
        <v>30</v>
      </c>
      <c r="B92" t="s">
        <v>101</v>
      </c>
      <c r="C92" t="s">
        <v>277</v>
      </c>
    </row>
    <row r="93" spans="1:3" ht="15.6" x14ac:dyDescent="0.3">
      <c r="A93">
        <v>31</v>
      </c>
      <c r="B93" t="s">
        <v>102</v>
      </c>
      <c r="C93" t="s">
        <v>278</v>
      </c>
    </row>
    <row r="94" spans="1:3" ht="15.6" x14ac:dyDescent="0.3">
      <c r="A94">
        <v>32</v>
      </c>
      <c r="B94" t="s">
        <v>103</v>
      </c>
      <c r="C94" t="s">
        <v>279</v>
      </c>
    </row>
    <row r="95" spans="1:3" ht="15.6" x14ac:dyDescent="0.3">
      <c r="A95">
        <v>33</v>
      </c>
      <c r="B95" t="s">
        <v>104</v>
      </c>
      <c r="C95" t="s">
        <v>280</v>
      </c>
    </row>
    <row r="96" spans="1:3" ht="15.6" x14ac:dyDescent="0.3">
      <c r="A96">
        <v>34</v>
      </c>
      <c r="B96" t="s">
        <v>105</v>
      </c>
      <c r="C96" t="s">
        <v>281</v>
      </c>
    </row>
    <row r="97" spans="1:3" ht="15.6" x14ac:dyDescent="0.3">
      <c r="A97">
        <v>35</v>
      </c>
      <c r="B97" t="s">
        <v>106</v>
      </c>
      <c r="C97" t="s">
        <v>282</v>
      </c>
    </row>
    <row r="98" spans="1:3" ht="15.6" x14ac:dyDescent="0.3">
      <c r="A98">
        <v>36</v>
      </c>
      <c r="B98" t="s">
        <v>107</v>
      </c>
      <c r="C98" t="s">
        <v>283</v>
      </c>
    </row>
    <row r="99" spans="1:3" ht="15.6" x14ac:dyDescent="0.3">
      <c r="A99">
        <v>37</v>
      </c>
      <c r="B99" t="s">
        <v>108</v>
      </c>
      <c r="C99" t="s">
        <v>284</v>
      </c>
    </row>
    <row r="100" spans="1:3" ht="15.6" x14ac:dyDescent="0.3">
      <c r="A100">
        <v>38</v>
      </c>
      <c r="B100" t="s">
        <v>109</v>
      </c>
      <c r="C100" t="s">
        <v>285</v>
      </c>
    </row>
    <row r="101" spans="1:3" ht="15.6" x14ac:dyDescent="0.3">
      <c r="A101">
        <v>39</v>
      </c>
      <c r="B101" t="s">
        <v>110</v>
      </c>
      <c r="C101" t="s">
        <v>286</v>
      </c>
    </row>
    <row r="102" spans="1:3" ht="15.6" x14ac:dyDescent="0.3">
      <c r="A102">
        <v>40</v>
      </c>
      <c r="B102" t="s">
        <v>111</v>
      </c>
      <c r="C102" t="s">
        <v>287</v>
      </c>
    </row>
    <row r="103" spans="1:3" ht="15.6" x14ac:dyDescent="0.3">
      <c r="A103">
        <v>41</v>
      </c>
      <c r="B103" t="s">
        <v>112</v>
      </c>
      <c r="C103" t="s">
        <v>288</v>
      </c>
    </row>
    <row r="104" spans="1:3" ht="15.6" x14ac:dyDescent="0.3">
      <c r="A104">
        <v>42</v>
      </c>
      <c r="B104" t="s">
        <v>113</v>
      </c>
      <c r="C104" t="s">
        <v>289</v>
      </c>
    </row>
    <row r="105" spans="1:3" ht="15.6" x14ac:dyDescent="0.3">
      <c r="A105">
        <v>43</v>
      </c>
      <c r="B105" t="s">
        <v>114</v>
      </c>
      <c r="C105" t="s">
        <v>290</v>
      </c>
    </row>
    <row r="106" spans="1:3" ht="15.6" x14ac:dyDescent="0.3">
      <c r="A106">
        <v>44</v>
      </c>
      <c r="B106" t="s">
        <v>115</v>
      </c>
      <c r="C106" t="s">
        <v>291</v>
      </c>
    </row>
    <row r="107" spans="1:3" ht="15.6" x14ac:dyDescent="0.3">
      <c r="A107">
        <v>45</v>
      </c>
      <c r="B107" t="s">
        <v>116</v>
      </c>
      <c r="C107" t="s">
        <v>292</v>
      </c>
    </row>
    <row r="108" spans="1:3" ht="15.6" x14ac:dyDescent="0.3">
      <c r="A108">
        <v>46</v>
      </c>
      <c r="B108" t="s">
        <v>117</v>
      </c>
      <c r="C108" t="s">
        <v>293</v>
      </c>
    </row>
    <row r="109" spans="1:3" ht="15.6" x14ac:dyDescent="0.3">
      <c r="A109">
        <v>47</v>
      </c>
      <c r="B109" t="s">
        <v>118</v>
      </c>
      <c r="C109" t="s">
        <v>294</v>
      </c>
    </row>
    <row r="110" spans="1:3" ht="15.6" x14ac:dyDescent="0.3">
      <c r="A110">
        <v>48</v>
      </c>
      <c r="B110" t="s">
        <v>119</v>
      </c>
      <c r="C110" t="s">
        <v>295</v>
      </c>
    </row>
    <row r="111" spans="1:3" ht="15.6" x14ac:dyDescent="0.3">
      <c r="A111">
        <v>49</v>
      </c>
      <c r="B111" t="s">
        <v>120</v>
      </c>
      <c r="C111" t="s">
        <v>296</v>
      </c>
    </row>
    <row r="112" spans="1:3" ht="15.6" x14ac:dyDescent="0.3">
      <c r="A112">
        <v>50</v>
      </c>
      <c r="B112" t="s">
        <v>121</v>
      </c>
      <c r="C112" t="s">
        <v>297</v>
      </c>
    </row>
  </sheetData>
  <pageMargins left="0.7" right="0.7" top="0.75" bottom="0.75" header="0.3" footer="0.3"/>
  <ignoredErrors>
    <ignoredError sqref="A1:C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  <vt:lpstr>DESCRIPTORS</vt:lpstr>
      <vt:lpstr>FemaleLearners</vt:lpstr>
      <vt:lpstr>MaleLearners</vt:lpstr>
      <vt:lpstr>NewTransmu</vt:lpstr>
      <vt:lpstr>INPUT!Print_Area</vt:lpstr>
      <vt:lpstr>'SUMMARY OF GRADES'!Print_Area</vt:lpstr>
      <vt:lpstr>TERM1!Print_Area</vt:lpstr>
      <vt:lpstr>TERM2!Print_Area</vt:lpstr>
      <vt:lpstr>TERM3!Print_Area</vt:lpstr>
      <vt:lpstr>T1_Names</vt:lpstr>
      <vt:lpstr>TRANSMUTATION_TABLE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Shaine Ella Pines</cp:lastModifiedBy>
  <cp:lastPrinted>2026-04-19T10:35:14Z</cp:lastPrinted>
  <dcterms:created xsi:type="dcterms:W3CDTF">2015-06-02T20:29:55Z</dcterms:created>
  <dcterms:modified xsi:type="dcterms:W3CDTF">2026-10-12T14:29:05Z</dcterms:modified>
</cp:coreProperties>
</file>